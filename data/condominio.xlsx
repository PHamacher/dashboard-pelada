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drohamacher\OneDrive\Documentos antigo\Projetos_jl\Streamlit\Dashboard Pelada\data\"/>
    </mc:Choice>
  </mc:AlternateContent>
  <xr:revisionPtr revIDLastSave="26" documentId="14_{AFBA81A4-2B23-449D-B209-30A32CB7CB1E}" xr6:coauthVersionLast="36" xr6:coauthVersionMax="36" xr10:uidLastSave="{B3428EA7-6856-4212-B670-CF3EDE330DD7}"/>
  <bookViews>
    <workbookView xWindow="0" yWindow="0" windowWidth="19180" windowHeight="7870" activeTab="3" xr2:uid="{00000000-000D-0000-FFFF-FFFF00000000}"/>
  </bookViews>
  <sheets>
    <sheet name="notas" sheetId="1" r:id="rId1"/>
    <sheet name="conversão notas" sheetId="6" r:id="rId2"/>
    <sheet name="pagamento" sheetId="4" r:id="rId3"/>
    <sheet name="placares" sheetId="2" r:id="rId4"/>
    <sheet name="artilharia" sheetId="7" r:id="rId5"/>
    <sheet name="artilharia total" sheetId="3" r:id="rId6"/>
  </sheets>
  <definedNames>
    <definedName name="_xlnm._FilterDatabase" localSheetId="4" hidden="1">artilharia!$A$1:$CN$103</definedName>
    <definedName name="_xlnm._FilterDatabase" localSheetId="5" hidden="1">'artilharia total'!$A$1:$AI$51</definedName>
    <definedName name="_xlnm._FilterDatabase" localSheetId="0" hidden="1">notas!$A$1:$DQ$83</definedName>
  </definedNames>
  <calcPr calcId="191029"/>
</workbook>
</file>

<file path=xl/calcChain.xml><?xml version="1.0" encoding="utf-8"?>
<calcChain xmlns="http://schemas.openxmlformats.org/spreadsheetml/2006/main">
  <c r="DL26" i="1" l="1"/>
  <c r="DM26" i="1"/>
  <c r="DL25" i="1"/>
  <c r="DM25" i="1"/>
  <c r="DL19" i="1"/>
  <c r="DM19" i="1"/>
  <c r="DL15" i="1"/>
  <c r="DM15" i="1"/>
  <c r="DL7" i="1"/>
  <c r="DM7" i="1"/>
  <c r="DL5" i="1"/>
  <c r="DM5" i="1"/>
  <c r="DL2" i="1"/>
  <c r="DM2" i="1"/>
  <c r="AB106" i="4" l="1"/>
  <c r="DL3" i="1" l="1"/>
  <c r="DM3" i="1"/>
  <c r="DN3" i="1"/>
  <c r="DL4" i="1"/>
  <c r="DM4" i="1"/>
  <c r="DN4" i="1"/>
  <c r="DN5" i="1"/>
  <c r="DL6" i="1"/>
  <c r="DM6" i="1"/>
  <c r="DN6" i="1"/>
  <c r="DN7" i="1"/>
  <c r="DL8" i="1"/>
  <c r="DM8" i="1"/>
  <c r="DN8" i="1"/>
  <c r="DL9" i="1"/>
  <c r="DM9" i="1"/>
  <c r="DN9" i="1"/>
  <c r="DL10" i="1"/>
  <c r="DM10" i="1"/>
  <c r="DN10" i="1"/>
  <c r="DL11" i="1"/>
  <c r="DM11" i="1"/>
  <c r="DN11" i="1"/>
  <c r="DL12" i="1"/>
  <c r="DM12" i="1"/>
  <c r="DN12" i="1"/>
  <c r="DL13" i="1"/>
  <c r="DM13" i="1"/>
  <c r="DN13" i="1"/>
  <c r="DL14" i="1"/>
  <c r="DM14" i="1"/>
  <c r="DN14" i="1"/>
  <c r="DN15" i="1"/>
  <c r="DL16" i="1"/>
  <c r="DM16" i="1"/>
  <c r="DN16" i="1"/>
  <c r="DL17" i="1"/>
  <c r="DM17" i="1"/>
  <c r="DN17" i="1"/>
  <c r="DL18" i="1"/>
  <c r="DM18" i="1"/>
  <c r="DN18" i="1"/>
  <c r="DN19" i="1"/>
  <c r="DL20" i="1"/>
  <c r="DM20" i="1"/>
  <c r="DN20" i="1"/>
  <c r="DL21" i="1"/>
  <c r="DM21" i="1"/>
  <c r="DN21" i="1"/>
  <c r="DL22" i="1"/>
  <c r="DM22" i="1"/>
  <c r="DN22" i="1"/>
  <c r="DL23" i="1"/>
  <c r="DM23" i="1"/>
  <c r="DN23" i="1"/>
  <c r="DL24" i="1"/>
  <c r="DM24" i="1"/>
  <c r="DN24" i="1"/>
  <c r="DN25" i="1"/>
  <c r="DN26" i="1"/>
  <c r="DL27" i="1"/>
  <c r="DM27" i="1"/>
  <c r="DN27" i="1"/>
  <c r="DL28" i="1"/>
  <c r="DM28" i="1"/>
  <c r="DN28" i="1"/>
  <c r="DL29" i="1"/>
  <c r="DM29" i="1"/>
  <c r="DN29" i="1"/>
  <c r="DL30" i="1"/>
  <c r="DM30" i="1"/>
  <c r="DN30" i="1"/>
  <c r="DL31" i="1"/>
  <c r="DM31" i="1"/>
  <c r="DN31" i="1"/>
  <c r="DL32" i="1"/>
  <c r="DM32" i="1"/>
  <c r="DN32" i="1"/>
  <c r="DL33" i="1"/>
  <c r="DM33" i="1"/>
  <c r="DN33" i="1"/>
  <c r="DL34" i="1"/>
  <c r="DM34" i="1"/>
  <c r="DN34" i="1"/>
  <c r="DL35" i="1"/>
  <c r="DM35" i="1"/>
  <c r="DN35" i="1"/>
  <c r="DL36" i="1"/>
  <c r="DM36" i="1"/>
  <c r="DN36" i="1"/>
  <c r="DL37" i="1"/>
  <c r="DM37" i="1"/>
  <c r="DN37" i="1"/>
  <c r="DL38" i="1"/>
  <c r="DM38" i="1"/>
  <c r="DN38" i="1"/>
  <c r="DL39" i="1"/>
  <c r="DM39" i="1"/>
  <c r="DN39" i="1"/>
  <c r="DL40" i="1"/>
  <c r="DM40" i="1"/>
  <c r="DN40" i="1"/>
  <c r="DL41" i="1"/>
  <c r="DM41" i="1"/>
  <c r="DN41" i="1"/>
  <c r="DL42" i="1"/>
  <c r="DM42" i="1"/>
  <c r="DN42" i="1"/>
  <c r="DL43" i="1"/>
  <c r="DM43" i="1"/>
  <c r="DN43" i="1"/>
  <c r="DL44" i="1"/>
  <c r="DM44" i="1"/>
  <c r="DN44" i="1"/>
  <c r="DL45" i="1"/>
  <c r="DM45" i="1"/>
  <c r="DN45" i="1"/>
  <c r="DL46" i="1"/>
  <c r="DM46" i="1"/>
  <c r="DN46" i="1"/>
  <c r="DL47" i="1"/>
  <c r="DM47" i="1"/>
  <c r="DN47" i="1"/>
  <c r="DL48" i="1"/>
  <c r="DM48" i="1"/>
  <c r="DN48" i="1"/>
  <c r="DL49" i="1"/>
  <c r="DM49" i="1"/>
  <c r="DN49" i="1"/>
  <c r="DL50" i="1"/>
  <c r="DM50" i="1"/>
  <c r="DN50" i="1"/>
  <c r="DL51" i="1"/>
  <c r="DM51" i="1"/>
  <c r="DN51" i="1"/>
  <c r="DL52" i="1"/>
  <c r="DM52" i="1"/>
  <c r="DN52" i="1"/>
  <c r="DL53" i="1"/>
  <c r="DM53" i="1"/>
  <c r="DN53" i="1"/>
  <c r="DL54" i="1"/>
  <c r="DM54" i="1"/>
  <c r="DN54" i="1"/>
  <c r="DL55" i="1"/>
  <c r="DM55" i="1"/>
  <c r="DN55" i="1"/>
  <c r="DL56" i="1"/>
  <c r="DM56" i="1"/>
  <c r="DN56" i="1"/>
  <c r="DL57" i="1"/>
  <c r="DM57" i="1"/>
  <c r="DN57" i="1"/>
  <c r="DL58" i="1"/>
  <c r="DM58" i="1"/>
  <c r="DN58" i="1"/>
  <c r="DL59" i="1"/>
  <c r="DM59" i="1"/>
  <c r="DN59" i="1"/>
  <c r="DL60" i="1"/>
  <c r="DM60" i="1"/>
  <c r="DN60" i="1"/>
  <c r="DL61" i="1"/>
  <c r="DM61" i="1"/>
  <c r="DN61" i="1"/>
  <c r="DL62" i="1"/>
  <c r="DM62" i="1"/>
  <c r="DN62" i="1"/>
  <c r="DL63" i="1"/>
  <c r="DM63" i="1"/>
  <c r="DN63" i="1"/>
  <c r="DL64" i="1"/>
  <c r="DM64" i="1"/>
  <c r="DN64" i="1"/>
  <c r="DL65" i="1"/>
  <c r="DM65" i="1"/>
  <c r="DN65" i="1"/>
  <c r="DL66" i="1"/>
  <c r="DM66" i="1"/>
  <c r="DN66" i="1"/>
  <c r="DL67" i="1"/>
  <c r="DM67" i="1"/>
  <c r="DN67" i="1"/>
  <c r="DL68" i="1"/>
  <c r="DM68" i="1"/>
  <c r="DN68" i="1"/>
  <c r="DL69" i="1"/>
  <c r="DM69" i="1"/>
  <c r="DN69" i="1"/>
  <c r="DL70" i="1"/>
  <c r="DM70" i="1"/>
  <c r="DN70" i="1"/>
  <c r="DL71" i="1"/>
  <c r="DM71" i="1"/>
  <c r="DN71" i="1"/>
  <c r="DL72" i="1"/>
  <c r="DM72" i="1"/>
  <c r="DN72" i="1"/>
  <c r="DL73" i="1"/>
  <c r="DM73" i="1"/>
  <c r="DN73" i="1"/>
  <c r="DL74" i="1"/>
  <c r="DM74" i="1"/>
  <c r="DN74" i="1"/>
  <c r="DL75" i="1"/>
  <c r="DM75" i="1"/>
  <c r="DN75" i="1"/>
  <c r="DL76" i="1"/>
  <c r="DM76" i="1"/>
  <c r="DN76" i="1"/>
  <c r="DL77" i="1"/>
  <c r="DM77" i="1"/>
  <c r="DN77" i="1"/>
  <c r="DL78" i="1"/>
  <c r="DM78" i="1"/>
  <c r="DN78" i="1"/>
  <c r="DL79" i="1"/>
  <c r="DM79" i="1"/>
  <c r="DN79" i="1"/>
  <c r="DL80" i="1"/>
  <c r="DM80" i="1"/>
  <c r="DN80" i="1"/>
  <c r="DL81" i="1"/>
  <c r="DM81" i="1"/>
  <c r="DN81" i="1"/>
  <c r="DL82" i="1"/>
  <c r="DM82" i="1"/>
  <c r="DN82" i="1"/>
  <c r="DL83" i="1"/>
  <c r="DM83" i="1"/>
  <c r="DN83" i="1"/>
  <c r="DL84" i="1"/>
  <c r="DM84" i="1"/>
  <c r="DN84" i="1"/>
  <c r="DL85" i="1"/>
  <c r="DM85" i="1"/>
  <c r="DN85" i="1"/>
  <c r="DL86" i="1"/>
  <c r="DM86" i="1"/>
  <c r="DN86" i="1"/>
  <c r="DL87" i="1"/>
  <c r="DM87" i="1"/>
  <c r="DN87" i="1"/>
  <c r="DL88" i="1"/>
  <c r="DM88" i="1"/>
  <c r="DN88" i="1"/>
  <c r="DL89" i="1"/>
  <c r="DM89" i="1"/>
  <c r="DN89" i="1"/>
  <c r="DL90" i="1"/>
  <c r="DM90" i="1"/>
  <c r="DN90" i="1"/>
  <c r="DL91" i="1"/>
  <c r="DM91" i="1"/>
  <c r="DN91" i="1"/>
  <c r="DL92" i="1"/>
  <c r="DM92" i="1"/>
  <c r="DN92" i="1"/>
  <c r="DL93" i="1"/>
  <c r="DM93" i="1"/>
  <c r="DN93" i="1"/>
  <c r="DL94" i="1"/>
  <c r="DM94" i="1"/>
  <c r="DN94" i="1"/>
  <c r="DL95" i="1"/>
  <c r="DM95" i="1"/>
  <c r="DN95" i="1"/>
  <c r="DL96" i="1"/>
  <c r="DM96" i="1"/>
  <c r="DN96" i="1"/>
  <c r="DL97" i="1"/>
  <c r="DM97" i="1"/>
  <c r="DN97" i="1"/>
  <c r="DL98" i="1"/>
  <c r="DM98" i="1"/>
  <c r="DN98" i="1"/>
  <c r="DL99" i="1"/>
  <c r="DM99" i="1"/>
  <c r="DN99" i="1"/>
  <c r="DL100" i="1"/>
  <c r="DM100" i="1"/>
  <c r="DN100" i="1"/>
  <c r="DL101" i="1"/>
  <c r="DM101" i="1"/>
  <c r="DN101" i="1"/>
  <c r="DL102" i="1"/>
  <c r="DM102" i="1"/>
  <c r="DN102" i="1"/>
  <c r="DN2" i="1"/>
  <c r="DQ102" i="1"/>
  <c r="DP102" i="1"/>
  <c r="DQ101" i="1"/>
  <c r="DP101" i="1"/>
  <c r="DQ100" i="1"/>
  <c r="DP100" i="1"/>
  <c r="DQ99" i="1"/>
  <c r="DP99" i="1"/>
  <c r="DQ98" i="1"/>
  <c r="DP98" i="1"/>
  <c r="DQ97" i="1"/>
  <c r="DP97" i="1"/>
  <c r="DQ96" i="1"/>
  <c r="DP96" i="1"/>
  <c r="DQ95" i="1"/>
  <c r="DP95" i="1"/>
  <c r="DQ94" i="1"/>
  <c r="DP94" i="1"/>
  <c r="DQ93" i="1"/>
  <c r="DP93" i="1"/>
  <c r="DQ92" i="1"/>
  <c r="DP92" i="1"/>
  <c r="DQ91" i="1"/>
  <c r="DP91" i="1"/>
  <c r="DQ90" i="1"/>
  <c r="DP90" i="1"/>
  <c r="AA106" i="4" l="1"/>
  <c r="Z106" i="4"/>
  <c r="AB104" i="4" l="1"/>
  <c r="AB105" i="4" s="1"/>
  <c r="AB107" i="4" s="1"/>
  <c r="DP3" i="1"/>
  <c r="DP4" i="1"/>
  <c r="DP5" i="1"/>
  <c r="DP6" i="1"/>
  <c r="DP7" i="1"/>
  <c r="DP8" i="1"/>
  <c r="DP9" i="1"/>
  <c r="DP10" i="1"/>
  <c r="DP11" i="1"/>
  <c r="DP12" i="1"/>
  <c r="DP13" i="1"/>
  <c r="DP14" i="1"/>
  <c r="DP15" i="1"/>
  <c r="DP16" i="1"/>
  <c r="DP17" i="1"/>
  <c r="DP18" i="1"/>
  <c r="DP19" i="1"/>
  <c r="DP20" i="1"/>
  <c r="DP21" i="1"/>
  <c r="DP22" i="1"/>
  <c r="DP23" i="1"/>
  <c r="DP24" i="1"/>
  <c r="DP25" i="1"/>
  <c r="DP26" i="1"/>
  <c r="DP27" i="1"/>
  <c r="DP28" i="1"/>
  <c r="DP29" i="1"/>
  <c r="DP30" i="1"/>
  <c r="DP31" i="1"/>
  <c r="DP32" i="1"/>
  <c r="DP33" i="1"/>
  <c r="DP34" i="1"/>
  <c r="DP35" i="1"/>
  <c r="DP36" i="1"/>
  <c r="DP37" i="1"/>
  <c r="DP38" i="1"/>
  <c r="DP39" i="1"/>
  <c r="DP40" i="1"/>
  <c r="DP41" i="1"/>
  <c r="DP42" i="1"/>
  <c r="DP43" i="1"/>
  <c r="DP44" i="1"/>
  <c r="DP45" i="1"/>
  <c r="DP46" i="1"/>
  <c r="DP47" i="1"/>
  <c r="DP48" i="1"/>
  <c r="DP49" i="1"/>
  <c r="DP50" i="1"/>
  <c r="DP51" i="1"/>
  <c r="DP52" i="1"/>
  <c r="DP53" i="1"/>
  <c r="DP54" i="1"/>
  <c r="DP55" i="1"/>
  <c r="DP56" i="1"/>
  <c r="DP57" i="1"/>
  <c r="DP58" i="1"/>
  <c r="DP59" i="1"/>
  <c r="DP60" i="1"/>
  <c r="DP61" i="1"/>
  <c r="DP63" i="1"/>
  <c r="DP64" i="1"/>
  <c r="DP65" i="1"/>
  <c r="DP62" i="1"/>
  <c r="DP66" i="1"/>
  <c r="DP67" i="1"/>
  <c r="DP68" i="1"/>
  <c r="DP69" i="1"/>
  <c r="DP70" i="1"/>
  <c r="DP71" i="1"/>
  <c r="DP72" i="1"/>
  <c r="DP73" i="1"/>
  <c r="DP74" i="1"/>
  <c r="DP75" i="1"/>
  <c r="DP76" i="1"/>
  <c r="DP77" i="1"/>
  <c r="DP78" i="1"/>
  <c r="DP79" i="1"/>
  <c r="DP80" i="1"/>
  <c r="DP81" i="1"/>
  <c r="DP82" i="1"/>
  <c r="DP83" i="1"/>
  <c r="DP84" i="1"/>
  <c r="DP85" i="1"/>
  <c r="DP86" i="1"/>
  <c r="DP87" i="1"/>
  <c r="DP88" i="1"/>
  <c r="DQ88" i="1" s="1"/>
  <c r="DP89" i="1"/>
  <c r="DQ89" i="1" s="1"/>
  <c r="DP2" i="1"/>
  <c r="AA104" i="4" l="1"/>
  <c r="AA105" i="4" l="1"/>
  <c r="DQ2" i="1"/>
  <c r="AA107" i="4" l="1"/>
  <c r="Y106" i="4" l="1"/>
  <c r="Z104" i="4" l="1"/>
  <c r="Z105" i="4" s="1"/>
  <c r="Z107" i="4" l="1"/>
  <c r="DQ85" i="1"/>
  <c r="DQ86" i="1"/>
  <c r="DQ87" i="1"/>
  <c r="X106" i="4" l="1"/>
  <c r="Y104" i="4" l="1"/>
  <c r="Y105" i="4" s="1"/>
  <c r="Y107" i="4" l="1"/>
  <c r="W106" i="4" l="1"/>
  <c r="DQ68" i="1" l="1"/>
  <c r="DQ67" i="1" l="1"/>
  <c r="X104" i="4" l="1"/>
  <c r="X105" i="4" s="1"/>
  <c r="X107" i="4" l="1"/>
  <c r="DQ42" i="1" l="1"/>
  <c r="DQ43" i="1"/>
  <c r="DQ40" i="1" l="1"/>
  <c r="V106" i="4" l="1"/>
  <c r="U106" i="4" l="1"/>
  <c r="W19" i="4"/>
  <c r="W104" i="4" s="1"/>
  <c r="W105" i="4"/>
  <c r="W107" i="4" l="1"/>
  <c r="T106" i="4" l="1"/>
  <c r="V81" i="4" l="1"/>
  <c r="V104" i="4" s="1"/>
  <c r="V105" i="4"/>
  <c r="V107" i="4" l="1"/>
  <c r="DQ3" i="1" l="1"/>
  <c r="DQ6" i="1"/>
  <c r="DQ10" i="1"/>
  <c r="DQ8" i="1"/>
  <c r="DQ4" i="1"/>
  <c r="DQ5" i="1"/>
  <c r="DQ7" i="1"/>
  <c r="DQ9" i="1"/>
  <c r="DQ11" i="1"/>
  <c r="DQ12" i="1"/>
  <c r="DQ13" i="1"/>
  <c r="DQ18" i="1"/>
  <c r="DQ15" i="1"/>
  <c r="DQ20" i="1"/>
  <c r="DQ19" i="1"/>
  <c r="DQ17" i="1"/>
  <c r="DQ21" i="1"/>
  <c r="DQ14" i="1"/>
  <c r="DQ16" i="1"/>
  <c r="DQ22" i="1"/>
  <c r="DQ24" i="1"/>
  <c r="DQ23" i="1"/>
  <c r="DQ27" i="1"/>
  <c r="DQ29" i="1"/>
  <c r="DQ30" i="1"/>
  <c r="DQ32" i="1"/>
  <c r="DQ25" i="1"/>
  <c r="DQ33" i="1"/>
  <c r="DQ28" i="1"/>
  <c r="DQ34" i="1"/>
  <c r="DQ37" i="1"/>
  <c r="DQ38" i="1"/>
  <c r="DQ31" i="1"/>
  <c r="DQ39" i="1"/>
  <c r="DQ35" i="1"/>
  <c r="DQ26" i="1"/>
  <c r="DQ36" i="1"/>
  <c r="DQ46" i="1"/>
  <c r="DQ51" i="1"/>
  <c r="DQ49" i="1"/>
  <c r="DQ52" i="1"/>
  <c r="DQ53" i="1"/>
  <c r="DQ54" i="1"/>
  <c r="DQ55" i="1"/>
  <c r="DQ47" i="1"/>
  <c r="DQ56" i="1"/>
  <c r="DQ57" i="1"/>
  <c r="DQ58" i="1"/>
  <c r="DQ63" i="1"/>
  <c r="DQ48" i="1"/>
  <c r="DQ60" i="1"/>
  <c r="DQ64" i="1"/>
  <c r="DQ44" i="1"/>
  <c r="DQ65" i="1"/>
  <c r="DQ50" i="1"/>
  <c r="DQ59" i="1"/>
  <c r="DQ62" i="1"/>
  <c r="DQ45" i="1"/>
  <c r="DQ69" i="1"/>
  <c r="DQ70" i="1"/>
  <c r="DQ71" i="1"/>
  <c r="DQ72" i="1"/>
  <c r="DQ73" i="1"/>
  <c r="DQ66" i="1"/>
  <c r="DQ74" i="1"/>
  <c r="DQ41" i="1"/>
  <c r="DQ75" i="1"/>
  <c r="DQ76" i="1"/>
  <c r="DQ77" i="1"/>
  <c r="DQ78" i="1"/>
  <c r="DQ79" i="1"/>
  <c r="DQ80" i="1"/>
  <c r="DQ81" i="1"/>
  <c r="DQ82" i="1"/>
  <c r="DQ83" i="1"/>
  <c r="DQ84" i="1"/>
  <c r="DQ61" i="1"/>
  <c r="S106" i="4" l="1"/>
  <c r="U104" i="4" l="1"/>
  <c r="T104" i="4"/>
  <c r="S104" i="4"/>
  <c r="Q104" i="4"/>
  <c r="N104" i="4"/>
  <c r="M104" i="4"/>
  <c r="L104" i="4"/>
  <c r="J104" i="4"/>
  <c r="I104" i="4"/>
  <c r="H104" i="4"/>
  <c r="G104" i="4"/>
  <c r="E104" i="4"/>
  <c r="D104" i="4"/>
  <c r="C104" i="4"/>
  <c r="U105" i="4"/>
  <c r="U107" i="4" s="1"/>
  <c r="T105" i="4" l="1"/>
  <c r="R106" i="4"/>
  <c r="N106" i="4"/>
  <c r="K106" i="4"/>
  <c r="T107" i="4" l="1"/>
  <c r="V39" i="6"/>
  <c r="V38" i="6"/>
  <c r="V37" i="6"/>
  <c r="V36" i="6"/>
  <c r="V35" i="6"/>
  <c r="V34" i="6"/>
  <c r="V33" i="6"/>
  <c r="V32" i="6"/>
  <c r="V31" i="6"/>
  <c r="V30" i="6"/>
  <c r="V29" i="6"/>
  <c r="V28" i="6"/>
  <c r="V27" i="6"/>
  <c r="V26" i="6"/>
  <c r="V25" i="6"/>
  <c r="V24" i="6"/>
  <c r="V23" i="6"/>
  <c r="V22" i="6"/>
  <c r="V21" i="6"/>
  <c r="V20" i="6"/>
  <c r="V19" i="6"/>
  <c r="V18" i="6"/>
  <c r="V17" i="6"/>
  <c r="V16" i="6"/>
  <c r="V15" i="6"/>
  <c r="V14" i="6"/>
  <c r="V13" i="6"/>
  <c r="V12" i="6"/>
  <c r="V11" i="6"/>
  <c r="V10" i="6"/>
  <c r="V9" i="6"/>
  <c r="V8" i="6"/>
  <c r="V7" i="6"/>
  <c r="V6" i="6"/>
  <c r="V5" i="6"/>
  <c r="V4" i="6"/>
  <c r="V3" i="6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V2" i="6"/>
  <c r="R2" i="6"/>
  <c r="U2" i="6"/>
  <c r="U3" i="6" s="1"/>
  <c r="Q3" i="6"/>
  <c r="Q4" i="6" s="1"/>
  <c r="S2" i="6"/>
  <c r="U4" i="6" l="1"/>
  <c r="W3" i="6"/>
  <c r="W2" i="6"/>
  <c r="Q5" i="6"/>
  <c r="S4" i="6"/>
  <c r="S3" i="6"/>
  <c r="U5" i="6" l="1"/>
  <c r="W4" i="6"/>
  <c r="S5" i="6"/>
  <c r="Q6" i="6"/>
  <c r="Q106" i="4"/>
  <c r="U6" i="6" l="1"/>
  <c r="W5" i="6"/>
  <c r="Q7" i="6"/>
  <c r="S6" i="6"/>
  <c r="S105" i="4"/>
  <c r="S107" i="4" s="1"/>
  <c r="W6" i="6" l="1"/>
  <c r="U7" i="6"/>
  <c r="S7" i="6"/>
  <c r="Q8" i="6"/>
  <c r="P106" i="4"/>
  <c r="W7" i="6" l="1"/>
  <c r="U8" i="6"/>
  <c r="S8" i="6"/>
  <c r="Q9" i="6"/>
  <c r="R32" i="4"/>
  <c r="R72" i="4"/>
  <c r="R26" i="4"/>
  <c r="R53" i="4"/>
  <c r="R17" i="4"/>
  <c r="R105" i="4" l="1"/>
  <c r="R107" i="4" s="1"/>
  <c r="R104" i="4"/>
  <c r="U9" i="6"/>
  <c r="W8" i="6"/>
  <c r="Q10" i="6"/>
  <c r="S9" i="6"/>
  <c r="U10" i="6" l="1"/>
  <c r="W9" i="6"/>
  <c r="Q11" i="6"/>
  <c r="S10" i="6"/>
  <c r="U11" i="6" l="1"/>
  <c r="W10" i="6"/>
  <c r="Q12" i="6"/>
  <c r="S11" i="6"/>
  <c r="W11" i="6" l="1"/>
  <c r="U12" i="6"/>
  <c r="Q13" i="6"/>
  <c r="S12" i="6"/>
  <c r="U13" i="6" l="1"/>
  <c r="W12" i="6"/>
  <c r="S13" i="6"/>
  <c r="Q14" i="6"/>
  <c r="Q105" i="4"/>
  <c r="Q107" i="4" s="1"/>
  <c r="W13" i="6" l="1"/>
  <c r="U14" i="6"/>
  <c r="Q15" i="6"/>
  <c r="S14" i="6"/>
  <c r="O106" i="4"/>
  <c r="W14" i="6" l="1"/>
  <c r="U15" i="6"/>
  <c r="S15" i="6"/>
  <c r="Q16" i="6"/>
  <c r="P43" i="4"/>
  <c r="P105" i="4" l="1"/>
  <c r="P107" i="4" s="1"/>
  <c r="P104" i="4"/>
  <c r="W15" i="6"/>
  <c r="U16" i="6"/>
  <c r="Q17" i="6"/>
  <c r="S16" i="6"/>
  <c r="W16" i="6" l="1"/>
  <c r="U17" i="6"/>
  <c r="Q18" i="6"/>
  <c r="S17" i="6"/>
  <c r="O30" i="4"/>
  <c r="O59" i="4"/>
  <c r="O105" i="4"/>
  <c r="AF6" i="4"/>
  <c r="O104" i="4" l="1"/>
  <c r="U18" i="6"/>
  <c r="W17" i="6"/>
  <c r="Q19" i="6"/>
  <c r="S18" i="6"/>
  <c r="O107" i="4"/>
  <c r="U19" i="6" l="1"/>
  <c r="W18" i="6"/>
  <c r="Q20" i="6"/>
  <c r="S19" i="6"/>
  <c r="M106" i="4"/>
  <c r="U20" i="6" l="1"/>
  <c r="W19" i="6"/>
  <c r="Q21" i="6"/>
  <c r="S20" i="6"/>
  <c r="L106" i="4"/>
  <c r="AF7" i="4"/>
  <c r="AF8" i="4" s="1"/>
  <c r="M105" i="4"/>
  <c r="N105" i="4"/>
  <c r="U21" i="6" l="1"/>
  <c r="W20" i="6"/>
  <c r="S21" i="6"/>
  <c r="Q22" i="6"/>
  <c r="N107" i="4"/>
  <c r="U22" i="6" l="1"/>
  <c r="W21" i="6"/>
  <c r="Q23" i="6"/>
  <c r="S22" i="6"/>
  <c r="M107" i="4"/>
  <c r="W22" i="6" l="1"/>
  <c r="U23" i="6"/>
  <c r="S23" i="6"/>
  <c r="Q24" i="6"/>
  <c r="L105" i="4"/>
  <c r="W23" i="6" l="1"/>
  <c r="U24" i="6"/>
  <c r="Q25" i="6"/>
  <c r="S24" i="6"/>
  <c r="L107" i="4"/>
  <c r="W24" i="6" l="1"/>
  <c r="U25" i="6"/>
  <c r="S25" i="6"/>
  <c r="Q26" i="6"/>
  <c r="J106" i="4"/>
  <c r="I106" i="4"/>
  <c r="U26" i="6" l="1"/>
  <c r="W25" i="6"/>
  <c r="Q27" i="6"/>
  <c r="S26" i="6"/>
  <c r="K53" i="4"/>
  <c r="K39" i="4"/>
  <c r="K24" i="4"/>
  <c r="K20" i="4"/>
  <c r="K19" i="4"/>
  <c r="K17" i="4"/>
  <c r="K15" i="4"/>
  <c r="K14" i="4"/>
  <c r="K13" i="4"/>
  <c r="K12" i="4"/>
  <c r="K11" i="4"/>
  <c r="K9" i="4"/>
  <c r="K7" i="4"/>
  <c r="K6" i="4"/>
  <c r="K5" i="4"/>
  <c r="K3" i="4"/>
  <c r="K105" i="4" s="1"/>
  <c r="K2" i="4"/>
  <c r="K104" i="4" s="1"/>
  <c r="U27" i="6" l="1"/>
  <c r="W26" i="6"/>
  <c r="Q28" i="6"/>
  <c r="S27" i="6"/>
  <c r="K107" i="4"/>
  <c r="U28" i="6" l="1"/>
  <c r="W27" i="6"/>
  <c r="Q29" i="6"/>
  <c r="S28" i="6"/>
  <c r="J105" i="4"/>
  <c r="U29" i="6" l="1"/>
  <c r="W28" i="6"/>
  <c r="S29" i="6"/>
  <c r="Q30" i="6"/>
  <c r="J107" i="4"/>
  <c r="U30" i="6" l="1"/>
  <c r="W29" i="6"/>
  <c r="Q31" i="6"/>
  <c r="S30" i="6"/>
  <c r="E106" i="4"/>
  <c r="U31" i="6" l="1"/>
  <c r="W30" i="6"/>
  <c r="S31" i="6"/>
  <c r="Q32" i="6"/>
  <c r="G106" i="4"/>
  <c r="H106" i="4"/>
  <c r="W31" i="6" l="1"/>
  <c r="U32" i="6"/>
  <c r="S32" i="6"/>
  <c r="Q33" i="6"/>
  <c r="I105" i="4"/>
  <c r="I107" i="4" s="1"/>
  <c r="U33" i="6" l="1"/>
  <c r="W32" i="6"/>
  <c r="Q34" i="6"/>
  <c r="S33" i="6"/>
  <c r="D106" i="4"/>
  <c r="C106" i="4"/>
  <c r="U34" i="6" l="1"/>
  <c r="W33" i="6"/>
  <c r="Q35" i="6"/>
  <c r="S34" i="6"/>
  <c r="H2" i="6"/>
  <c r="H3" i="6"/>
  <c r="H4" i="6" s="1"/>
  <c r="D4" i="6"/>
  <c r="D5" i="6" s="1"/>
  <c r="D6" i="6" s="1"/>
  <c r="D7" i="6" s="1"/>
  <c r="D8" i="6" s="1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3" i="6"/>
  <c r="B5" i="6"/>
  <c r="B6" i="6" s="1"/>
  <c r="U35" i="6" l="1"/>
  <c r="W34" i="6"/>
  <c r="Q36" i="6"/>
  <c r="S35" i="6"/>
  <c r="E33" i="6"/>
  <c r="F33" i="6" s="1"/>
  <c r="E24" i="6"/>
  <c r="F24" i="6" s="1"/>
  <c r="E19" i="6"/>
  <c r="F19" i="6" s="1"/>
  <c r="E10" i="6"/>
  <c r="F10" i="6" s="1"/>
  <c r="E23" i="6"/>
  <c r="F23" i="6" s="1"/>
  <c r="E14" i="6"/>
  <c r="F14" i="6" s="1"/>
  <c r="E5" i="6"/>
  <c r="F5" i="6" s="1"/>
  <c r="E32" i="6"/>
  <c r="F32" i="6" s="1"/>
  <c r="E27" i="6"/>
  <c r="F27" i="6" s="1"/>
  <c r="E18" i="6"/>
  <c r="F18" i="6" s="1"/>
  <c r="E9" i="6"/>
  <c r="F9" i="6" s="1"/>
  <c r="E36" i="6"/>
  <c r="F36" i="6" s="1"/>
  <c r="E31" i="6"/>
  <c r="F31" i="6" s="1"/>
  <c r="E22" i="6"/>
  <c r="F22" i="6" s="1"/>
  <c r="E13" i="6"/>
  <c r="F13" i="6" s="1"/>
  <c r="E4" i="6"/>
  <c r="F4" i="6" s="1"/>
  <c r="E30" i="6"/>
  <c r="F30" i="6" s="1"/>
  <c r="E37" i="6"/>
  <c r="F37" i="6" s="1"/>
  <c r="E28" i="6"/>
  <c r="F28" i="6" s="1"/>
  <c r="E2" i="6"/>
  <c r="F2" i="6" s="1"/>
  <c r="E35" i="6"/>
  <c r="F35" i="6" s="1"/>
  <c r="E26" i="6"/>
  <c r="F26" i="6" s="1"/>
  <c r="E17" i="6"/>
  <c r="F17" i="6" s="1"/>
  <c r="E8" i="6"/>
  <c r="F8" i="6" s="1"/>
  <c r="E3" i="6"/>
  <c r="F3" i="6" s="1"/>
  <c r="E39" i="6"/>
  <c r="F39" i="6" s="1"/>
  <c r="E21" i="6"/>
  <c r="F21" i="6" s="1"/>
  <c r="E12" i="6"/>
  <c r="F12" i="6" s="1"/>
  <c r="E7" i="6"/>
  <c r="F7" i="6" s="1"/>
  <c r="I2" i="6"/>
  <c r="J2" i="6" s="1"/>
  <c r="E34" i="6"/>
  <c r="F34" i="6" s="1"/>
  <c r="E25" i="6"/>
  <c r="F25" i="6" s="1"/>
  <c r="E16" i="6"/>
  <c r="F16" i="6" s="1"/>
  <c r="E11" i="6"/>
  <c r="F11" i="6" s="1"/>
  <c r="E38" i="6"/>
  <c r="F38" i="6" s="1"/>
  <c r="E29" i="6"/>
  <c r="F29" i="6" s="1"/>
  <c r="E20" i="6"/>
  <c r="F20" i="6" s="1"/>
  <c r="E15" i="6"/>
  <c r="F15" i="6" s="1"/>
  <c r="E6" i="6"/>
  <c r="F6" i="6" s="1"/>
  <c r="I3" i="6"/>
  <c r="J3" i="6" s="1"/>
  <c r="H5" i="6"/>
  <c r="I4" i="6"/>
  <c r="J4" i="6" s="1"/>
  <c r="W35" i="6" l="1"/>
  <c r="U36" i="6"/>
  <c r="Q37" i="6"/>
  <c r="S36" i="6"/>
  <c r="I5" i="6"/>
  <c r="J5" i="6" s="1"/>
  <c r="H6" i="6"/>
  <c r="F106" i="4"/>
  <c r="H105" i="4"/>
  <c r="U37" i="6" l="1"/>
  <c r="W36" i="6"/>
  <c r="S37" i="6"/>
  <c r="Q38" i="6"/>
  <c r="H7" i="6"/>
  <c r="I6" i="6"/>
  <c r="J6" i="6" s="1"/>
  <c r="H107" i="4"/>
  <c r="AH46" i="3"/>
  <c r="AI46" i="3"/>
  <c r="AH47" i="3"/>
  <c r="AI47" i="3"/>
  <c r="AH48" i="3"/>
  <c r="AI48" i="3"/>
  <c r="AH49" i="3"/>
  <c r="AI49" i="3"/>
  <c r="AH50" i="3"/>
  <c r="AI50" i="3"/>
  <c r="AH51" i="3"/>
  <c r="AI51" i="3"/>
  <c r="U38" i="6" l="1"/>
  <c r="W37" i="6"/>
  <c r="Q39" i="6"/>
  <c r="S39" i="6" s="1"/>
  <c r="S38" i="6"/>
  <c r="I7" i="6"/>
  <c r="J7" i="6" s="1"/>
  <c r="H8" i="6"/>
  <c r="AH12" i="3"/>
  <c r="AI12" i="3"/>
  <c r="AH40" i="3"/>
  <c r="AI40" i="3"/>
  <c r="W38" i="6" l="1"/>
  <c r="U39" i="6"/>
  <c r="W39" i="6" s="1"/>
  <c r="H9" i="6"/>
  <c r="I8" i="6"/>
  <c r="J8" i="6" s="1"/>
  <c r="AH52" i="3"/>
  <c r="AI52" i="3"/>
  <c r="AH53" i="3"/>
  <c r="AI53" i="3"/>
  <c r="H10" i="6" l="1"/>
  <c r="I9" i="6"/>
  <c r="J9" i="6" s="1"/>
  <c r="G105" i="4"/>
  <c r="I10" i="6" l="1"/>
  <c r="J10" i="6" s="1"/>
  <c r="H11" i="6"/>
  <c r="G107" i="4"/>
  <c r="B106" i="4"/>
  <c r="E105" i="4"/>
  <c r="D105" i="4"/>
  <c r="C105" i="4"/>
  <c r="F20" i="4"/>
  <c r="F19" i="4"/>
  <c r="F104" i="4" s="1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B104" i="4" l="1"/>
  <c r="E107" i="4"/>
  <c r="F105" i="4"/>
  <c r="F107" i="4" s="1"/>
  <c r="H12" i="6"/>
  <c r="I11" i="6"/>
  <c r="J11" i="6" s="1"/>
  <c r="C107" i="4"/>
  <c r="D107" i="4"/>
  <c r="B105" i="4"/>
  <c r="B107" i="4" s="1"/>
  <c r="H13" i="6" l="1"/>
  <c r="I12" i="6"/>
  <c r="J12" i="6" s="1"/>
  <c r="AH45" i="3"/>
  <c r="AI45" i="3"/>
  <c r="H14" i="6" l="1"/>
  <c r="I13" i="6"/>
  <c r="J13" i="6" s="1"/>
  <c r="AH3" i="3"/>
  <c r="AI3" i="3"/>
  <c r="AH4" i="3"/>
  <c r="AI4" i="3"/>
  <c r="AH5" i="3"/>
  <c r="AI5" i="3"/>
  <c r="AH6" i="3"/>
  <c r="AI6" i="3"/>
  <c r="AH7" i="3"/>
  <c r="AI7" i="3"/>
  <c r="AH8" i="3"/>
  <c r="AI8" i="3"/>
  <c r="AH9" i="3"/>
  <c r="AI9" i="3"/>
  <c r="AH10" i="3"/>
  <c r="AI10" i="3"/>
  <c r="AH11" i="3"/>
  <c r="AI11" i="3"/>
  <c r="AH13" i="3"/>
  <c r="AI13" i="3"/>
  <c r="AH14" i="3"/>
  <c r="AI14" i="3"/>
  <c r="AH15" i="3"/>
  <c r="AI15" i="3"/>
  <c r="AH16" i="3"/>
  <c r="AI16" i="3"/>
  <c r="AH17" i="3"/>
  <c r="AI17" i="3"/>
  <c r="AH18" i="3"/>
  <c r="AI18" i="3"/>
  <c r="AH19" i="3"/>
  <c r="AI19" i="3"/>
  <c r="AH20" i="3"/>
  <c r="AI20" i="3"/>
  <c r="AH21" i="3"/>
  <c r="AI21" i="3"/>
  <c r="AH22" i="3"/>
  <c r="AI22" i="3"/>
  <c r="AH23" i="3"/>
  <c r="AI23" i="3"/>
  <c r="AH24" i="3"/>
  <c r="AI24" i="3"/>
  <c r="AH25" i="3"/>
  <c r="AI25" i="3"/>
  <c r="AH26" i="3"/>
  <c r="AI26" i="3"/>
  <c r="AH27" i="3"/>
  <c r="AI27" i="3"/>
  <c r="AH28" i="3"/>
  <c r="AI28" i="3"/>
  <c r="AH29" i="3"/>
  <c r="AI29" i="3"/>
  <c r="AH30" i="3"/>
  <c r="AI30" i="3"/>
  <c r="AH31" i="3"/>
  <c r="AI31" i="3"/>
  <c r="AH32" i="3"/>
  <c r="AI32" i="3"/>
  <c r="AH33" i="3"/>
  <c r="AI33" i="3"/>
  <c r="AH34" i="3"/>
  <c r="AI34" i="3"/>
  <c r="AH35" i="3"/>
  <c r="AI35" i="3"/>
  <c r="AH36" i="3"/>
  <c r="AI36" i="3"/>
  <c r="AH37" i="3"/>
  <c r="AI37" i="3"/>
  <c r="AH38" i="3"/>
  <c r="AI38" i="3"/>
  <c r="AH39" i="3"/>
  <c r="AI39" i="3"/>
  <c r="AH41" i="3"/>
  <c r="AI41" i="3"/>
  <c r="AH42" i="3"/>
  <c r="AI42" i="3"/>
  <c r="AH43" i="3"/>
  <c r="AI43" i="3"/>
  <c r="AH44" i="3"/>
  <c r="AI44" i="3"/>
  <c r="AI2" i="3"/>
  <c r="AH2" i="3"/>
  <c r="H15" i="6" l="1"/>
  <c r="I14" i="6"/>
  <c r="J14" i="6" s="1"/>
  <c r="I15" i="6" l="1"/>
  <c r="J15" i="6" s="1"/>
  <c r="H16" i="6"/>
  <c r="H17" i="6" l="1"/>
  <c r="I16" i="6"/>
  <c r="J16" i="6" s="1"/>
  <c r="H18" i="6" l="1"/>
  <c r="I17" i="6"/>
  <c r="J17" i="6" s="1"/>
  <c r="I18" i="6" l="1"/>
  <c r="J18" i="6" s="1"/>
  <c r="H19" i="6"/>
  <c r="I19" i="6" l="1"/>
  <c r="J19" i="6" s="1"/>
  <c r="H20" i="6"/>
  <c r="H21" i="6" l="1"/>
  <c r="I20" i="6"/>
  <c r="J20" i="6" s="1"/>
  <c r="H22" i="6" l="1"/>
  <c r="I21" i="6"/>
  <c r="J21" i="6" s="1"/>
  <c r="H23" i="6" l="1"/>
  <c r="I22" i="6"/>
  <c r="J22" i="6" s="1"/>
  <c r="I23" i="6" l="1"/>
  <c r="J23" i="6" s="1"/>
  <c r="H24" i="6"/>
  <c r="H25" i="6" l="1"/>
  <c r="I24" i="6"/>
  <c r="J24" i="6" s="1"/>
  <c r="H26" i="6" l="1"/>
  <c r="I25" i="6"/>
  <c r="J25" i="6" s="1"/>
  <c r="I26" i="6" l="1"/>
  <c r="J26" i="6" s="1"/>
  <c r="H27" i="6"/>
  <c r="H28" i="6" l="1"/>
  <c r="I27" i="6"/>
  <c r="J27" i="6" s="1"/>
  <c r="H29" i="6" l="1"/>
  <c r="I28" i="6"/>
  <c r="J28" i="6" s="1"/>
  <c r="H30" i="6" l="1"/>
  <c r="I29" i="6"/>
  <c r="J29" i="6" s="1"/>
  <c r="H31" i="6" l="1"/>
  <c r="I30" i="6"/>
  <c r="J30" i="6" s="1"/>
  <c r="H32" i="6" l="1"/>
  <c r="I31" i="6"/>
  <c r="J31" i="6" s="1"/>
  <c r="H33" i="6" l="1"/>
  <c r="I32" i="6"/>
  <c r="J32" i="6" s="1"/>
  <c r="H34" i="6" l="1"/>
  <c r="I33" i="6"/>
  <c r="J33" i="6" s="1"/>
  <c r="I34" i="6" l="1"/>
  <c r="J34" i="6" s="1"/>
  <c r="H35" i="6"/>
  <c r="H36" i="6" l="1"/>
  <c r="I35" i="6"/>
  <c r="J35" i="6" s="1"/>
  <c r="H37" i="6" l="1"/>
  <c r="I36" i="6"/>
  <c r="J36" i="6" s="1"/>
  <c r="I37" i="6" l="1"/>
  <c r="J37" i="6" s="1"/>
  <c r="H38" i="6"/>
  <c r="H39" i="6" l="1"/>
  <c r="I39" i="6" s="1"/>
  <c r="J39" i="6" s="1"/>
  <c r="I38" i="6"/>
  <c r="J38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Pedro Medeiros Hamacher</author>
  </authors>
  <commentList>
    <comment ref="AC34" authorId="0" shapeId="0" xr:uid="{843BE251-CA81-4D15-91E4-3EBE6EE57EE4}">
      <text>
        <r>
          <rPr>
            <b/>
            <sz val="9"/>
            <color indexed="81"/>
            <rFont val="Tahoma"/>
            <family val="2"/>
          </rPr>
          <t>devolvi 1 real extra em agosto</t>
        </r>
      </text>
    </comment>
  </commentList>
</comments>
</file>

<file path=xl/sharedStrings.xml><?xml version="1.0" encoding="utf-8"?>
<sst xmlns="http://schemas.openxmlformats.org/spreadsheetml/2006/main" count="9382" uniqueCount="173">
  <si>
    <t>Jogador</t>
  </si>
  <si>
    <t>Hamacher</t>
  </si>
  <si>
    <t>Almeida</t>
  </si>
  <si>
    <t>Murilo</t>
  </si>
  <si>
    <t>Gugão</t>
  </si>
  <si>
    <t>TT</t>
  </si>
  <si>
    <t>Felipe</t>
  </si>
  <si>
    <t>Bob</t>
  </si>
  <si>
    <t>Sommer</t>
  </si>
  <si>
    <t>Joe</t>
  </si>
  <si>
    <t>Mello</t>
  </si>
  <si>
    <t>Pereira</t>
  </si>
  <si>
    <t>Georges</t>
  </si>
  <si>
    <t>Cout</t>
  </si>
  <si>
    <t>Elabras</t>
  </si>
  <si>
    <t>Yuri</t>
  </si>
  <si>
    <t>Vinisk</t>
  </si>
  <si>
    <t>Cingo</t>
  </si>
  <si>
    <t>Lucca</t>
  </si>
  <si>
    <t>Kas</t>
  </si>
  <si>
    <t>Poio</t>
  </si>
  <si>
    <t>Ricardo</t>
  </si>
  <si>
    <t>Tulio</t>
  </si>
  <si>
    <t>Amorim</t>
  </si>
  <si>
    <t>Coelho</t>
  </si>
  <si>
    <t/>
  </si>
  <si>
    <t>Data</t>
  </si>
  <si>
    <t>A1</t>
  </si>
  <si>
    <t>A2</t>
  </si>
  <si>
    <t>A3</t>
  </si>
  <si>
    <t>A4</t>
  </si>
  <si>
    <t>A5</t>
  </si>
  <si>
    <t>A6</t>
  </si>
  <si>
    <t>A</t>
  </si>
  <si>
    <t>B1</t>
  </si>
  <si>
    <t>B2</t>
  </si>
  <si>
    <t>B3</t>
  </si>
  <si>
    <t>B4</t>
  </si>
  <si>
    <t>B5</t>
  </si>
  <si>
    <t>B6</t>
  </si>
  <si>
    <t>B</t>
  </si>
  <si>
    <t>Jogos</t>
  </si>
  <si>
    <t>Lucca 2</t>
  </si>
  <si>
    <t>Samps</t>
  </si>
  <si>
    <t>Tuca</t>
  </si>
  <si>
    <t>Mig</t>
  </si>
  <si>
    <t>Yuri 2</t>
  </si>
  <si>
    <t>Caio</t>
  </si>
  <si>
    <t>Theo</t>
  </si>
  <si>
    <t>Goleiro</t>
  </si>
  <si>
    <t>Mateus</t>
  </si>
  <si>
    <t>Fonseca</t>
  </si>
  <si>
    <t>Maia</t>
  </si>
  <si>
    <t>Diego</t>
  </si>
  <si>
    <t>Pig</t>
  </si>
  <si>
    <t>Octavio</t>
  </si>
  <si>
    <t>Total</t>
  </si>
  <si>
    <t>Média</t>
  </si>
  <si>
    <t>Std</t>
  </si>
  <si>
    <t>Paulista</t>
  </si>
  <si>
    <t>Lucas</t>
  </si>
  <si>
    <t>Mensal</t>
  </si>
  <si>
    <t>Queiroga</t>
  </si>
  <si>
    <t>Gols oficiais</t>
  </si>
  <si>
    <t>Gols (total)</t>
  </si>
  <si>
    <t>Dino</t>
  </si>
  <si>
    <t>Sem data</t>
  </si>
  <si>
    <t>Lulinha</t>
  </si>
  <si>
    <t>Junho</t>
  </si>
  <si>
    <t>Julho</t>
  </si>
  <si>
    <t>Agosto</t>
  </si>
  <si>
    <t>Setembro</t>
  </si>
  <si>
    <t>Outubro</t>
  </si>
  <si>
    <t>Total a receber</t>
  </si>
  <si>
    <t>Recebi no PIX</t>
  </si>
  <si>
    <t>Novembro</t>
  </si>
  <si>
    <t>Bernardo</t>
  </si>
  <si>
    <t>Gabriel</t>
  </si>
  <si>
    <t>João Pedro</t>
  </si>
  <si>
    <t>Leo Motta</t>
  </si>
  <si>
    <t>Pupe</t>
  </si>
  <si>
    <t>Spohr</t>
  </si>
  <si>
    <t>Rafael</t>
  </si>
  <si>
    <t>Drope</t>
  </si>
  <si>
    <t>Toninho</t>
  </si>
  <si>
    <t>Werneck</t>
  </si>
  <si>
    <t>Dezembro</t>
  </si>
  <si>
    <t>a</t>
  </si>
  <si>
    <t>b</t>
  </si>
  <si>
    <t>x</t>
  </si>
  <si>
    <t>y</t>
  </si>
  <si>
    <t>antiga</t>
  </si>
  <si>
    <t>nova</t>
  </si>
  <si>
    <t>Janeiro</t>
  </si>
  <si>
    <t>Pedro Goleiro</t>
  </si>
  <si>
    <t>Pedro Augusto</t>
  </si>
  <si>
    <t>Fevereiro</t>
  </si>
  <si>
    <t>Fernando</t>
  </si>
  <si>
    <t>Matheus Machado</t>
  </si>
  <si>
    <t>Mateus (Luiza)</t>
  </si>
  <si>
    <t>André</t>
  </si>
  <si>
    <t>Brito</t>
  </si>
  <si>
    <t>Março</t>
  </si>
  <si>
    <t>Última atualização</t>
  </si>
  <si>
    <t>Nem</t>
  </si>
  <si>
    <t>João Marcio</t>
  </si>
  <si>
    <t>Tuta</t>
  </si>
  <si>
    <t>Botelho</t>
  </si>
  <si>
    <t>Souza</t>
  </si>
  <si>
    <t>Abril</t>
  </si>
  <si>
    <t>Joao Marcio</t>
  </si>
  <si>
    <t>Maio</t>
  </si>
  <si>
    <t>Guto</t>
  </si>
  <si>
    <t>Chubao</t>
  </si>
  <si>
    <t>Chubão</t>
  </si>
  <si>
    <t>Bernardo Pereira</t>
  </si>
  <si>
    <t>Bagio</t>
  </si>
  <si>
    <t>Vinicius Kas</t>
  </si>
  <si>
    <t>Túlio</t>
  </si>
  <si>
    <t>Marcelo</t>
  </si>
  <si>
    <t>Olavo</t>
  </si>
  <si>
    <t>convidados</t>
  </si>
  <si>
    <t>valor conv</t>
  </si>
  <si>
    <t>valor mens</t>
  </si>
  <si>
    <t>mensalidade</t>
  </si>
  <si>
    <t>Luca</t>
  </si>
  <si>
    <t>Enrico</t>
  </si>
  <si>
    <t>Ricardo fla</t>
  </si>
  <si>
    <t>Moritz</t>
  </si>
  <si>
    <t>Croce</t>
  </si>
  <si>
    <t>Saramago</t>
  </si>
  <si>
    <t>Sarra</t>
  </si>
  <si>
    <t>Juninho</t>
  </si>
  <si>
    <t>Caio Yuri</t>
  </si>
  <si>
    <t>2025 -&gt; 2026</t>
  </si>
  <si>
    <t>conv</t>
  </si>
  <si>
    <t>Thiago</t>
  </si>
  <si>
    <t>Verificação</t>
  </si>
  <si>
    <t>Passo</t>
  </si>
  <si>
    <t>Gabe</t>
  </si>
  <si>
    <t>G. Ripardo</t>
  </si>
  <si>
    <t>Thiago T.</t>
  </si>
  <si>
    <t>Eduardo</t>
  </si>
  <si>
    <t>Joshua</t>
  </si>
  <si>
    <t>Leo MJ</t>
  </si>
  <si>
    <t>Caio Brandão</t>
  </si>
  <si>
    <t>Max</t>
  </si>
  <si>
    <t>Garça</t>
  </si>
  <si>
    <t>Caio Reis</t>
  </si>
  <si>
    <t>André Palis</t>
  </si>
  <si>
    <t>junho</t>
  </si>
  <si>
    <t>Bernardo Salles</t>
  </si>
  <si>
    <t>Miguel (Bernardo)</t>
  </si>
  <si>
    <t>Raphael B.</t>
  </si>
  <si>
    <t>Frederico</t>
  </si>
  <si>
    <t>Thiago C.</t>
  </si>
  <si>
    <t>Raphael</t>
  </si>
  <si>
    <t xml:space="preserve"> </t>
  </si>
  <si>
    <t>Thiago Aninha</t>
  </si>
  <si>
    <t>Vini Wada</t>
  </si>
  <si>
    <t>Leo Queiroz</t>
  </si>
  <si>
    <t>Elton</t>
  </si>
  <si>
    <t>Pedro Tonietto</t>
  </si>
  <si>
    <t>Pedro Perrota</t>
  </si>
  <si>
    <t>mensalistas</t>
  </si>
  <si>
    <t>Victor</t>
  </si>
  <si>
    <t>último checkado</t>
  </si>
  <si>
    <t>Miguel 2</t>
  </si>
  <si>
    <t>Vitor</t>
  </si>
  <si>
    <t>Mateus (André)</t>
  </si>
  <si>
    <t>Mateus Lages</t>
  </si>
  <si>
    <t>Perrota</t>
  </si>
  <si>
    <t>Tauã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</si>
</sst>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-[$R$-416]\ * #,##0.00_-;\-[$R$-416]\ * #,##0.00_-;_-[$R$-416]\ 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81"/>
      <name val="Tahom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14" fontId="0" fillId="0" borderId="0" xfId="0" applyNumberFormat="1"/>
    <xf numFmtId="0" fontId="0" fillId="0" borderId="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33" borderId="0" xfId="0" applyFill="1" applyBorder="1" applyAlignment="1">
      <alignment horizontal="center"/>
    </xf>
    <xf numFmtId="0" fontId="0" fillId="33" borderId="12" xfId="0" applyFill="1" applyBorder="1" applyAlignment="1">
      <alignment horizontal="center"/>
    </xf>
    <xf numFmtId="0" fontId="0" fillId="34" borderId="0" xfId="0" applyFill="1" applyBorder="1" applyAlignment="1">
      <alignment horizontal="center"/>
    </xf>
    <xf numFmtId="0" fontId="0" fillId="34" borderId="12" xfId="0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33" borderId="13" xfId="0" applyFill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14" fontId="0" fillId="0" borderId="17" xfId="0" applyNumberFormat="1" applyBorder="1" applyAlignment="1">
      <alignment horizontal="center"/>
    </xf>
    <xf numFmtId="14" fontId="0" fillId="0" borderId="15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2" fontId="0" fillId="0" borderId="0" xfId="0" applyNumberFormat="1"/>
    <xf numFmtId="165" fontId="0" fillId="0" borderId="0" xfId="42" applyNumberFormat="1" applyFont="1" applyFill="1"/>
    <xf numFmtId="165" fontId="0" fillId="0" borderId="0" xfId="0" applyNumberFormat="1"/>
    <xf numFmtId="165" fontId="0" fillId="35" borderId="0" xfId="42" applyNumberFormat="1" applyFont="1" applyFill="1"/>
    <xf numFmtId="0" fontId="0" fillId="0" borderId="0" xfId="0" applyFill="1"/>
    <xf numFmtId="165" fontId="0" fillId="0" borderId="0" xfId="0" applyNumberFormat="1" applyFill="1"/>
    <xf numFmtId="10" fontId="0" fillId="0" borderId="0" xfId="43" applyNumberFormat="1" applyFont="1"/>
    <xf numFmtId="165" fontId="0" fillId="36" borderId="0" xfId="42" applyNumberFormat="1" applyFont="1" applyFill="1"/>
    <xf numFmtId="0" fontId="0" fillId="36" borderId="0" xfId="0" applyFill="1"/>
    <xf numFmtId="0" fontId="0" fillId="35" borderId="0" xfId="0" applyFill="1" applyBorder="1" applyAlignment="1">
      <alignment horizontal="center"/>
    </xf>
    <xf numFmtId="0" fontId="0" fillId="35" borderId="12" xfId="0" applyFill="1" applyBorder="1" applyAlignment="1">
      <alignment horizontal="center"/>
    </xf>
    <xf numFmtId="14" fontId="0" fillId="0" borderId="0" xfId="0" applyNumberFormat="1" applyFill="1"/>
    <xf numFmtId="16" fontId="0" fillId="0" borderId="0" xfId="0" applyNumberFormat="1"/>
    <xf numFmtId="0" fontId="0" fillId="0" borderId="0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165" fontId="0" fillId="0" borderId="0" xfId="42" applyNumberFormat="1" applyFont="1"/>
    <xf numFmtId="14" fontId="0" fillId="35" borderId="0" xfId="0" applyNumberFormat="1" applyFill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2025</a:t>
            </a:r>
            <a:r>
              <a:rPr lang="en-US" baseline="0"/>
              <a:t> -&gt; 2026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'conversão notas'!$N$2:$N$8</c:f>
              <c:numCache>
                <c:formatCode>General</c:formatCode>
                <c:ptCount val="7"/>
                <c:pt idx="0">
                  <c:v>5</c:v>
                </c:pt>
                <c:pt idx="1">
                  <c:v>5.5</c:v>
                </c:pt>
                <c:pt idx="2">
                  <c:v>6</c:v>
                </c:pt>
                <c:pt idx="3">
                  <c:v>6.5</c:v>
                </c:pt>
                <c:pt idx="4">
                  <c:v>7</c:v>
                </c:pt>
                <c:pt idx="5">
                  <c:v>4.5</c:v>
                </c:pt>
                <c:pt idx="6">
                  <c:v>3.5</c:v>
                </c:pt>
              </c:numCache>
            </c:numRef>
          </c:xVal>
          <c:yVal>
            <c:numRef>
              <c:f>'conversão notas'!$O$2:$O$8</c:f>
              <c:numCache>
                <c:formatCode>General</c:formatCode>
                <c:ptCount val="7"/>
                <c:pt idx="0">
                  <c:v>5.7</c:v>
                </c:pt>
                <c:pt idx="1">
                  <c:v>6.3</c:v>
                </c:pt>
                <c:pt idx="2">
                  <c:v>7.2</c:v>
                </c:pt>
                <c:pt idx="3">
                  <c:v>7.9</c:v>
                </c:pt>
                <c:pt idx="4">
                  <c:v>8.4</c:v>
                </c:pt>
                <c:pt idx="5">
                  <c:v>4.9000000000000004</c:v>
                </c:pt>
                <c:pt idx="6">
                  <c:v>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00-4766-A091-AF632C4D82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854895"/>
        <c:axId val="59774447"/>
      </c:scatterChart>
      <c:valAx>
        <c:axId val="60854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74447"/>
        <c:crosses val="autoZero"/>
        <c:crossBetween val="midCat"/>
      </c:valAx>
      <c:valAx>
        <c:axId val="59774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54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34925</xdr:colOff>
      <xdr:row>10</xdr:row>
      <xdr:rowOff>179387</xdr:rowOff>
    </xdr:from>
    <xdr:to>
      <xdr:col>31</xdr:col>
      <xdr:colOff>339725</xdr:colOff>
      <xdr:row>26</xdr:row>
      <xdr:rowOff>39687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BB6484-9303-4BD2-AD74-614857E34F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Q103"/>
  <sheetViews>
    <sheetView zoomScale="85" zoomScaleNormal="85" workbookViewId="0">
      <pane xSplit="1" topLeftCell="DF1" activePane="topRight" state="frozen"/>
      <selection pane="topRight" activeCell="DK1" sqref="DK1"/>
    </sheetView>
  </sheetViews>
  <sheetFormatPr defaultRowHeight="14.5" x14ac:dyDescent="0.35"/>
  <cols>
    <col min="2" max="2" width="9.453125" hidden="1" customWidth="1"/>
    <col min="3" max="5" width="10.6328125" hidden="1" customWidth="1"/>
    <col min="6" max="6" width="9.453125" hidden="1" customWidth="1"/>
    <col min="7" max="10" width="10.6328125" hidden="1" customWidth="1"/>
    <col min="11" max="11" width="9.453125" hidden="1" customWidth="1"/>
    <col min="12" max="14" width="10.6328125" hidden="1" customWidth="1"/>
    <col min="15" max="15" width="9.453125" hidden="1" customWidth="1"/>
    <col min="16" max="18" width="10.6328125" hidden="1" customWidth="1"/>
    <col min="19" max="19" width="9.54296875" hidden="1" customWidth="1"/>
    <col min="20" max="20" width="9.81640625" hidden="1" customWidth="1"/>
    <col min="21" max="23" width="10.54296875" hidden="1" customWidth="1"/>
    <col min="24" max="24" width="9.54296875" hidden="1" customWidth="1"/>
    <col min="25" max="25" width="10.54296875" hidden="1" customWidth="1"/>
    <col min="26" max="26" width="11.54296875" hidden="1" customWidth="1"/>
    <col min="27" max="29" width="10.54296875" hidden="1" customWidth="1"/>
    <col min="30" max="30" width="11" hidden="1" customWidth="1"/>
    <col min="31" max="48" width="10.54296875" hidden="1" customWidth="1"/>
    <col min="49" max="58" width="9.54296875" hidden="1" customWidth="1"/>
    <col min="59" max="65" width="10.453125" hidden="1" customWidth="1"/>
    <col min="66" max="80" width="11" hidden="1" customWidth="1"/>
    <col min="81" max="115" width="11" customWidth="1"/>
  </cols>
  <sheetData>
    <row r="1" spans="1:121" x14ac:dyDescent="0.35">
      <c r="A1" t="s">
        <v>0</v>
      </c>
      <c r="B1" s="1">
        <v>45448</v>
      </c>
      <c r="C1" s="1">
        <v>45455</v>
      </c>
      <c r="D1" s="1">
        <v>45462</v>
      </c>
      <c r="E1" s="1">
        <v>45469</v>
      </c>
      <c r="F1" s="1">
        <v>45476</v>
      </c>
      <c r="G1" s="1">
        <v>45483</v>
      </c>
      <c r="H1" s="1">
        <v>45490</v>
      </c>
      <c r="I1" s="1">
        <v>45498</v>
      </c>
      <c r="J1" s="1">
        <v>45504</v>
      </c>
      <c r="K1" s="1">
        <v>45511</v>
      </c>
      <c r="L1" s="1">
        <v>45518</v>
      </c>
      <c r="M1" s="1">
        <v>45525</v>
      </c>
      <c r="N1" s="1">
        <v>45532</v>
      </c>
      <c r="O1" s="1">
        <v>45539</v>
      </c>
      <c r="P1" s="1">
        <v>45546</v>
      </c>
      <c r="Q1" s="1">
        <v>45553</v>
      </c>
      <c r="R1" s="1">
        <v>45560</v>
      </c>
      <c r="S1" s="1">
        <v>45568</v>
      </c>
      <c r="T1" s="1">
        <v>45574</v>
      </c>
      <c r="U1" s="1">
        <v>45581</v>
      </c>
      <c r="V1" s="1">
        <v>45588</v>
      </c>
      <c r="W1" s="1">
        <v>45595</v>
      </c>
      <c r="X1" s="1">
        <v>45602</v>
      </c>
      <c r="Y1" s="1">
        <v>45609</v>
      </c>
      <c r="Z1" s="1">
        <v>45616</v>
      </c>
      <c r="AA1" s="1">
        <v>45623</v>
      </c>
      <c r="AB1" s="1">
        <v>45629</v>
      </c>
      <c r="AC1" s="1">
        <v>45637</v>
      </c>
      <c r="AD1" s="1">
        <v>45645</v>
      </c>
      <c r="AE1" s="1">
        <v>45666</v>
      </c>
      <c r="AF1" s="1">
        <v>45672</v>
      </c>
      <c r="AG1" s="1">
        <v>45679</v>
      </c>
      <c r="AH1" s="1">
        <v>45686</v>
      </c>
      <c r="AI1" s="1">
        <v>45693</v>
      </c>
      <c r="AJ1" s="1">
        <v>45700</v>
      </c>
      <c r="AK1" s="1">
        <v>45707</v>
      </c>
      <c r="AL1" s="1">
        <v>45714</v>
      </c>
      <c r="AM1" s="1">
        <v>45721</v>
      </c>
      <c r="AN1" s="1">
        <v>45728</v>
      </c>
      <c r="AO1" s="1">
        <v>45735</v>
      </c>
      <c r="AP1" s="1">
        <v>45742</v>
      </c>
      <c r="AQ1" s="1">
        <v>45749</v>
      </c>
      <c r="AR1" s="1">
        <v>45756</v>
      </c>
      <c r="AS1" s="1">
        <v>45763</v>
      </c>
      <c r="AT1" s="1">
        <v>45770</v>
      </c>
      <c r="AU1" s="1">
        <v>45777</v>
      </c>
      <c r="AV1" s="1">
        <v>45784</v>
      </c>
      <c r="AW1" s="1">
        <v>45791</v>
      </c>
      <c r="AX1" s="1">
        <v>45798</v>
      </c>
      <c r="AY1" s="1">
        <v>45805</v>
      </c>
      <c r="AZ1" s="1">
        <v>45812</v>
      </c>
      <c r="BA1" s="1">
        <v>45819</v>
      </c>
      <c r="BB1" s="1">
        <v>45826</v>
      </c>
      <c r="BC1" s="1">
        <v>45833</v>
      </c>
      <c r="BD1" s="1">
        <v>45840</v>
      </c>
      <c r="BE1" s="1">
        <v>45847</v>
      </c>
      <c r="BF1" s="1">
        <v>45854</v>
      </c>
      <c r="BG1" s="1">
        <v>45861</v>
      </c>
      <c r="BH1" s="1">
        <v>45868</v>
      </c>
      <c r="BI1" s="1">
        <v>45875</v>
      </c>
      <c r="BJ1" s="1">
        <v>45882</v>
      </c>
      <c r="BK1" s="1">
        <v>45889</v>
      </c>
      <c r="BL1" s="1">
        <v>45896</v>
      </c>
      <c r="BM1" s="1">
        <v>45903</v>
      </c>
      <c r="BN1" s="1">
        <v>45910</v>
      </c>
      <c r="BO1" s="1">
        <v>45917</v>
      </c>
      <c r="BP1" s="1">
        <v>45924</v>
      </c>
      <c r="BQ1" s="1">
        <v>45931</v>
      </c>
      <c r="BR1" s="1">
        <v>45938</v>
      </c>
      <c r="BS1" s="1">
        <v>45945</v>
      </c>
      <c r="BT1" s="1">
        <v>45952</v>
      </c>
      <c r="BU1" s="1">
        <v>45960</v>
      </c>
      <c r="BV1" s="1">
        <v>45966</v>
      </c>
      <c r="BW1" s="1">
        <v>45973</v>
      </c>
      <c r="BX1" s="1">
        <v>45980</v>
      </c>
      <c r="BY1" s="1">
        <v>45987</v>
      </c>
      <c r="BZ1" s="1">
        <v>45994</v>
      </c>
      <c r="CA1" s="1">
        <v>46001</v>
      </c>
      <c r="CB1" s="1">
        <v>46008</v>
      </c>
      <c r="CC1" s="1">
        <v>46029</v>
      </c>
      <c r="CD1" s="1">
        <v>46036</v>
      </c>
      <c r="CE1" s="1">
        <v>46043</v>
      </c>
      <c r="CF1" s="1">
        <v>46050</v>
      </c>
      <c r="CG1" s="1">
        <v>46057</v>
      </c>
      <c r="CH1" s="1">
        <v>46064</v>
      </c>
      <c r="CI1" s="1">
        <v>46071</v>
      </c>
      <c r="CJ1" s="1">
        <v>46078</v>
      </c>
      <c r="CK1" s="1">
        <v>46085</v>
      </c>
      <c r="CL1" s="1">
        <v>46092</v>
      </c>
      <c r="CM1" s="1">
        <v>46099</v>
      </c>
      <c r="CN1" s="1">
        <v>46106</v>
      </c>
      <c r="CO1" s="1">
        <v>46113</v>
      </c>
      <c r="CP1" s="1">
        <v>46120</v>
      </c>
      <c r="CQ1" s="1">
        <v>46127</v>
      </c>
      <c r="CR1" s="1">
        <v>46134</v>
      </c>
      <c r="CS1" s="1">
        <v>46141</v>
      </c>
      <c r="CT1" s="1">
        <v>46148</v>
      </c>
      <c r="CU1" s="1">
        <v>46155</v>
      </c>
      <c r="CV1" s="1">
        <v>46162</v>
      </c>
      <c r="CW1" s="1">
        <v>46169</v>
      </c>
      <c r="CX1" s="1">
        <v>46176</v>
      </c>
      <c r="CY1" s="1">
        <v>46184</v>
      </c>
      <c r="CZ1" s="1">
        <v>46190</v>
      </c>
      <c r="DA1" s="1">
        <v>46569</v>
      </c>
      <c r="DB1" s="1">
        <v>46211</v>
      </c>
      <c r="DC1" s="1">
        <v>46218</v>
      </c>
      <c r="DD1" s="1">
        <v>46225</v>
      </c>
      <c r="DE1" s="1">
        <v>46232</v>
      </c>
      <c r="DF1" s="1">
        <v>46239</v>
      </c>
      <c r="DG1" s="1">
        <v>46246</v>
      </c>
      <c r="DH1" s="1">
        <v>46260</v>
      </c>
      <c r="DI1" s="1">
        <v>46267</v>
      </c>
      <c r="DJ1" s="1">
        <v>46274</v>
      </c>
      <c r="DK1" s="1"/>
      <c r="DL1" t="s">
        <v>56</v>
      </c>
      <c r="DM1" t="s">
        <v>57</v>
      </c>
      <c r="DN1" t="s">
        <v>58</v>
      </c>
      <c r="DO1" t="s">
        <v>61</v>
      </c>
      <c r="DP1" t="s">
        <v>150</v>
      </c>
      <c r="DQ1" t="s">
        <v>135</v>
      </c>
    </row>
    <row r="2" spans="1:121" x14ac:dyDescent="0.35">
      <c r="A2" t="s">
        <v>1</v>
      </c>
      <c r="B2">
        <v>9.5</v>
      </c>
      <c r="C2">
        <v>1.5</v>
      </c>
      <c r="D2">
        <v>8</v>
      </c>
      <c r="E2">
        <v>5.5</v>
      </c>
      <c r="F2">
        <v>7</v>
      </c>
      <c r="G2">
        <v>7</v>
      </c>
      <c r="H2">
        <v>5</v>
      </c>
      <c r="I2">
        <v>8</v>
      </c>
      <c r="J2">
        <v>5</v>
      </c>
      <c r="K2">
        <v>7</v>
      </c>
      <c r="L2">
        <v>8</v>
      </c>
      <c r="M2">
        <v>5</v>
      </c>
      <c r="N2">
        <v>5.5</v>
      </c>
      <c r="O2">
        <v>5</v>
      </c>
      <c r="P2">
        <v>7</v>
      </c>
      <c r="Q2">
        <v>7</v>
      </c>
      <c r="R2">
        <v>7</v>
      </c>
      <c r="S2">
        <v>8</v>
      </c>
      <c r="T2">
        <v>5.5</v>
      </c>
      <c r="U2">
        <v>5</v>
      </c>
      <c r="V2">
        <v>5.5</v>
      </c>
      <c r="W2">
        <v>5.5</v>
      </c>
      <c r="X2">
        <v>5.5</v>
      </c>
      <c r="Y2">
        <v>7</v>
      </c>
      <c r="Z2" t="s">
        <v>25</v>
      </c>
      <c r="AA2">
        <v>5.5</v>
      </c>
      <c r="AB2">
        <v>5.5</v>
      </c>
      <c r="AC2">
        <v>8</v>
      </c>
      <c r="AD2">
        <v>7</v>
      </c>
      <c r="AE2">
        <v>7</v>
      </c>
      <c r="AF2">
        <v>7</v>
      </c>
      <c r="AG2">
        <v>7</v>
      </c>
      <c r="AH2">
        <v>8</v>
      </c>
      <c r="AI2">
        <v>8</v>
      </c>
      <c r="AJ2">
        <v>5</v>
      </c>
      <c r="AK2">
        <v>5.5</v>
      </c>
      <c r="AL2">
        <v>4</v>
      </c>
      <c r="AM2">
        <v>4</v>
      </c>
      <c r="AN2">
        <v>6.5</v>
      </c>
      <c r="AO2">
        <v>5.5</v>
      </c>
      <c r="AP2">
        <v>6.5</v>
      </c>
      <c r="AQ2">
        <v>5.5</v>
      </c>
      <c r="AR2">
        <v>6.5</v>
      </c>
      <c r="AS2">
        <v>5</v>
      </c>
      <c r="AT2">
        <v>6.5</v>
      </c>
      <c r="AU2">
        <v>5.5</v>
      </c>
      <c r="AV2">
        <v>4</v>
      </c>
      <c r="AW2">
        <v>6.5</v>
      </c>
      <c r="AX2">
        <v>6.5</v>
      </c>
      <c r="AY2" t="s">
        <v>25</v>
      </c>
      <c r="AZ2" t="s">
        <v>25</v>
      </c>
      <c r="BA2">
        <v>5.5</v>
      </c>
      <c r="BB2">
        <v>6.5</v>
      </c>
      <c r="BC2">
        <v>4</v>
      </c>
      <c r="BD2">
        <v>5</v>
      </c>
      <c r="BE2" t="s">
        <v>25</v>
      </c>
      <c r="BF2">
        <v>5.5</v>
      </c>
      <c r="BG2">
        <v>5.5</v>
      </c>
      <c r="BH2">
        <v>6.5</v>
      </c>
      <c r="BI2">
        <v>6.5</v>
      </c>
      <c r="BJ2">
        <v>5.5</v>
      </c>
      <c r="BK2">
        <v>6.5</v>
      </c>
      <c r="BL2">
        <v>8</v>
      </c>
      <c r="BM2">
        <v>5.5</v>
      </c>
      <c r="BN2" t="s">
        <v>25</v>
      </c>
      <c r="BO2">
        <v>5.5</v>
      </c>
      <c r="BP2">
        <v>5</v>
      </c>
      <c r="BQ2">
        <v>5.5</v>
      </c>
      <c r="BR2">
        <v>8</v>
      </c>
      <c r="BS2">
        <v>6.5</v>
      </c>
      <c r="BT2">
        <v>5.5</v>
      </c>
      <c r="BU2">
        <v>6.5</v>
      </c>
      <c r="BV2">
        <v>7</v>
      </c>
      <c r="BW2">
        <v>6.5</v>
      </c>
      <c r="BX2">
        <v>5.5</v>
      </c>
      <c r="BY2">
        <v>4</v>
      </c>
      <c r="BZ2">
        <v>6.5</v>
      </c>
      <c r="CA2">
        <v>5.5</v>
      </c>
      <c r="CB2">
        <v>5.5</v>
      </c>
      <c r="CC2">
        <v>5.5</v>
      </c>
      <c r="CD2">
        <v>5.5</v>
      </c>
      <c r="CF2">
        <v>6</v>
      </c>
      <c r="CG2">
        <v>4</v>
      </c>
      <c r="CH2">
        <v>6</v>
      </c>
      <c r="CI2">
        <v>6.5</v>
      </c>
      <c r="CJ2">
        <v>6</v>
      </c>
      <c r="CK2">
        <v>6.5</v>
      </c>
      <c r="CL2">
        <v>5.5</v>
      </c>
      <c r="CM2">
        <v>5.5</v>
      </c>
      <c r="CN2">
        <v>6</v>
      </c>
      <c r="CO2">
        <v>6</v>
      </c>
      <c r="CP2">
        <v>7</v>
      </c>
      <c r="CQ2">
        <v>6</v>
      </c>
      <c r="CR2">
        <v>5.5</v>
      </c>
      <c r="CS2">
        <v>5.5</v>
      </c>
      <c r="CT2">
        <v>5.5</v>
      </c>
      <c r="CU2">
        <v>5.5</v>
      </c>
      <c r="CV2">
        <v>6</v>
      </c>
      <c r="CW2">
        <v>5.5</v>
      </c>
      <c r="CY2">
        <v>6</v>
      </c>
      <c r="CZ2">
        <v>5.5</v>
      </c>
      <c r="DA2">
        <v>6.5</v>
      </c>
      <c r="DB2">
        <v>5.5</v>
      </c>
      <c r="DC2">
        <v>6.5</v>
      </c>
      <c r="DD2">
        <v>6.5</v>
      </c>
      <c r="DE2">
        <v>6</v>
      </c>
      <c r="DF2">
        <v>6</v>
      </c>
      <c r="DG2">
        <v>5.5</v>
      </c>
      <c r="DH2">
        <v>5.5</v>
      </c>
      <c r="DI2">
        <v>6</v>
      </c>
      <c r="DJ2">
        <v>5.5</v>
      </c>
      <c r="DL2">
        <f>COUNT(B2:DJ2)</f>
        <v>106</v>
      </c>
      <c r="DM2" s="18">
        <f>AVERAGE(B2:DJ2)</f>
        <v>6</v>
      </c>
      <c r="DN2">
        <f>IF(DL2&gt;1,_xlfn.STDEV.S(B2:DI2),"")</f>
        <v>1.1104729547135237</v>
      </c>
      <c r="DO2">
        <v>1</v>
      </c>
      <c r="DP2">
        <f t="shared" ref="DP2:DP33" si="0">COUNT(DF2:DH2)</f>
        <v>3</v>
      </c>
      <c r="DQ2">
        <f t="shared" ref="DQ2:DQ33" si="1">IF(DO2=0,DP2,0)</f>
        <v>0</v>
      </c>
    </row>
    <row r="3" spans="1:121" x14ac:dyDescent="0.35">
      <c r="A3" t="s">
        <v>10</v>
      </c>
      <c r="B3">
        <v>3</v>
      </c>
      <c r="C3">
        <v>5</v>
      </c>
      <c r="D3">
        <v>7</v>
      </c>
      <c r="E3">
        <v>5</v>
      </c>
      <c r="F3">
        <v>5</v>
      </c>
      <c r="G3">
        <v>5</v>
      </c>
      <c r="H3">
        <v>5.5</v>
      </c>
      <c r="I3">
        <v>5</v>
      </c>
      <c r="J3">
        <v>5.5</v>
      </c>
      <c r="K3">
        <v>5.5</v>
      </c>
      <c r="L3">
        <v>5</v>
      </c>
      <c r="M3">
        <v>7</v>
      </c>
      <c r="N3">
        <v>7</v>
      </c>
      <c r="O3">
        <v>7</v>
      </c>
      <c r="P3">
        <v>3.5</v>
      </c>
      <c r="Q3">
        <v>5</v>
      </c>
      <c r="R3">
        <v>5</v>
      </c>
      <c r="S3">
        <v>7</v>
      </c>
      <c r="T3">
        <v>5</v>
      </c>
      <c r="U3">
        <v>7</v>
      </c>
      <c r="V3">
        <v>7</v>
      </c>
      <c r="W3" t="s">
        <v>25</v>
      </c>
      <c r="X3">
        <v>5.5</v>
      </c>
      <c r="Y3">
        <v>7</v>
      </c>
      <c r="Z3" t="s">
        <v>25</v>
      </c>
      <c r="AA3">
        <v>5.5</v>
      </c>
      <c r="AB3">
        <v>5.5</v>
      </c>
      <c r="AC3">
        <v>5</v>
      </c>
      <c r="AD3">
        <v>5.5</v>
      </c>
      <c r="AE3">
        <v>8</v>
      </c>
      <c r="AF3">
        <v>5.5</v>
      </c>
      <c r="AG3" t="s">
        <v>25</v>
      </c>
      <c r="AH3">
        <v>8</v>
      </c>
      <c r="AI3">
        <v>5.5</v>
      </c>
      <c r="AJ3">
        <v>5.5</v>
      </c>
      <c r="AK3">
        <v>5.5</v>
      </c>
      <c r="AL3">
        <v>6.5</v>
      </c>
      <c r="AM3">
        <v>5</v>
      </c>
      <c r="AN3">
        <v>5.5</v>
      </c>
      <c r="AO3">
        <v>6.5</v>
      </c>
      <c r="AP3">
        <v>6.5</v>
      </c>
      <c r="AQ3">
        <v>5.5</v>
      </c>
      <c r="AR3">
        <v>5</v>
      </c>
      <c r="AS3">
        <v>6.5</v>
      </c>
      <c r="AT3">
        <v>5</v>
      </c>
      <c r="AU3">
        <v>5</v>
      </c>
      <c r="AV3">
        <v>5</v>
      </c>
      <c r="AW3">
        <v>4</v>
      </c>
      <c r="AX3">
        <v>3.5</v>
      </c>
      <c r="AY3">
        <v>7</v>
      </c>
      <c r="AZ3">
        <v>5</v>
      </c>
      <c r="BA3">
        <v>5.5</v>
      </c>
      <c r="BB3">
        <v>5</v>
      </c>
      <c r="BC3">
        <v>4</v>
      </c>
      <c r="BD3">
        <v>6.5</v>
      </c>
      <c r="BE3">
        <v>8.5</v>
      </c>
      <c r="BF3" t="s">
        <v>25</v>
      </c>
      <c r="BG3" t="s">
        <v>25</v>
      </c>
      <c r="BH3" t="s">
        <v>25</v>
      </c>
      <c r="BI3">
        <v>6.5</v>
      </c>
      <c r="BJ3">
        <v>6.5</v>
      </c>
      <c r="BK3">
        <v>6.5</v>
      </c>
      <c r="BL3">
        <v>5.5</v>
      </c>
      <c r="BM3">
        <v>4</v>
      </c>
      <c r="BN3">
        <v>5.5</v>
      </c>
      <c r="BO3">
        <v>5.5</v>
      </c>
      <c r="BP3">
        <v>5</v>
      </c>
      <c r="BQ3">
        <v>5</v>
      </c>
      <c r="BR3">
        <v>5</v>
      </c>
      <c r="BS3">
        <v>5.5</v>
      </c>
      <c r="BT3" t="s">
        <v>25</v>
      </c>
      <c r="BU3" t="s">
        <v>25</v>
      </c>
      <c r="BV3">
        <v>5</v>
      </c>
      <c r="BW3">
        <v>5.5</v>
      </c>
      <c r="BX3">
        <v>7</v>
      </c>
      <c r="BY3" t="s">
        <v>25</v>
      </c>
      <c r="BZ3">
        <v>5</v>
      </c>
      <c r="CA3">
        <v>5</v>
      </c>
      <c r="CB3">
        <v>5</v>
      </c>
      <c r="CC3">
        <v>6.5</v>
      </c>
      <c r="CD3">
        <v>7</v>
      </c>
      <c r="CE3">
        <v>5.5</v>
      </c>
      <c r="CF3">
        <v>5.5</v>
      </c>
      <c r="CG3">
        <v>6</v>
      </c>
      <c r="CH3">
        <v>5.5</v>
      </c>
      <c r="CI3">
        <v>6</v>
      </c>
      <c r="CJ3">
        <v>6.5</v>
      </c>
      <c r="CK3">
        <v>5</v>
      </c>
      <c r="CM3">
        <v>6</v>
      </c>
      <c r="CN3">
        <v>5.5</v>
      </c>
      <c r="CO3">
        <v>6</v>
      </c>
      <c r="CP3">
        <v>6</v>
      </c>
      <c r="CQ3">
        <v>5.5</v>
      </c>
      <c r="CR3">
        <v>5.5</v>
      </c>
      <c r="CS3">
        <v>5.5</v>
      </c>
      <c r="CV3">
        <v>6</v>
      </c>
      <c r="CW3">
        <v>5.5</v>
      </c>
      <c r="CY3">
        <v>5.5</v>
      </c>
      <c r="CZ3">
        <v>5.5</v>
      </c>
      <c r="DA3">
        <v>5</v>
      </c>
      <c r="DC3">
        <v>5</v>
      </c>
      <c r="DD3">
        <v>5.5</v>
      </c>
      <c r="DE3">
        <v>5.5</v>
      </c>
      <c r="DL3">
        <f t="shared" ref="DL3:DL66" si="2">COUNT(B3:DI3)</f>
        <v>94</v>
      </c>
      <c r="DM3" s="18">
        <f t="shared" ref="DM3:DM66" si="3">AVERAGE(B3:DI3)</f>
        <v>5.6382978723404253</v>
      </c>
      <c r="DN3">
        <f t="shared" ref="DN3:DN66" si="4">IF(DL3&gt;1,_xlfn.STDEV.S(B3:DI3),"")</f>
        <v>0.94869535577019815</v>
      </c>
      <c r="DO3">
        <v>1</v>
      </c>
      <c r="DP3">
        <f t="shared" si="0"/>
        <v>0</v>
      </c>
      <c r="DQ3">
        <f t="shared" si="1"/>
        <v>0</v>
      </c>
    </row>
    <row r="4" spans="1:121" x14ac:dyDescent="0.35">
      <c r="A4" t="s">
        <v>81</v>
      </c>
      <c r="B4">
        <v>10</v>
      </c>
      <c r="C4" t="s">
        <v>25</v>
      </c>
      <c r="D4">
        <v>8</v>
      </c>
      <c r="E4">
        <v>7</v>
      </c>
      <c r="F4">
        <v>5.5</v>
      </c>
      <c r="G4">
        <v>7</v>
      </c>
      <c r="H4">
        <v>5.5</v>
      </c>
      <c r="I4">
        <v>7</v>
      </c>
      <c r="J4">
        <v>7</v>
      </c>
      <c r="K4">
        <v>7</v>
      </c>
      <c r="L4">
        <v>5.5</v>
      </c>
      <c r="M4">
        <v>5.5</v>
      </c>
      <c r="N4">
        <v>7</v>
      </c>
      <c r="O4">
        <v>7</v>
      </c>
      <c r="P4">
        <v>7</v>
      </c>
      <c r="Q4">
        <v>7</v>
      </c>
      <c r="R4">
        <v>8</v>
      </c>
      <c r="S4">
        <v>7</v>
      </c>
      <c r="T4">
        <v>8</v>
      </c>
      <c r="U4">
        <v>7</v>
      </c>
      <c r="V4">
        <v>7</v>
      </c>
      <c r="W4">
        <v>7</v>
      </c>
      <c r="X4">
        <v>5.5</v>
      </c>
      <c r="Y4">
        <v>5.5</v>
      </c>
      <c r="Z4">
        <v>5.5</v>
      </c>
      <c r="AA4">
        <v>7</v>
      </c>
      <c r="AB4">
        <v>7</v>
      </c>
      <c r="AC4">
        <v>7</v>
      </c>
      <c r="AD4" t="s">
        <v>25</v>
      </c>
      <c r="AE4">
        <v>8.5</v>
      </c>
      <c r="AF4">
        <v>7</v>
      </c>
      <c r="AG4">
        <v>7</v>
      </c>
      <c r="AH4">
        <v>5.5</v>
      </c>
      <c r="AI4">
        <v>8</v>
      </c>
      <c r="AJ4">
        <v>6.5</v>
      </c>
      <c r="AK4">
        <v>8</v>
      </c>
      <c r="AL4">
        <v>6.5</v>
      </c>
      <c r="AM4" t="s">
        <v>25</v>
      </c>
      <c r="AN4">
        <v>8</v>
      </c>
      <c r="AO4">
        <v>6.5</v>
      </c>
      <c r="AP4">
        <v>7</v>
      </c>
      <c r="AQ4" t="s">
        <v>25</v>
      </c>
      <c r="AR4" t="s">
        <v>25</v>
      </c>
      <c r="AS4" t="s">
        <v>25</v>
      </c>
      <c r="AT4" t="s">
        <v>25</v>
      </c>
      <c r="AU4" t="s">
        <v>25</v>
      </c>
      <c r="AV4">
        <v>5.5</v>
      </c>
      <c r="AW4" t="s">
        <v>25</v>
      </c>
      <c r="AX4" t="s">
        <v>25</v>
      </c>
      <c r="AY4">
        <v>7</v>
      </c>
      <c r="AZ4" t="s">
        <v>25</v>
      </c>
      <c r="BA4">
        <v>5.5</v>
      </c>
      <c r="BB4">
        <v>7</v>
      </c>
      <c r="BC4">
        <v>5.5</v>
      </c>
      <c r="BD4">
        <v>8</v>
      </c>
      <c r="BE4">
        <v>7</v>
      </c>
      <c r="BF4">
        <v>5.5</v>
      </c>
      <c r="BG4">
        <v>6.5</v>
      </c>
      <c r="BH4">
        <v>6.5</v>
      </c>
      <c r="BI4">
        <v>5.5</v>
      </c>
      <c r="BJ4" t="s">
        <v>25</v>
      </c>
      <c r="BK4" t="s">
        <v>25</v>
      </c>
      <c r="BL4">
        <v>5.5</v>
      </c>
      <c r="BM4">
        <v>6.5</v>
      </c>
      <c r="BN4">
        <v>8</v>
      </c>
      <c r="BO4">
        <v>7</v>
      </c>
      <c r="BP4">
        <v>5.5</v>
      </c>
      <c r="BQ4">
        <v>5.5</v>
      </c>
      <c r="BR4">
        <v>6.5</v>
      </c>
      <c r="BS4">
        <v>6.5</v>
      </c>
      <c r="BT4" t="s">
        <v>25</v>
      </c>
      <c r="BU4" t="s">
        <v>25</v>
      </c>
      <c r="BV4">
        <v>6.5</v>
      </c>
      <c r="BW4">
        <v>5.5</v>
      </c>
      <c r="BX4" t="s">
        <v>25</v>
      </c>
      <c r="BY4">
        <v>6.5</v>
      </c>
      <c r="BZ4" t="s">
        <v>25</v>
      </c>
      <c r="CA4">
        <v>6.5</v>
      </c>
      <c r="CB4">
        <v>5.5</v>
      </c>
      <c r="CC4">
        <v>6.5</v>
      </c>
      <c r="CD4">
        <v>7.5</v>
      </c>
      <c r="CF4">
        <v>6.5</v>
      </c>
      <c r="CG4">
        <v>6.5</v>
      </c>
      <c r="CH4">
        <v>5.5</v>
      </c>
      <c r="CJ4">
        <v>4.5</v>
      </c>
      <c r="CK4">
        <v>6</v>
      </c>
      <c r="CL4">
        <v>6</v>
      </c>
      <c r="CN4">
        <v>6</v>
      </c>
      <c r="CO4">
        <v>6.5</v>
      </c>
      <c r="CQ4">
        <v>6</v>
      </c>
      <c r="CR4">
        <v>5.5</v>
      </c>
      <c r="CS4">
        <v>5.5</v>
      </c>
      <c r="CT4">
        <v>6.5</v>
      </c>
      <c r="CU4">
        <v>6.5</v>
      </c>
      <c r="CW4">
        <v>6</v>
      </c>
      <c r="CY4">
        <v>5.5</v>
      </c>
      <c r="CZ4">
        <v>6</v>
      </c>
      <c r="DA4">
        <v>6</v>
      </c>
      <c r="DE4">
        <v>6</v>
      </c>
      <c r="DI4">
        <v>6.5</v>
      </c>
      <c r="DJ4">
        <v>6</v>
      </c>
      <c r="DL4">
        <f t="shared" si="2"/>
        <v>83</v>
      </c>
      <c r="DM4" s="18">
        <f t="shared" si="3"/>
        <v>6.524096385542169</v>
      </c>
      <c r="DN4">
        <f t="shared" si="4"/>
        <v>0.91699274692529897</v>
      </c>
      <c r="DO4">
        <v>0</v>
      </c>
      <c r="DP4">
        <f t="shared" si="0"/>
        <v>0</v>
      </c>
      <c r="DQ4">
        <f t="shared" si="1"/>
        <v>0</v>
      </c>
    </row>
    <row r="5" spans="1:121" x14ac:dyDescent="0.35">
      <c r="A5" t="s">
        <v>9</v>
      </c>
      <c r="B5">
        <v>7</v>
      </c>
      <c r="C5" t="s">
        <v>25</v>
      </c>
      <c r="D5">
        <v>7</v>
      </c>
      <c r="E5">
        <v>5.5</v>
      </c>
      <c r="F5">
        <v>8</v>
      </c>
      <c r="G5">
        <v>7</v>
      </c>
      <c r="H5">
        <v>7</v>
      </c>
      <c r="I5" t="s">
        <v>25</v>
      </c>
      <c r="J5">
        <v>5.5</v>
      </c>
      <c r="K5" t="s">
        <v>25</v>
      </c>
      <c r="L5">
        <v>7</v>
      </c>
      <c r="M5">
        <v>7</v>
      </c>
      <c r="N5">
        <v>8</v>
      </c>
      <c r="O5">
        <v>5.5</v>
      </c>
      <c r="P5">
        <v>5.5</v>
      </c>
      <c r="Q5">
        <v>7</v>
      </c>
      <c r="R5" t="s">
        <v>25</v>
      </c>
      <c r="S5">
        <v>5.5</v>
      </c>
      <c r="T5">
        <v>8</v>
      </c>
      <c r="U5" t="s">
        <v>25</v>
      </c>
      <c r="V5">
        <v>5.5</v>
      </c>
      <c r="W5">
        <v>7</v>
      </c>
      <c r="X5">
        <v>7</v>
      </c>
      <c r="Y5" t="s">
        <v>25</v>
      </c>
      <c r="Z5">
        <v>8</v>
      </c>
      <c r="AA5">
        <v>7</v>
      </c>
      <c r="AB5">
        <v>7</v>
      </c>
      <c r="AC5">
        <v>5.5</v>
      </c>
      <c r="AD5">
        <v>7</v>
      </c>
      <c r="AE5">
        <v>10</v>
      </c>
      <c r="AF5">
        <v>8</v>
      </c>
      <c r="AG5" t="s">
        <v>25</v>
      </c>
      <c r="AH5">
        <v>9.5</v>
      </c>
      <c r="AI5">
        <v>6.5</v>
      </c>
      <c r="AJ5">
        <v>6.5</v>
      </c>
      <c r="AK5">
        <v>6.5</v>
      </c>
      <c r="AL5" t="s">
        <v>25</v>
      </c>
      <c r="AM5">
        <v>8.5</v>
      </c>
      <c r="AN5" t="s">
        <v>25</v>
      </c>
      <c r="AO5" t="s">
        <v>25</v>
      </c>
      <c r="AP5" t="s">
        <v>25</v>
      </c>
      <c r="AQ5">
        <v>5.5</v>
      </c>
      <c r="AR5">
        <v>6.5</v>
      </c>
      <c r="AS5">
        <v>5.5</v>
      </c>
      <c r="AT5">
        <v>6.5</v>
      </c>
      <c r="AU5">
        <v>6.5</v>
      </c>
      <c r="AV5">
        <v>6.5</v>
      </c>
      <c r="AW5" t="s">
        <v>25</v>
      </c>
      <c r="AX5">
        <v>7</v>
      </c>
      <c r="AY5">
        <v>8</v>
      </c>
      <c r="AZ5">
        <v>6.5</v>
      </c>
      <c r="BA5">
        <v>6.5</v>
      </c>
      <c r="BB5">
        <v>5</v>
      </c>
      <c r="BC5">
        <v>4</v>
      </c>
      <c r="BD5">
        <v>5</v>
      </c>
      <c r="BE5">
        <v>6.5</v>
      </c>
      <c r="BF5">
        <v>5.5</v>
      </c>
      <c r="BG5">
        <v>5.5</v>
      </c>
      <c r="BH5">
        <v>5.5</v>
      </c>
      <c r="BI5" t="s">
        <v>25</v>
      </c>
      <c r="BJ5" t="s">
        <v>25</v>
      </c>
      <c r="BK5">
        <v>5.5</v>
      </c>
      <c r="BL5">
        <v>6.5</v>
      </c>
      <c r="BM5">
        <v>5.5</v>
      </c>
      <c r="BN5" t="s">
        <v>25</v>
      </c>
      <c r="BO5" t="s">
        <v>25</v>
      </c>
      <c r="BP5">
        <v>6.5</v>
      </c>
      <c r="BQ5">
        <v>8.5</v>
      </c>
      <c r="BR5">
        <v>7</v>
      </c>
      <c r="BS5">
        <v>6.5</v>
      </c>
      <c r="BT5">
        <v>6.5</v>
      </c>
      <c r="BU5">
        <v>6.5</v>
      </c>
      <c r="BV5" t="s">
        <v>25</v>
      </c>
      <c r="BW5">
        <v>7</v>
      </c>
      <c r="BX5" t="s">
        <v>25</v>
      </c>
      <c r="BY5">
        <v>7</v>
      </c>
      <c r="BZ5">
        <v>7</v>
      </c>
      <c r="CA5">
        <v>6.5</v>
      </c>
      <c r="CB5">
        <v>6.5</v>
      </c>
      <c r="CC5">
        <v>6.5</v>
      </c>
      <c r="CD5">
        <v>6</v>
      </c>
      <c r="CE5">
        <v>6</v>
      </c>
      <c r="CF5">
        <v>7</v>
      </c>
      <c r="CG5">
        <v>6.5</v>
      </c>
      <c r="CI5">
        <v>6</v>
      </c>
      <c r="CJ5">
        <v>6.5</v>
      </c>
      <c r="CK5">
        <v>6.5</v>
      </c>
      <c r="CL5">
        <v>6.5</v>
      </c>
      <c r="CO5">
        <v>7.5</v>
      </c>
      <c r="CP5">
        <v>6.5</v>
      </c>
      <c r="CR5">
        <v>6.5</v>
      </c>
      <c r="CS5">
        <v>6.5</v>
      </c>
      <c r="CU5">
        <v>7.5</v>
      </c>
      <c r="CV5">
        <v>6.5</v>
      </c>
      <c r="CY5">
        <v>6</v>
      </c>
      <c r="CZ5">
        <v>6.5</v>
      </c>
      <c r="DA5">
        <v>6</v>
      </c>
      <c r="DC5">
        <v>6.5</v>
      </c>
      <c r="DD5">
        <v>5.5</v>
      </c>
      <c r="DE5">
        <v>6.5</v>
      </c>
      <c r="DG5">
        <v>6.5</v>
      </c>
      <c r="DH5">
        <v>6</v>
      </c>
      <c r="DI5">
        <v>6</v>
      </c>
      <c r="DJ5">
        <v>6</v>
      </c>
      <c r="DL5">
        <f>COUNT(B5:DJ5)</f>
        <v>86</v>
      </c>
      <c r="DM5" s="18">
        <f>AVERAGE(B5:DJ5)</f>
        <v>6.5697674418604652</v>
      </c>
      <c r="DN5">
        <f t="shared" si="4"/>
        <v>0.95277127855729371</v>
      </c>
      <c r="DO5">
        <v>1</v>
      </c>
      <c r="DP5">
        <f t="shared" si="0"/>
        <v>2</v>
      </c>
      <c r="DQ5">
        <f t="shared" si="1"/>
        <v>0</v>
      </c>
    </row>
    <row r="6" spans="1:121" x14ac:dyDescent="0.35">
      <c r="A6" t="s">
        <v>4</v>
      </c>
      <c r="B6">
        <v>3.5</v>
      </c>
      <c r="C6" t="s">
        <v>25</v>
      </c>
      <c r="D6">
        <v>5.5</v>
      </c>
      <c r="E6">
        <v>5</v>
      </c>
      <c r="F6">
        <v>5.5</v>
      </c>
      <c r="G6" t="s">
        <v>25</v>
      </c>
      <c r="H6">
        <v>7</v>
      </c>
      <c r="I6">
        <v>5</v>
      </c>
      <c r="J6">
        <v>5.5</v>
      </c>
      <c r="K6">
        <v>5</v>
      </c>
      <c r="L6">
        <v>7</v>
      </c>
      <c r="M6">
        <v>5.5</v>
      </c>
      <c r="N6">
        <v>7</v>
      </c>
      <c r="O6">
        <v>5</v>
      </c>
      <c r="P6">
        <v>5</v>
      </c>
      <c r="Q6">
        <v>7</v>
      </c>
      <c r="R6">
        <v>5.5</v>
      </c>
      <c r="S6">
        <v>5.5</v>
      </c>
      <c r="T6">
        <v>7</v>
      </c>
      <c r="U6">
        <v>5.5</v>
      </c>
      <c r="V6">
        <v>5</v>
      </c>
      <c r="W6">
        <v>5</v>
      </c>
      <c r="X6">
        <v>5.5</v>
      </c>
      <c r="Y6">
        <v>5</v>
      </c>
      <c r="Z6" t="s">
        <v>25</v>
      </c>
      <c r="AA6">
        <v>7</v>
      </c>
      <c r="AB6">
        <v>5.5</v>
      </c>
      <c r="AC6">
        <v>5.5</v>
      </c>
      <c r="AD6">
        <v>5.5</v>
      </c>
      <c r="AE6">
        <v>8</v>
      </c>
      <c r="AF6">
        <v>7</v>
      </c>
      <c r="AG6">
        <v>7</v>
      </c>
      <c r="AH6">
        <v>5.5</v>
      </c>
      <c r="AI6">
        <v>7</v>
      </c>
      <c r="AJ6" t="s">
        <v>25</v>
      </c>
      <c r="AK6" t="s">
        <v>25</v>
      </c>
      <c r="AL6">
        <v>2.5</v>
      </c>
      <c r="AM6">
        <v>4</v>
      </c>
      <c r="AN6">
        <v>6.5</v>
      </c>
      <c r="AO6">
        <v>5.5</v>
      </c>
      <c r="AP6">
        <v>5</v>
      </c>
      <c r="AQ6" t="s">
        <v>25</v>
      </c>
      <c r="AR6" t="s">
        <v>25</v>
      </c>
      <c r="AS6" t="s">
        <v>25</v>
      </c>
      <c r="AT6" t="s">
        <v>25</v>
      </c>
      <c r="AU6" t="s">
        <v>25</v>
      </c>
      <c r="AV6">
        <v>4</v>
      </c>
      <c r="AW6">
        <v>5</v>
      </c>
      <c r="AX6">
        <v>5</v>
      </c>
      <c r="AY6">
        <v>5.5</v>
      </c>
      <c r="AZ6">
        <v>4</v>
      </c>
      <c r="BA6">
        <v>5.5</v>
      </c>
      <c r="BB6">
        <v>5.5</v>
      </c>
      <c r="BC6">
        <v>7</v>
      </c>
      <c r="BD6" t="s">
        <v>25</v>
      </c>
      <c r="BE6" t="s">
        <v>25</v>
      </c>
      <c r="BF6" t="s">
        <v>25</v>
      </c>
      <c r="BG6" t="s">
        <v>25</v>
      </c>
      <c r="BH6">
        <v>6.5</v>
      </c>
      <c r="BI6">
        <v>6.5</v>
      </c>
      <c r="BJ6">
        <v>6.5</v>
      </c>
      <c r="BK6">
        <v>5.5</v>
      </c>
      <c r="BL6">
        <v>5</v>
      </c>
      <c r="BM6">
        <v>5.5</v>
      </c>
      <c r="BN6">
        <v>7</v>
      </c>
      <c r="BO6">
        <v>5.5</v>
      </c>
      <c r="BP6">
        <v>5.5</v>
      </c>
      <c r="BQ6">
        <v>5.5</v>
      </c>
      <c r="BR6">
        <v>5.5</v>
      </c>
      <c r="BS6">
        <v>5.5</v>
      </c>
      <c r="BT6">
        <v>6.5</v>
      </c>
      <c r="BU6">
        <v>6.5</v>
      </c>
      <c r="BV6">
        <v>5.5</v>
      </c>
      <c r="BW6">
        <v>6.5</v>
      </c>
      <c r="BX6">
        <v>5.5</v>
      </c>
      <c r="BY6">
        <v>5.5</v>
      </c>
      <c r="BZ6">
        <v>5.5</v>
      </c>
      <c r="CA6">
        <v>5.5</v>
      </c>
      <c r="CB6">
        <v>5.5</v>
      </c>
      <c r="CC6">
        <v>7</v>
      </c>
      <c r="CD6">
        <v>6</v>
      </c>
      <c r="CE6">
        <v>6.5</v>
      </c>
      <c r="CF6">
        <v>7</v>
      </c>
      <c r="CG6">
        <v>5.5</v>
      </c>
      <c r="CH6">
        <v>5.5</v>
      </c>
      <c r="CI6">
        <v>5.5</v>
      </c>
      <c r="DD6">
        <v>5.5</v>
      </c>
      <c r="DL6">
        <f t="shared" si="2"/>
        <v>73</v>
      </c>
      <c r="DM6" s="18">
        <f t="shared" si="3"/>
        <v>5.7054794520547949</v>
      </c>
      <c r="DN6">
        <f t="shared" si="4"/>
        <v>0.93851099723606146</v>
      </c>
      <c r="DO6">
        <v>0</v>
      </c>
      <c r="DP6">
        <f t="shared" si="0"/>
        <v>0</v>
      </c>
      <c r="DQ6">
        <f t="shared" si="1"/>
        <v>0</v>
      </c>
    </row>
    <row r="7" spans="1:121" x14ac:dyDescent="0.35">
      <c r="A7" t="s">
        <v>5</v>
      </c>
      <c r="B7">
        <v>10</v>
      </c>
      <c r="C7">
        <v>9.5</v>
      </c>
      <c r="D7">
        <v>9.5</v>
      </c>
      <c r="E7">
        <v>8</v>
      </c>
      <c r="F7">
        <v>7</v>
      </c>
      <c r="G7">
        <v>8</v>
      </c>
      <c r="H7">
        <v>7</v>
      </c>
      <c r="I7" t="s">
        <v>25</v>
      </c>
      <c r="J7">
        <v>9.5</v>
      </c>
      <c r="K7">
        <v>8</v>
      </c>
      <c r="L7">
        <v>9.5</v>
      </c>
      <c r="M7">
        <v>7</v>
      </c>
      <c r="N7">
        <v>8</v>
      </c>
      <c r="O7">
        <v>8</v>
      </c>
      <c r="P7">
        <v>7</v>
      </c>
      <c r="Q7">
        <v>7</v>
      </c>
      <c r="R7" t="s">
        <v>25</v>
      </c>
      <c r="S7" t="s">
        <v>25</v>
      </c>
      <c r="T7" t="s">
        <v>25</v>
      </c>
      <c r="U7">
        <v>7</v>
      </c>
      <c r="V7">
        <v>5.5</v>
      </c>
      <c r="W7">
        <v>8</v>
      </c>
      <c r="X7">
        <v>7</v>
      </c>
      <c r="Y7">
        <v>7</v>
      </c>
      <c r="Z7">
        <v>7</v>
      </c>
      <c r="AA7">
        <v>7</v>
      </c>
      <c r="AB7" t="s">
        <v>25</v>
      </c>
      <c r="AC7" t="s">
        <v>25</v>
      </c>
      <c r="AD7" t="s">
        <v>25</v>
      </c>
      <c r="AE7" t="s">
        <v>25</v>
      </c>
      <c r="AF7">
        <v>8</v>
      </c>
      <c r="AG7">
        <v>10</v>
      </c>
      <c r="AH7" t="s">
        <v>25</v>
      </c>
      <c r="AI7">
        <v>8</v>
      </c>
      <c r="AJ7">
        <v>6.5</v>
      </c>
      <c r="AK7">
        <v>8</v>
      </c>
      <c r="AL7">
        <v>7</v>
      </c>
      <c r="AM7" t="s">
        <v>25</v>
      </c>
      <c r="AN7" t="s">
        <v>25</v>
      </c>
      <c r="AO7">
        <v>7</v>
      </c>
      <c r="AP7">
        <v>5.5</v>
      </c>
      <c r="AQ7">
        <v>6.5</v>
      </c>
      <c r="AR7">
        <v>8</v>
      </c>
      <c r="AS7">
        <v>7</v>
      </c>
      <c r="AT7">
        <v>6.5</v>
      </c>
      <c r="AU7">
        <v>8</v>
      </c>
      <c r="AV7">
        <v>7</v>
      </c>
      <c r="AW7">
        <v>7</v>
      </c>
      <c r="AX7">
        <v>7</v>
      </c>
      <c r="AY7">
        <v>6.5</v>
      </c>
      <c r="AZ7">
        <v>8.5</v>
      </c>
      <c r="BA7">
        <v>10</v>
      </c>
      <c r="BB7">
        <v>6.5</v>
      </c>
      <c r="BC7">
        <v>5</v>
      </c>
      <c r="BD7">
        <v>6.5</v>
      </c>
      <c r="BE7">
        <v>8</v>
      </c>
      <c r="BF7">
        <v>6.5</v>
      </c>
      <c r="BG7">
        <v>5.5</v>
      </c>
      <c r="BH7" t="s">
        <v>25</v>
      </c>
      <c r="BI7" t="s">
        <v>25</v>
      </c>
      <c r="BJ7" t="s">
        <v>25</v>
      </c>
      <c r="BK7">
        <v>6.5</v>
      </c>
      <c r="BL7">
        <v>7</v>
      </c>
      <c r="BM7" t="s">
        <v>25</v>
      </c>
      <c r="BN7" t="s">
        <v>25</v>
      </c>
      <c r="BO7">
        <v>6.5</v>
      </c>
      <c r="BP7">
        <v>6.5</v>
      </c>
      <c r="BQ7">
        <v>7</v>
      </c>
      <c r="BR7">
        <v>6.5</v>
      </c>
      <c r="BS7">
        <v>7</v>
      </c>
      <c r="BT7">
        <v>7</v>
      </c>
      <c r="BU7">
        <v>8</v>
      </c>
      <c r="BV7">
        <v>6.5</v>
      </c>
      <c r="BW7">
        <v>6.5</v>
      </c>
      <c r="BX7">
        <v>8</v>
      </c>
      <c r="BY7" t="s">
        <v>25</v>
      </c>
      <c r="BZ7">
        <v>7</v>
      </c>
      <c r="CA7">
        <v>6.5</v>
      </c>
      <c r="CB7">
        <v>7</v>
      </c>
      <c r="CD7">
        <v>5.5</v>
      </c>
      <c r="CE7">
        <v>9</v>
      </c>
      <c r="CF7">
        <v>7</v>
      </c>
      <c r="CG7">
        <v>8</v>
      </c>
      <c r="CH7">
        <v>7.5</v>
      </c>
      <c r="CI7">
        <v>6.5</v>
      </c>
      <c r="CJ7">
        <v>5.5</v>
      </c>
      <c r="CK7">
        <v>6.5</v>
      </c>
      <c r="CL7">
        <v>5.5</v>
      </c>
      <c r="CR7">
        <v>5.5</v>
      </c>
      <c r="CY7">
        <v>7</v>
      </c>
      <c r="CZ7">
        <v>6.5</v>
      </c>
      <c r="DA7">
        <v>8</v>
      </c>
      <c r="DB7">
        <v>6</v>
      </c>
      <c r="DC7">
        <v>7.5</v>
      </c>
      <c r="DE7">
        <v>6.5</v>
      </c>
      <c r="DF7">
        <v>8</v>
      </c>
      <c r="DG7">
        <v>7.5</v>
      </c>
      <c r="DH7">
        <v>6.5</v>
      </c>
      <c r="DI7">
        <v>6</v>
      </c>
      <c r="DJ7">
        <v>7.5</v>
      </c>
      <c r="DL7">
        <f>COUNT(B7:DJ7)</f>
        <v>83</v>
      </c>
      <c r="DM7" s="18">
        <f>AVERAGE(B7:DJ7)</f>
        <v>7.2108433734939759</v>
      </c>
      <c r="DN7">
        <f t="shared" si="4"/>
        <v>1.105405404410513</v>
      </c>
      <c r="DO7">
        <v>1</v>
      </c>
      <c r="DP7">
        <f t="shared" si="0"/>
        <v>3</v>
      </c>
      <c r="DQ7">
        <f t="shared" si="1"/>
        <v>0</v>
      </c>
    </row>
    <row r="8" spans="1:121" x14ac:dyDescent="0.35">
      <c r="A8" t="s">
        <v>19</v>
      </c>
      <c r="B8" t="s">
        <v>25</v>
      </c>
      <c r="C8" t="s">
        <v>25</v>
      </c>
      <c r="D8">
        <v>7</v>
      </c>
      <c r="E8">
        <v>7</v>
      </c>
      <c r="F8">
        <v>7</v>
      </c>
      <c r="G8">
        <v>7</v>
      </c>
      <c r="H8">
        <v>8</v>
      </c>
      <c r="I8">
        <v>7</v>
      </c>
      <c r="J8">
        <v>8</v>
      </c>
      <c r="K8">
        <v>7</v>
      </c>
      <c r="L8">
        <v>5.5</v>
      </c>
      <c r="M8">
        <v>5</v>
      </c>
      <c r="N8">
        <v>5</v>
      </c>
      <c r="O8" t="s">
        <v>25</v>
      </c>
      <c r="P8">
        <v>7</v>
      </c>
      <c r="Q8">
        <v>3.5</v>
      </c>
      <c r="R8">
        <v>5.5</v>
      </c>
      <c r="S8">
        <v>7</v>
      </c>
      <c r="T8">
        <v>5.5</v>
      </c>
      <c r="U8">
        <v>7</v>
      </c>
      <c r="V8">
        <v>5.5</v>
      </c>
      <c r="W8">
        <v>5.5</v>
      </c>
      <c r="X8">
        <v>5</v>
      </c>
      <c r="Y8">
        <v>5.5</v>
      </c>
      <c r="Z8">
        <v>5.5</v>
      </c>
      <c r="AA8">
        <v>7</v>
      </c>
      <c r="AB8">
        <v>5</v>
      </c>
      <c r="AC8">
        <v>5.5</v>
      </c>
      <c r="AD8">
        <v>7</v>
      </c>
      <c r="AE8">
        <v>7</v>
      </c>
      <c r="AF8">
        <v>7</v>
      </c>
      <c r="AG8">
        <v>8</v>
      </c>
      <c r="AH8" t="s">
        <v>25</v>
      </c>
      <c r="AI8">
        <v>6.5</v>
      </c>
      <c r="AJ8">
        <v>5.5</v>
      </c>
      <c r="AK8">
        <v>6.5</v>
      </c>
      <c r="AL8">
        <v>5.5</v>
      </c>
      <c r="AM8">
        <v>5.5</v>
      </c>
      <c r="AN8">
        <v>6.5</v>
      </c>
      <c r="AO8" t="s">
        <v>25</v>
      </c>
      <c r="AP8">
        <v>5.5</v>
      </c>
      <c r="AQ8">
        <v>5</v>
      </c>
      <c r="AR8">
        <v>5</v>
      </c>
      <c r="AS8" t="s">
        <v>25</v>
      </c>
      <c r="AT8">
        <v>6.5</v>
      </c>
      <c r="AU8">
        <v>6.5</v>
      </c>
      <c r="AV8">
        <v>5.5</v>
      </c>
      <c r="AW8">
        <v>5</v>
      </c>
      <c r="AX8">
        <v>5</v>
      </c>
      <c r="AY8">
        <v>5.5</v>
      </c>
      <c r="AZ8">
        <v>6.5</v>
      </c>
      <c r="BA8" t="s">
        <v>25</v>
      </c>
      <c r="BB8">
        <v>5</v>
      </c>
      <c r="BC8">
        <v>7</v>
      </c>
      <c r="BD8">
        <v>6.5</v>
      </c>
      <c r="BE8">
        <v>4</v>
      </c>
      <c r="BF8">
        <v>5</v>
      </c>
      <c r="BG8">
        <v>6.5</v>
      </c>
      <c r="BH8">
        <v>5.5</v>
      </c>
      <c r="BI8">
        <v>5.5</v>
      </c>
      <c r="BJ8">
        <v>6.5</v>
      </c>
      <c r="BK8" t="s">
        <v>25</v>
      </c>
      <c r="BL8" t="s">
        <v>25</v>
      </c>
      <c r="BM8">
        <v>4</v>
      </c>
      <c r="BN8">
        <v>6.5</v>
      </c>
      <c r="BO8">
        <v>5</v>
      </c>
      <c r="BP8">
        <v>5.5</v>
      </c>
      <c r="BQ8">
        <v>5.5</v>
      </c>
      <c r="BR8">
        <v>5.5</v>
      </c>
      <c r="BS8" t="s">
        <v>25</v>
      </c>
      <c r="BT8">
        <v>6.5</v>
      </c>
      <c r="BU8" t="s">
        <v>25</v>
      </c>
      <c r="BV8" t="s">
        <v>25</v>
      </c>
      <c r="BW8" t="s">
        <v>25</v>
      </c>
      <c r="BX8" t="s">
        <v>25</v>
      </c>
      <c r="BY8" t="s">
        <v>25</v>
      </c>
      <c r="BZ8">
        <v>5.5</v>
      </c>
      <c r="CA8">
        <v>5.5</v>
      </c>
      <c r="CB8" t="s">
        <v>25</v>
      </c>
      <c r="CC8">
        <v>6.5</v>
      </c>
      <c r="CD8">
        <v>7</v>
      </c>
      <c r="CF8">
        <v>5.5</v>
      </c>
      <c r="CI8">
        <v>5.5</v>
      </c>
      <c r="CR8">
        <v>5.5</v>
      </c>
      <c r="CS8">
        <v>5.5</v>
      </c>
      <c r="CW8">
        <v>5.5</v>
      </c>
      <c r="DC8">
        <v>5.5</v>
      </c>
      <c r="DD8">
        <v>5.5</v>
      </c>
      <c r="DL8">
        <f t="shared" si="2"/>
        <v>72</v>
      </c>
      <c r="DM8" s="18">
        <f t="shared" si="3"/>
        <v>5.9375</v>
      </c>
      <c r="DN8">
        <f t="shared" si="4"/>
        <v>0.93423728023165931</v>
      </c>
      <c r="DO8">
        <v>0</v>
      </c>
      <c r="DP8">
        <f t="shared" si="0"/>
        <v>0</v>
      </c>
      <c r="DQ8">
        <f t="shared" si="1"/>
        <v>0</v>
      </c>
    </row>
    <row r="9" spans="1:121" x14ac:dyDescent="0.35">
      <c r="A9" t="s">
        <v>11</v>
      </c>
      <c r="B9">
        <v>5</v>
      </c>
      <c r="C9" t="s">
        <v>25</v>
      </c>
      <c r="D9">
        <v>8</v>
      </c>
      <c r="E9">
        <v>8</v>
      </c>
      <c r="F9">
        <v>8</v>
      </c>
      <c r="G9">
        <v>5</v>
      </c>
      <c r="H9" t="s">
        <v>25</v>
      </c>
      <c r="I9">
        <v>3.5</v>
      </c>
      <c r="J9">
        <v>7</v>
      </c>
      <c r="K9">
        <v>5.5</v>
      </c>
      <c r="L9" t="s">
        <v>25</v>
      </c>
      <c r="M9" t="s">
        <v>25</v>
      </c>
      <c r="N9">
        <v>5.5</v>
      </c>
      <c r="O9">
        <v>5</v>
      </c>
      <c r="P9">
        <v>5.5</v>
      </c>
      <c r="Q9" t="s">
        <v>25</v>
      </c>
      <c r="R9" t="s">
        <v>25</v>
      </c>
      <c r="S9">
        <v>3.5</v>
      </c>
      <c r="T9">
        <v>7</v>
      </c>
      <c r="U9" t="s">
        <v>25</v>
      </c>
      <c r="V9" t="s">
        <v>25</v>
      </c>
      <c r="W9" t="s">
        <v>25</v>
      </c>
      <c r="X9">
        <v>5.5</v>
      </c>
      <c r="Y9">
        <v>5.5</v>
      </c>
      <c r="Z9" t="s">
        <v>25</v>
      </c>
      <c r="AA9">
        <v>3.5</v>
      </c>
      <c r="AB9" t="s">
        <v>25</v>
      </c>
      <c r="AC9">
        <v>7</v>
      </c>
      <c r="AD9" t="s">
        <v>25</v>
      </c>
      <c r="AE9">
        <v>2.5</v>
      </c>
      <c r="AF9">
        <v>7</v>
      </c>
      <c r="AG9">
        <v>5</v>
      </c>
      <c r="AH9">
        <v>7</v>
      </c>
      <c r="AI9">
        <v>7</v>
      </c>
      <c r="AJ9">
        <v>6.5</v>
      </c>
      <c r="AK9">
        <v>8.5</v>
      </c>
      <c r="AL9">
        <v>5.5</v>
      </c>
      <c r="AM9">
        <v>5</v>
      </c>
      <c r="AN9">
        <v>5</v>
      </c>
      <c r="AO9">
        <v>5.5</v>
      </c>
      <c r="AP9">
        <v>5.5</v>
      </c>
      <c r="AQ9" t="s">
        <v>25</v>
      </c>
      <c r="AR9">
        <v>6.5</v>
      </c>
      <c r="AS9">
        <v>6.5</v>
      </c>
      <c r="AT9">
        <v>5.5</v>
      </c>
      <c r="AU9">
        <v>7</v>
      </c>
      <c r="AV9">
        <v>5.5</v>
      </c>
      <c r="AW9" t="s">
        <v>25</v>
      </c>
      <c r="AX9">
        <v>5.5</v>
      </c>
      <c r="AY9">
        <v>5</v>
      </c>
      <c r="AZ9" t="s">
        <v>25</v>
      </c>
      <c r="BA9" t="s">
        <v>25</v>
      </c>
      <c r="BB9" t="s">
        <v>25</v>
      </c>
      <c r="BC9" t="s">
        <v>25</v>
      </c>
      <c r="BD9">
        <v>4</v>
      </c>
      <c r="BE9">
        <v>7</v>
      </c>
      <c r="BF9" t="s">
        <v>25</v>
      </c>
      <c r="BG9">
        <v>3.5</v>
      </c>
      <c r="BH9">
        <v>6.5</v>
      </c>
      <c r="BI9">
        <v>5.5</v>
      </c>
      <c r="BJ9">
        <v>5.5</v>
      </c>
      <c r="BK9">
        <v>5.5</v>
      </c>
      <c r="BL9" t="s">
        <v>25</v>
      </c>
      <c r="BM9">
        <v>5</v>
      </c>
      <c r="BN9">
        <v>8.5</v>
      </c>
      <c r="BO9">
        <v>5.5</v>
      </c>
      <c r="BP9" t="s">
        <v>25</v>
      </c>
      <c r="BQ9" t="s">
        <v>25</v>
      </c>
      <c r="BR9">
        <v>8.5</v>
      </c>
      <c r="BS9">
        <v>6.5</v>
      </c>
      <c r="BT9">
        <v>6.5</v>
      </c>
      <c r="BU9">
        <v>6.5</v>
      </c>
      <c r="BV9">
        <v>5.5</v>
      </c>
      <c r="BW9">
        <v>5.5</v>
      </c>
      <c r="BX9">
        <v>5.5</v>
      </c>
      <c r="BY9">
        <v>3.5</v>
      </c>
      <c r="BZ9">
        <v>5</v>
      </c>
      <c r="CA9">
        <v>4</v>
      </c>
      <c r="CB9">
        <v>3.5</v>
      </c>
      <c r="CC9">
        <v>7</v>
      </c>
      <c r="CD9">
        <v>4.5</v>
      </c>
      <c r="CE9">
        <v>6</v>
      </c>
      <c r="CF9">
        <v>5</v>
      </c>
      <c r="CG9">
        <v>5.5</v>
      </c>
      <c r="CK9">
        <v>5.5</v>
      </c>
      <c r="CM9">
        <v>7</v>
      </c>
      <c r="CN9">
        <v>7.5</v>
      </c>
      <c r="CO9">
        <v>6</v>
      </c>
      <c r="CP9">
        <v>5.5</v>
      </c>
      <c r="CQ9">
        <v>6</v>
      </c>
      <c r="CR9">
        <v>6</v>
      </c>
      <c r="CW9">
        <v>5.5</v>
      </c>
      <c r="CZ9">
        <v>5.5</v>
      </c>
      <c r="DA9">
        <v>6</v>
      </c>
      <c r="DC9">
        <v>6.5</v>
      </c>
      <c r="DD9">
        <v>4.5</v>
      </c>
      <c r="DF9">
        <v>5.5</v>
      </c>
      <c r="DL9">
        <f t="shared" si="2"/>
        <v>75</v>
      </c>
      <c r="DM9" s="18">
        <f t="shared" si="3"/>
        <v>5.753333333333333</v>
      </c>
      <c r="DN9">
        <f t="shared" si="4"/>
        <v>1.2664414214142996</v>
      </c>
      <c r="DO9">
        <v>1</v>
      </c>
      <c r="DP9">
        <f t="shared" si="0"/>
        <v>1</v>
      </c>
      <c r="DQ9">
        <f t="shared" si="1"/>
        <v>0</v>
      </c>
    </row>
    <row r="10" spans="1:121" x14ac:dyDescent="0.35">
      <c r="A10" t="s">
        <v>6</v>
      </c>
      <c r="B10">
        <v>8</v>
      </c>
      <c r="C10">
        <v>7</v>
      </c>
      <c r="D10">
        <v>7</v>
      </c>
      <c r="E10">
        <v>8</v>
      </c>
      <c r="F10">
        <v>5.5</v>
      </c>
      <c r="G10">
        <v>5.5</v>
      </c>
      <c r="H10" t="s">
        <v>25</v>
      </c>
      <c r="I10">
        <v>8</v>
      </c>
      <c r="J10" t="s">
        <v>25</v>
      </c>
      <c r="K10">
        <v>8</v>
      </c>
      <c r="L10" t="s">
        <v>25</v>
      </c>
      <c r="M10" t="s">
        <v>25</v>
      </c>
      <c r="N10">
        <v>5.5</v>
      </c>
      <c r="O10">
        <v>7</v>
      </c>
      <c r="P10">
        <v>5.5</v>
      </c>
      <c r="Q10" t="s">
        <v>25</v>
      </c>
      <c r="R10" t="s">
        <v>25</v>
      </c>
      <c r="S10">
        <v>5.5</v>
      </c>
      <c r="T10">
        <v>7</v>
      </c>
      <c r="U10">
        <v>7</v>
      </c>
      <c r="V10" t="s">
        <v>25</v>
      </c>
      <c r="W10">
        <v>5.5</v>
      </c>
      <c r="X10">
        <v>5.5</v>
      </c>
      <c r="Y10" t="s">
        <v>25</v>
      </c>
      <c r="Z10" t="s">
        <v>25</v>
      </c>
      <c r="AA10">
        <v>5.5</v>
      </c>
      <c r="AB10" t="s">
        <v>25</v>
      </c>
      <c r="AC10" t="s">
        <v>25</v>
      </c>
      <c r="AD10" t="s">
        <v>25</v>
      </c>
      <c r="AE10">
        <v>7</v>
      </c>
      <c r="AF10">
        <v>8</v>
      </c>
      <c r="AG10">
        <v>8.5</v>
      </c>
      <c r="AH10">
        <v>6.5</v>
      </c>
      <c r="AI10" t="s">
        <v>25</v>
      </c>
      <c r="AJ10">
        <v>6.5</v>
      </c>
      <c r="AK10">
        <v>5.5</v>
      </c>
      <c r="AL10">
        <v>5</v>
      </c>
      <c r="AM10">
        <v>6.5</v>
      </c>
      <c r="AN10">
        <v>8</v>
      </c>
      <c r="AO10">
        <v>7</v>
      </c>
      <c r="AP10">
        <v>5.5</v>
      </c>
      <c r="AQ10">
        <v>6.5</v>
      </c>
      <c r="AR10">
        <v>6.5</v>
      </c>
      <c r="AS10">
        <v>5.5</v>
      </c>
      <c r="AT10">
        <v>6.5</v>
      </c>
      <c r="AU10">
        <v>5.5</v>
      </c>
      <c r="AV10">
        <v>5.5</v>
      </c>
      <c r="AW10" t="s">
        <v>25</v>
      </c>
      <c r="AX10">
        <v>10</v>
      </c>
      <c r="AY10">
        <v>6.5</v>
      </c>
      <c r="AZ10">
        <v>5.5</v>
      </c>
      <c r="BA10">
        <v>5.5</v>
      </c>
      <c r="BB10">
        <v>5</v>
      </c>
      <c r="BC10">
        <v>8.5</v>
      </c>
      <c r="BD10">
        <v>6.5</v>
      </c>
      <c r="BE10">
        <v>8</v>
      </c>
      <c r="BF10">
        <v>5</v>
      </c>
      <c r="BG10">
        <v>5</v>
      </c>
      <c r="BH10">
        <v>9.5</v>
      </c>
      <c r="BI10">
        <v>8</v>
      </c>
      <c r="BJ10">
        <v>7</v>
      </c>
      <c r="BK10">
        <v>6.5</v>
      </c>
      <c r="BL10">
        <v>5.5</v>
      </c>
      <c r="BM10">
        <v>7</v>
      </c>
      <c r="BN10">
        <v>7</v>
      </c>
      <c r="BO10">
        <v>8</v>
      </c>
      <c r="BP10">
        <v>5.5</v>
      </c>
      <c r="BQ10">
        <v>5</v>
      </c>
      <c r="BR10">
        <v>7</v>
      </c>
      <c r="BS10">
        <v>5.5</v>
      </c>
      <c r="BT10">
        <v>6.5</v>
      </c>
      <c r="BU10">
        <v>5</v>
      </c>
      <c r="BV10">
        <v>6.5</v>
      </c>
      <c r="BW10">
        <v>5.5</v>
      </c>
      <c r="BX10">
        <v>5.5</v>
      </c>
      <c r="BY10">
        <v>5.5</v>
      </c>
      <c r="BZ10">
        <v>5.5</v>
      </c>
      <c r="CA10">
        <v>5.5</v>
      </c>
      <c r="CB10">
        <v>7</v>
      </c>
      <c r="CC10">
        <v>5.5</v>
      </c>
      <c r="CD10">
        <v>5.5</v>
      </c>
      <c r="CE10">
        <v>5</v>
      </c>
      <c r="DL10">
        <f t="shared" si="2"/>
        <v>68</v>
      </c>
      <c r="DM10" s="18">
        <f t="shared" si="3"/>
        <v>6.4191176470588234</v>
      </c>
      <c r="DN10">
        <f t="shared" si="4"/>
        <v>1.1769245721961776</v>
      </c>
      <c r="DO10">
        <v>0</v>
      </c>
      <c r="DP10">
        <f t="shared" si="0"/>
        <v>0</v>
      </c>
      <c r="DQ10">
        <f t="shared" si="1"/>
        <v>0</v>
      </c>
    </row>
    <row r="11" spans="1:121" x14ac:dyDescent="0.35">
      <c r="A11" t="s">
        <v>15</v>
      </c>
      <c r="B11">
        <v>8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25</v>
      </c>
      <c r="L11" t="s">
        <v>25</v>
      </c>
      <c r="M11" t="s">
        <v>25</v>
      </c>
      <c r="N11" t="s">
        <v>25</v>
      </c>
      <c r="O11" t="s">
        <v>25</v>
      </c>
      <c r="P11" t="s">
        <v>25</v>
      </c>
      <c r="Q11" t="s">
        <v>25</v>
      </c>
      <c r="R11" t="s">
        <v>25</v>
      </c>
      <c r="S11" t="s">
        <v>25</v>
      </c>
      <c r="T11" t="s">
        <v>25</v>
      </c>
      <c r="U11" t="s">
        <v>25</v>
      </c>
      <c r="V11">
        <v>7</v>
      </c>
      <c r="W11">
        <v>7</v>
      </c>
      <c r="X11">
        <v>5.5</v>
      </c>
      <c r="Y11">
        <v>7</v>
      </c>
      <c r="Z11">
        <v>8</v>
      </c>
      <c r="AA11">
        <v>7</v>
      </c>
      <c r="AB11">
        <v>7</v>
      </c>
      <c r="AC11">
        <v>8</v>
      </c>
      <c r="AD11">
        <v>7</v>
      </c>
      <c r="AE11">
        <v>7</v>
      </c>
      <c r="AF11">
        <v>8</v>
      </c>
      <c r="AG11" t="s">
        <v>25</v>
      </c>
      <c r="AH11">
        <v>8</v>
      </c>
      <c r="AI11">
        <v>8</v>
      </c>
      <c r="AJ11">
        <v>6.5</v>
      </c>
      <c r="AK11">
        <v>6.5</v>
      </c>
      <c r="AL11">
        <v>7</v>
      </c>
      <c r="AM11">
        <v>5.5</v>
      </c>
      <c r="AN11">
        <v>5.5</v>
      </c>
      <c r="AO11">
        <v>5.5</v>
      </c>
      <c r="AP11">
        <v>6.5</v>
      </c>
      <c r="AQ11">
        <v>6.5</v>
      </c>
      <c r="AR11">
        <v>7</v>
      </c>
      <c r="AS11">
        <v>5.5</v>
      </c>
      <c r="AT11">
        <v>6.5</v>
      </c>
      <c r="AU11" t="s">
        <v>25</v>
      </c>
      <c r="AV11">
        <v>5</v>
      </c>
      <c r="AW11" t="s">
        <v>25</v>
      </c>
      <c r="AX11">
        <v>7</v>
      </c>
      <c r="AY11">
        <v>6.5</v>
      </c>
      <c r="AZ11">
        <v>8</v>
      </c>
      <c r="BA11">
        <v>5.5</v>
      </c>
      <c r="BB11">
        <v>5.5</v>
      </c>
      <c r="BC11">
        <v>10</v>
      </c>
      <c r="BD11">
        <v>6.5</v>
      </c>
      <c r="BE11">
        <v>8</v>
      </c>
      <c r="BF11">
        <v>5</v>
      </c>
      <c r="BG11">
        <v>7</v>
      </c>
      <c r="BH11">
        <v>6.5</v>
      </c>
      <c r="BI11">
        <v>8.5</v>
      </c>
      <c r="BJ11">
        <v>6.5</v>
      </c>
      <c r="BK11">
        <v>8</v>
      </c>
      <c r="BL11">
        <v>6.5</v>
      </c>
      <c r="BM11">
        <v>6.5</v>
      </c>
      <c r="BN11">
        <v>5.5</v>
      </c>
      <c r="BO11" t="s">
        <v>25</v>
      </c>
      <c r="BP11">
        <v>6.5</v>
      </c>
      <c r="BQ11">
        <v>5.5</v>
      </c>
      <c r="BR11">
        <v>5.5</v>
      </c>
      <c r="BS11">
        <v>6.5</v>
      </c>
      <c r="BT11" t="s">
        <v>25</v>
      </c>
      <c r="BU11">
        <v>6.5</v>
      </c>
      <c r="BV11">
        <v>7</v>
      </c>
      <c r="BW11">
        <v>6.5</v>
      </c>
      <c r="BX11" t="s">
        <v>25</v>
      </c>
      <c r="BY11">
        <v>5.5</v>
      </c>
      <c r="BZ11">
        <v>5.5</v>
      </c>
      <c r="CA11">
        <v>7</v>
      </c>
      <c r="CB11" t="s">
        <v>25</v>
      </c>
      <c r="CC11">
        <v>7</v>
      </c>
      <c r="CD11">
        <v>5.5</v>
      </c>
      <c r="CE11">
        <v>7.5</v>
      </c>
      <c r="CF11">
        <v>6</v>
      </c>
      <c r="CG11">
        <v>6.5</v>
      </c>
      <c r="CH11">
        <v>6.5</v>
      </c>
      <c r="CL11">
        <v>6.5</v>
      </c>
      <c r="CM11">
        <v>6.5</v>
      </c>
      <c r="CN11">
        <v>7</v>
      </c>
      <c r="CO11">
        <v>6.5</v>
      </c>
      <c r="CQ11">
        <v>7</v>
      </c>
      <c r="CR11">
        <v>6</v>
      </c>
      <c r="CS11">
        <v>6</v>
      </c>
      <c r="CT11">
        <v>6</v>
      </c>
      <c r="CZ11">
        <v>6</v>
      </c>
      <c r="DA11">
        <v>7.5</v>
      </c>
      <c r="DB11">
        <v>6.5</v>
      </c>
      <c r="DC11">
        <v>6</v>
      </c>
      <c r="DD11">
        <v>6.5</v>
      </c>
      <c r="DE11">
        <v>7.5</v>
      </c>
      <c r="DF11">
        <v>5.5</v>
      </c>
      <c r="DJ11">
        <v>7</v>
      </c>
      <c r="DL11">
        <f t="shared" si="2"/>
        <v>74</v>
      </c>
      <c r="DM11" s="18">
        <f t="shared" si="3"/>
        <v>6.6351351351351351</v>
      </c>
      <c r="DN11">
        <f t="shared" si="4"/>
        <v>0.92268702784386913</v>
      </c>
      <c r="DO11">
        <v>0</v>
      </c>
      <c r="DP11">
        <f t="shared" si="0"/>
        <v>1</v>
      </c>
      <c r="DQ11">
        <f t="shared" si="1"/>
        <v>1</v>
      </c>
    </row>
    <row r="12" spans="1:121" x14ac:dyDescent="0.35">
      <c r="A12" t="s">
        <v>2</v>
      </c>
      <c r="B12">
        <v>7</v>
      </c>
      <c r="C12" t="s">
        <v>25</v>
      </c>
      <c r="D12">
        <v>3.5</v>
      </c>
      <c r="E12">
        <v>3.5</v>
      </c>
      <c r="F12">
        <v>5</v>
      </c>
      <c r="G12">
        <v>5</v>
      </c>
      <c r="H12">
        <v>7</v>
      </c>
      <c r="I12" t="s">
        <v>25</v>
      </c>
      <c r="J12">
        <v>5.5</v>
      </c>
      <c r="K12">
        <v>5.5</v>
      </c>
      <c r="L12">
        <v>5</v>
      </c>
      <c r="M12">
        <v>5.5</v>
      </c>
      <c r="N12" t="s">
        <v>25</v>
      </c>
      <c r="O12">
        <v>5</v>
      </c>
      <c r="P12">
        <v>5.5</v>
      </c>
      <c r="Q12">
        <v>3.5</v>
      </c>
      <c r="R12">
        <v>5.5</v>
      </c>
      <c r="S12">
        <v>7</v>
      </c>
      <c r="T12">
        <v>5</v>
      </c>
      <c r="U12">
        <v>5</v>
      </c>
      <c r="V12">
        <v>5</v>
      </c>
      <c r="W12">
        <v>5</v>
      </c>
      <c r="X12">
        <v>5.5</v>
      </c>
      <c r="Y12">
        <v>5</v>
      </c>
      <c r="Z12" t="s">
        <v>25</v>
      </c>
      <c r="AA12">
        <v>7</v>
      </c>
      <c r="AB12">
        <v>5.5</v>
      </c>
      <c r="AC12">
        <v>5.5</v>
      </c>
      <c r="AD12" t="s">
        <v>25</v>
      </c>
      <c r="AE12">
        <v>8.5</v>
      </c>
      <c r="AF12" t="s">
        <v>25</v>
      </c>
      <c r="AG12" t="s">
        <v>25</v>
      </c>
      <c r="AH12">
        <v>8</v>
      </c>
      <c r="AI12">
        <v>5</v>
      </c>
      <c r="AJ12" t="s">
        <v>25</v>
      </c>
      <c r="AK12">
        <v>5.5</v>
      </c>
      <c r="AL12">
        <v>5.5</v>
      </c>
      <c r="AM12">
        <v>6.5</v>
      </c>
      <c r="AN12">
        <v>4</v>
      </c>
      <c r="AO12" t="s">
        <v>25</v>
      </c>
      <c r="AP12" t="s">
        <v>25</v>
      </c>
      <c r="AQ12" t="s">
        <v>25</v>
      </c>
      <c r="AR12" t="s">
        <v>25</v>
      </c>
      <c r="AS12" t="s">
        <v>25</v>
      </c>
      <c r="AT12">
        <v>5</v>
      </c>
      <c r="AU12" t="s">
        <v>25</v>
      </c>
      <c r="AV12" t="s">
        <v>25</v>
      </c>
      <c r="AW12" t="s">
        <v>25</v>
      </c>
      <c r="AX12" t="s">
        <v>25</v>
      </c>
      <c r="AY12" t="s">
        <v>25</v>
      </c>
      <c r="AZ12">
        <v>5</v>
      </c>
      <c r="BA12" t="s">
        <v>25</v>
      </c>
      <c r="BB12" t="s">
        <v>25</v>
      </c>
      <c r="BC12">
        <v>4</v>
      </c>
      <c r="BD12" t="s">
        <v>25</v>
      </c>
      <c r="BE12" t="s">
        <v>25</v>
      </c>
      <c r="BF12" t="s">
        <v>25</v>
      </c>
      <c r="BG12">
        <v>5</v>
      </c>
      <c r="BH12">
        <v>6.5</v>
      </c>
      <c r="BI12">
        <v>5.5</v>
      </c>
      <c r="BJ12">
        <v>5</v>
      </c>
      <c r="BK12">
        <v>5</v>
      </c>
      <c r="BL12">
        <v>5</v>
      </c>
      <c r="BM12">
        <v>5.5</v>
      </c>
      <c r="BN12">
        <v>6.5</v>
      </c>
      <c r="BO12" t="s">
        <v>25</v>
      </c>
      <c r="BP12" t="s">
        <v>25</v>
      </c>
      <c r="BQ12">
        <v>5.5</v>
      </c>
      <c r="BR12" t="s">
        <v>25</v>
      </c>
      <c r="BS12" t="s">
        <v>25</v>
      </c>
      <c r="BT12" t="s">
        <v>25</v>
      </c>
      <c r="BU12" t="s">
        <v>25</v>
      </c>
      <c r="BV12" t="s">
        <v>25</v>
      </c>
      <c r="BW12">
        <v>5.5</v>
      </c>
      <c r="BX12" t="s">
        <v>25</v>
      </c>
      <c r="BY12">
        <v>4</v>
      </c>
      <c r="BZ12">
        <v>5.5</v>
      </c>
      <c r="CA12">
        <v>5.5</v>
      </c>
      <c r="CB12">
        <v>5</v>
      </c>
      <c r="CC12">
        <v>7</v>
      </c>
      <c r="CD12">
        <v>5</v>
      </c>
      <c r="CE12">
        <v>6.5</v>
      </c>
      <c r="CF12">
        <v>5.5</v>
      </c>
      <c r="CG12">
        <v>5.5</v>
      </c>
      <c r="CJ12">
        <v>5.5</v>
      </c>
      <c r="CK12">
        <v>7</v>
      </c>
      <c r="CL12">
        <v>5.5</v>
      </c>
      <c r="CM12">
        <v>6</v>
      </c>
      <c r="CN12">
        <v>6.5</v>
      </c>
      <c r="CO12">
        <v>6</v>
      </c>
      <c r="CP12">
        <v>6</v>
      </c>
      <c r="CQ12">
        <v>6</v>
      </c>
      <c r="CR12">
        <v>6</v>
      </c>
      <c r="CV12">
        <v>5.5</v>
      </c>
      <c r="CW12">
        <v>5.5</v>
      </c>
      <c r="CY12">
        <v>5.5</v>
      </c>
      <c r="CZ12">
        <v>6.5</v>
      </c>
      <c r="DA12">
        <v>5</v>
      </c>
      <c r="DC12">
        <v>5</v>
      </c>
      <c r="DE12">
        <v>5.5</v>
      </c>
      <c r="DH12">
        <v>5.5</v>
      </c>
      <c r="DL12">
        <f t="shared" si="2"/>
        <v>70</v>
      </c>
      <c r="DM12" s="18">
        <f t="shared" si="3"/>
        <v>5.5357142857142856</v>
      </c>
      <c r="DN12">
        <f t="shared" si="4"/>
        <v>0.92986452407127196</v>
      </c>
      <c r="DO12">
        <v>1</v>
      </c>
      <c r="DP12">
        <f t="shared" si="0"/>
        <v>1</v>
      </c>
      <c r="DQ12">
        <f t="shared" si="1"/>
        <v>0</v>
      </c>
    </row>
    <row r="13" spans="1:121" x14ac:dyDescent="0.35">
      <c r="A13" t="s">
        <v>18</v>
      </c>
      <c r="B13">
        <v>10</v>
      </c>
      <c r="C13" t="s">
        <v>25</v>
      </c>
      <c r="D13">
        <v>7</v>
      </c>
      <c r="E13">
        <v>7</v>
      </c>
      <c r="F13">
        <v>5.5</v>
      </c>
      <c r="G13" t="s">
        <v>25</v>
      </c>
      <c r="H13" t="s">
        <v>25</v>
      </c>
      <c r="I13" t="s">
        <v>25</v>
      </c>
      <c r="J13" t="s">
        <v>25</v>
      </c>
      <c r="K13" t="s">
        <v>25</v>
      </c>
      <c r="L13" t="s">
        <v>25</v>
      </c>
      <c r="M13">
        <v>5.5</v>
      </c>
      <c r="N13">
        <v>5.5</v>
      </c>
      <c r="O13">
        <v>5.5</v>
      </c>
      <c r="P13">
        <v>5.5</v>
      </c>
      <c r="Q13">
        <v>7</v>
      </c>
      <c r="R13" t="s">
        <v>25</v>
      </c>
      <c r="S13" t="s">
        <v>25</v>
      </c>
      <c r="T13">
        <v>5.5</v>
      </c>
      <c r="U13">
        <v>5.5</v>
      </c>
      <c r="V13">
        <v>7</v>
      </c>
      <c r="W13">
        <v>5.5</v>
      </c>
      <c r="X13" t="s">
        <v>25</v>
      </c>
      <c r="Y13">
        <v>9.5</v>
      </c>
      <c r="Z13">
        <v>5.5</v>
      </c>
      <c r="AA13">
        <v>5.5</v>
      </c>
      <c r="AB13">
        <v>5</v>
      </c>
      <c r="AC13" t="s">
        <v>25</v>
      </c>
      <c r="AD13" t="s">
        <v>25</v>
      </c>
      <c r="AE13">
        <v>7</v>
      </c>
      <c r="AF13">
        <v>8</v>
      </c>
      <c r="AG13">
        <v>8</v>
      </c>
      <c r="AH13" t="s">
        <v>25</v>
      </c>
      <c r="AI13" t="s">
        <v>25</v>
      </c>
      <c r="AJ13" t="s">
        <v>25</v>
      </c>
      <c r="AK13" t="s">
        <v>25</v>
      </c>
      <c r="AL13">
        <v>5</v>
      </c>
      <c r="AM13">
        <v>6.5</v>
      </c>
      <c r="AN13" t="s">
        <v>25</v>
      </c>
      <c r="AO13" t="s">
        <v>25</v>
      </c>
      <c r="AP13" t="s">
        <v>25</v>
      </c>
      <c r="AQ13">
        <v>5.5</v>
      </c>
      <c r="AR13" t="s">
        <v>25</v>
      </c>
      <c r="AS13" t="s">
        <v>25</v>
      </c>
      <c r="AT13">
        <v>6.5</v>
      </c>
      <c r="AU13">
        <v>6.5</v>
      </c>
      <c r="AV13">
        <v>5.5</v>
      </c>
      <c r="AW13">
        <v>5.5</v>
      </c>
      <c r="AX13">
        <v>6.5</v>
      </c>
      <c r="AY13" t="s">
        <v>25</v>
      </c>
      <c r="AZ13">
        <v>6.5</v>
      </c>
      <c r="BA13">
        <v>5.5</v>
      </c>
      <c r="BB13" t="s">
        <v>25</v>
      </c>
      <c r="BC13">
        <v>8.5</v>
      </c>
      <c r="BD13" t="s">
        <v>25</v>
      </c>
      <c r="BE13">
        <v>5</v>
      </c>
      <c r="BF13">
        <v>9.5</v>
      </c>
      <c r="BG13">
        <v>5.5</v>
      </c>
      <c r="BH13">
        <v>7</v>
      </c>
      <c r="BI13">
        <v>5.5</v>
      </c>
      <c r="BJ13" t="s">
        <v>25</v>
      </c>
      <c r="BK13">
        <v>6.5</v>
      </c>
      <c r="BL13">
        <v>6.5</v>
      </c>
      <c r="BM13">
        <v>5.5</v>
      </c>
      <c r="BN13" t="s">
        <v>25</v>
      </c>
      <c r="BO13">
        <v>5.5</v>
      </c>
      <c r="BP13">
        <v>6.5</v>
      </c>
      <c r="BQ13" t="s">
        <v>25</v>
      </c>
      <c r="BR13" t="s">
        <v>25</v>
      </c>
      <c r="BS13">
        <v>6.5</v>
      </c>
      <c r="BT13" t="s">
        <v>25</v>
      </c>
      <c r="BU13" t="s">
        <v>25</v>
      </c>
      <c r="BV13">
        <v>6.5</v>
      </c>
      <c r="BW13">
        <v>6.5</v>
      </c>
      <c r="BX13" t="s">
        <v>25</v>
      </c>
      <c r="BY13" t="s">
        <v>25</v>
      </c>
      <c r="BZ13" t="s">
        <v>25</v>
      </c>
      <c r="CA13" t="s">
        <v>25</v>
      </c>
      <c r="CB13">
        <v>5.5</v>
      </c>
      <c r="CC13">
        <v>7</v>
      </c>
      <c r="CD13">
        <v>7</v>
      </c>
      <c r="CE13">
        <v>6</v>
      </c>
      <c r="CF13">
        <v>7</v>
      </c>
      <c r="CH13">
        <v>6</v>
      </c>
      <c r="CI13">
        <v>6.5</v>
      </c>
      <c r="CJ13">
        <v>6.5</v>
      </c>
      <c r="CK13">
        <v>6</v>
      </c>
      <c r="CL13">
        <v>6</v>
      </c>
      <c r="CM13">
        <v>6</v>
      </c>
      <c r="CN13">
        <v>5.5</v>
      </c>
      <c r="CQ13">
        <v>6.5</v>
      </c>
      <c r="CR13">
        <v>7.5</v>
      </c>
      <c r="CS13">
        <v>5.5</v>
      </c>
      <c r="CT13">
        <v>5</v>
      </c>
      <c r="CU13">
        <v>5.5</v>
      </c>
      <c r="CV13">
        <v>5.5</v>
      </c>
      <c r="CW13">
        <v>6.5</v>
      </c>
      <c r="CY13">
        <v>5.5</v>
      </c>
      <c r="CZ13">
        <v>5.5</v>
      </c>
      <c r="DA13">
        <v>5</v>
      </c>
      <c r="DB13">
        <v>5.5</v>
      </c>
      <c r="DC13">
        <v>5</v>
      </c>
      <c r="DD13">
        <v>6.5</v>
      </c>
      <c r="DE13">
        <v>5.5</v>
      </c>
      <c r="DF13">
        <v>5.5</v>
      </c>
      <c r="DJ13">
        <v>6</v>
      </c>
      <c r="DL13">
        <f t="shared" si="2"/>
        <v>71</v>
      </c>
      <c r="DM13" s="18">
        <f t="shared" si="3"/>
        <v>6.225352112676056</v>
      </c>
      <c r="DN13">
        <f t="shared" si="4"/>
        <v>1.064990718921216</v>
      </c>
      <c r="DO13">
        <v>1</v>
      </c>
      <c r="DP13">
        <f t="shared" si="0"/>
        <v>1</v>
      </c>
      <c r="DQ13">
        <f t="shared" si="1"/>
        <v>0</v>
      </c>
    </row>
    <row r="14" spans="1:121" x14ac:dyDescent="0.35">
      <c r="A14" t="s">
        <v>118</v>
      </c>
      <c r="B14">
        <v>9.5</v>
      </c>
      <c r="C14" t="s">
        <v>25</v>
      </c>
      <c r="D14" t="s">
        <v>25</v>
      </c>
      <c r="E14">
        <v>7</v>
      </c>
      <c r="F14">
        <v>7</v>
      </c>
      <c r="G14" t="s">
        <v>25</v>
      </c>
      <c r="H14">
        <v>10</v>
      </c>
      <c r="I14">
        <v>7</v>
      </c>
      <c r="J14" t="s">
        <v>25</v>
      </c>
      <c r="K14">
        <v>5.5</v>
      </c>
      <c r="L14">
        <v>7</v>
      </c>
      <c r="M14">
        <v>5.5</v>
      </c>
      <c r="N14">
        <v>5.5</v>
      </c>
      <c r="O14">
        <v>5.5</v>
      </c>
      <c r="P14">
        <v>7</v>
      </c>
      <c r="Q14">
        <v>5</v>
      </c>
      <c r="R14">
        <v>8</v>
      </c>
      <c r="S14">
        <v>7</v>
      </c>
      <c r="T14">
        <v>7</v>
      </c>
      <c r="U14">
        <v>5.5</v>
      </c>
      <c r="V14">
        <v>7</v>
      </c>
      <c r="W14">
        <v>7</v>
      </c>
      <c r="X14">
        <v>7</v>
      </c>
      <c r="Y14" t="s">
        <v>25</v>
      </c>
      <c r="Z14">
        <v>5.5</v>
      </c>
      <c r="AA14">
        <v>5.5</v>
      </c>
      <c r="AB14" t="s">
        <v>25</v>
      </c>
      <c r="AC14">
        <v>5.5</v>
      </c>
      <c r="AD14" t="s">
        <v>25</v>
      </c>
      <c r="AE14" t="s">
        <v>25</v>
      </c>
      <c r="AF14">
        <v>8.5</v>
      </c>
      <c r="AG14">
        <v>6.5</v>
      </c>
      <c r="AH14">
        <v>6.5</v>
      </c>
      <c r="AI14">
        <v>6.5</v>
      </c>
      <c r="AJ14">
        <v>6.5</v>
      </c>
      <c r="AK14">
        <v>8</v>
      </c>
      <c r="AL14">
        <v>5</v>
      </c>
      <c r="AM14" t="s">
        <v>25</v>
      </c>
      <c r="AN14" t="s">
        <v>25</v>
      </c>
      <c r="AO14" t="s">
        <v>25</v>
      </c>
      <c r="AP14" t="s">
        <v>25</v>
      </c>
      <c r="AQ14" t="s">
        <v>25</v>
      </c>
      <c r="AR14" t="s">
        <v>25</v>
      </c>
      <c r="AS14" t="s">
        <v>25</v>
      </c>
      <c r="AT14" t="s">
        <v>25</v>
      </c>
      <c r="AU14" t="s">
        <v>25</v>
      </c>
      <c r="AV14">
        <v>5</v>
      </c>
      <c r="AW14">
        <v>5</v>
      </c>
      <c r="AX14">
        <v>5.5</v>
      </c>
      <c r="AY14">
        <v>6.5</v>
      </c>
      <c r="AZ14">
        <v>6.5</v>
      </c>
      <c r="BA14">
        <v>5.5</v>
      </c>
      <c r="BB14" t="s">
        <v>25</v>
      </c>
      <c r="BC14" t="s">
        <v>25</v>
      </c>
      <c r="BD14">
        <v>5</v>
      </c>
      <c r="BE14">
        <v>7</v>
      </c>
      <c r="BF14">
        <v>8</v>
      </c>
      <c r="BG14">
        <v>6.5</v>
      </c>
      <c r="BH14">
        <v>5.5</v>
      </c>
      <c r="BI14" t="s">
        <v>25</v>
      </c>
      <c r="BJ14" t="s">
        <v>25</v>
      </c>
      <c r="BK14">
        <v>5</v>
      </c>
      <c r="BL14">
        <v>5.5</v>
      </c>
      <c r="BM14">
        <v>6.5</v>
      </c>
      <c r="BN14">
        <v>6.5</v>
      </c>
      <c r="BO14">
        <v>5.5</v>
      </c>
      <c r="BP14">
        <v>6.5</v>
      </c>
      <c r="BQ14">
        <v>5.5</v>
      </c>
      <c r="BR14">
        <v>5</v>
      </c>
      <c r="BS14">
        <v>6.5</v>
      </c>
      <c r="BT14">
        <v>5.5</v>
      </c>
      <c r="BU14" t="s">
        <v>25</v>
      </c>
      <c r="BV14">
        <v>6.5</v>
      </c>
      <c r="BW14">
        <v>5.5</v>
      </c>
      <c r="BX14" t="s">
        <v>25</v>
      </c>
      <c r="BY14">
        <v>5.5</v>
      </c>
      <c r="BZ14" t="s">
        <v>25</v>
      </c>
      <c r="CA14" t="s">
        <v>25</v>
      </c>
      <c r="CB14">
        <v>5.5</v>
      </c>
      <c r="CI14">
        <v>6.5</v>
      </c>
      <c r="CJ14">
        <v>6</v>
      </c>
      <c r="CN14">
        <v>6</v>
      </c>
      <c r="CP14">
        <v>5.5</v>
      </c>
      <c r="CR14">
        <v>6</v>
      </c>
      <c r="CS14">
        <v>5.5</v>
      </c>
      <c r="CT14">
        <v>6</v>
      </c>
      <c r="CU14">
        <v>6</v>
      </c>
      <c r="DB14">
        <v>6</v>
      </c>
      <c r="DE14">
        <v>5.5</v>
      </c>
      <c r="DF14">
        <v>6</v>
      </c>
      <c r="DL14">
        <f t="shared" si="2"/>
        <v>65</v>
      </c>
      <c r="DM14" s="18">
        <f t="shared" si="3"/>
        <v>6.2461538461538462</v>
      </c>
      <c r="DN14">
        <f t="shared" si="4"/>
        <v>1.0387909021846209</v>
      </c>
      <c r="DO14">
        <v>0</v>
      </c>
      <c r="DP14">
        <f t="shared" si="0"/>
        <v>1</v>
      </c>
      <c r="DQ14">
        <f t="shared" si="1"/>
        <v>1</v>
      </c>
    </row>
    <row r="15" spans="1:121" x14ac:dyDescent="0.35">
      <c r="A15" t="s">
        <v>55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25</v>
      </c>
      <c r="L15" t="s">
        <v>25</v>
      </c>
      <c r="M15" t="s">
        <v>25</v>
      </c>
      <c r="N15" t="s">
        <v>25</v>
      </c>
      <c r="O15" t="s">
        <v>25</v>
      </c>
      <c r="P15" t="s">
        <v>25</v>
      </c>
      <c r="Q15">
        <v>5</v>
      </c>
      <c r="R15" t="s">
        <v>25</v>
      </c>
      <c r="S15">
        <v>7</v>
      </c>
      <c r="T15" t="s">
        <v>25</v>
      </c>
      <c r="U15" t="s">
        <v>25</v>
      </c>
      <c r="V15">
        <v>7</v>
      </c>
      <c r="W15" t="s">
        <v>25</v>
      </c>
      <c r="X15">
        <v>5.5</v>
      </c>
      <c r="Y15">
        <v>7</v>
      </c>
      <c r="Z15">
        <v>7</v>
      </c>
      <c r="AA15" t="s">
        <v>25</v>
      </c>
      <c r="AB15">
        <v>7</v>
      </c>
      <c r="AC15">
        <v>3.5</v>
      </c>
      <c r="AD15">
        <v>7</v>
      </c>
      <c r="AE15">
        <v>7</v>
      </c>
      <c r="AF15">
        <v>5.5</v>
      </c>
      <c r="AG15">
        <v>8</v>
      </c>
      <c r="AH15">
        <v>8</v>
      </c>
      <c r="AI15">
        <v>8</v>
      </c>
      <c r="AJ15">
        <v>5.5</v>
      </c>
      <c r="AK15">
        <v>5.5</v>
      </c>
      <c r="AL15">
        <v>7</v>
      </c>
      <c r="AM15">
        <v>5.5</v>
      </c>
      <c r="AN15" t="s">
        <v>25</v>
      </c>
      <c r="AO15">
        <v>5.5</v>
      </c>
      <c r="AP15">
        <v>6.5</v>
      </c>
      <c r="AQ15">
        <v>5</v>
      </c>
      <c r="AR15">
        <v>5.5</v>
      </c>
      <c r="AS15">
        <v>5.5</v>
      </c>
      <c r="AT15">
        <v>5.5</v>
      </c>
      <c r="AU15">
        <v>7</v>
      </c>
      <c r="AV15">
        <v>5</v>
      </c>
      <c r="AW15">
        <v>5.5</v>
      </c>
      <c r="AX15" t="s">
        <v>25</v>
      </c>
      <c r="AY15" t="s">
        <v>25</v>
      </c>
      <c r="AZ15" t="s">
        <v>25</v>
      </c>
      <c r="BA15" t="s">
        <v>25</v>
      </c>
      <c r="BB15" t="s">
        <v>25</v>
      </c>
      <c r="BC15" t="s">
        <v>25</v>
      </c>
      <c r="BD15" t="s">
        <v>25</v>
      </c>
      <c r="BE15" t="s">
        <v>25</v>
      </c>
      <c r="BF15" t="s">
        <v>25</v>
      </c>
      <c r="BG15" t="s">
        <v>25</v>
      </c>
      <c r="BH15" t="s">
        <v>25</v>
      </c>
      <c r="BI15" t="s">
        <v>25</v>
      </c>
      <c r="BJ15" t="s">
        <v>25</v>
      </c>
      <c r="BK15" t="s">
        <v>25</v>
      </c>
      <c r="BL15" t="s">
        <v>25</v>
      </c>
      <c r="BM15" t="s">
        <v>25</v>
      </c>
      <c r="BN15" t="s">
        <v>25</v>
      </c>
      <c r="BO15" t="s">
        <v>25</v>
      </c>
      <c r="BP15">
        <v>5.5</v>
      </c>
      <c r="BQ15">
        <v>5.5</v>
      </c>
      <c r="BR15">
        <v>6.5</v>
      </c>
      <c r="BS15">
        <v>6.5</v>
      </c>
      <c r="BT15" t="s">
        <v>25</v>
      </c>
      <c r="BU15" t="s">
        <v>25</v>
      </c>
      <c r="BV15">
        <v>5.5</v>
      </c>
      <c r="BW15">
        <v>6.5</v>
      </c>
      <c r="BX15" t="s">
        <v>25</v>
      </c>
      <c r="BY15">
        <v>5</v>
      </c>
      <c r="BZ15" t="s">
        <v>25</v>
      </c>
      <c r="CA15">
        <v>5.5</v>
      </c>
      <c r="CB15">
        <v>6.5</v>
      </c>
      <c r="CC15">
        <v>6</v>
      </c>
      <c r="CD15">
        <v>6</v>
      </c>
      <c r="CE15">
        <v>6</v>
      </c>
      <c r="CF15">
        <v>6.5</v>
      </c>
      <c r="CG15">
        <v>6.5</v>
      </c>
      <c r="CH15">
        <v>5.5</v>
      </c>
      <c r="CI15">
        <v>5.5</v>
      </c>
      <c r="CJ15">
        <v>6</v>
      </c>
      <c r="CK15">
        <v>5</v>
      </c>
      <c r="CL15">
        <v>6</v>
      </c>
      <c r="CN15">
        <v>6</v>
      </c>
      <c r="CO15">
        <v>6</v>
      </c>
      <c r="CP15">
        <v>5.5</v>
      </c>
      <c r="CQ15">
        <v>5.5</v>
      </c>
      <c r="CR15">
        <v>6</v>
      </c>
      <c r="CS15">
        <v>5.5</v>
      </c>
      <c r="CT15">
        <v>6</v>
      </c>
      <c r="CU15">
        <v>6</v>
      </c>
      <c r="CV15">
        <v>7</v>
      </c>
      <c r="CW15">
        <v>6.5</v>
      </c>
      <c r="CY15">
        <v>5.5</v>
      </c>
      <c r="CZ15">
        <v>5.5</v>
      </c>
      <c r="DA15">
        <v>5.5</v>
      </c>
      <c r="DB15">
        <v>6</v>
      </c>
      <c r="DC15">
        <v>7</v>
      </c>
      <c r="DD15">
        <v>6</v>
      </c>
      <c r="DE15">
        <v>6.5</v>
      </c>
      <c r="DF15">
        <v>5.5</v>
      </c>
      <c r="DH15">
        <v>6</v>
      </c>
      <c r="DI15">
        <v>6</v>
      </c>
      <c r="DJ15">
        <v>6.5</v>
      </c>
      <c r="DL15">
        <f>COUNT(B15:DJ15)</f>
        <v>67</v>
      </c>
      <c r="DM15" s="18">
        <f>AVERAGE(B15:DJ15)</f>
        <v>6.044776119402985</v>
      </c>
      <c r="DN15">
        <f t="shared" si="4"/>
        <v>0.80532175156462971</v>
      </c>
      <c r="DO15">
        <v>1</v>
      </c>
      <c r="DP15">
        <f t="shared" si="0"/>
        <v>2</v>
      </c>
      <c r="DQ15">
        <f t="shared" si="1"/>
        <v>0</v>
      </c>
    </row>
    <row r="16" spans="1:121" x14ac:dyDescent="0.35">
      <c r="A16" t="s">
        <v>13</v>
      </c>
      <c r="B16">
        <v>7</v>
      </c>
      <c r="C16" t="s">
        <v>25</v>
      </c>
      <c r="D16">
        <v>8</v>
      </c>
      <c r="E16" t="s">
        <v>25</v>
      </c>
      <c r="F16">
        <v>5.5</v>
      </c>
      <c r="G16">
        <v>7</v>
      </c>
      <c r="H16">
        <v>3.5</v>
      </c>
      <c r="I16">
        <v>5</v>
      </c>
      <c r="J16" t="s">
        <v>25</v>
      </c>
      <c r="K16">
        <v>5.5</v>
      </c>
      <c r="L16">
        <v>5.5</v>
      </c>
      <c r="M16">
        <v>5.5</v>
      </c>
      <c r="N16" t="s">
        <v>25</v>
      </c>
      <c r="O16">
        <v>5.5</v>
      </c>
      <c r="P16">
        <v>5</v>
      </c>
      <c r="Q16">
        <v>5</v>
      </c>
      <c r="R16">
        <v>5.5</v>
      </c>
      <c r="S16">
        <v>3.5</v>
      </c>
      <c r="T16">
        <v>7</v>
      </c>
      <c r="U16" t="s">
        <v>25</v>
      </c>
      <c r="V16">
        <v>5.5</v>
      </c>
      <c r="W16" t="s">
        <v>25</v>
      </c>
      <c r="X16">
        <v>7</v>
      </c>
      <c r="Y16">
        <v>5.5</v>
      </c>
      <c r="Z16" t="s">
        <v>25</v>
      </c>
      <c r="AA16">
        <v>5.5</v>
      </c>
      <c r="AB16">
        <v>5</v>
      </c>
      <c r="AC16">
        <v>5.5</v>
      </c>
      <c r="AD16">
        <v>5</v>
      </c>
      <c r="AE16" t="s">
        <v>25</v>
      </c>
      <c r="AF16" t="s">
        <v>25</v>
      </c>
      <c r="AG16" t="s">
        <v>25</v>
      </c>
      <c r="AH16" t="s">
        <v>25</v>
      </c>
      <c r="AI16">
        <v>5.5</v>
      </c>
      <c r="AJ16" t="s">
        <v>25</v>
      </c>
      <c r="AK16" t="s">
        <v>25</v>
      </c>
      <c r="AL16">
        <v>6.5</v>
      </c>
      <c r="AM16">
        <v>5.5</v>
      </c>
      <c r="AN16">
        <v>5.5</v>
      </c>
      <c r="AO16">
        <v>5.5</v>
      </c>
      <c r="AP16">
        <v>5.5</v>
      </c>
      <c r="AQ16">
        <v>5.5</v>
      </c>
      <c r="AR16">
        <v>5</v>
      </c>
      <c r="AS16">
        <v>6.5</v>
      </c>
      <c r="AT16">
        <v>6.5</v>
      </c>
      <c r="AU16" t="s">
        <v>25</v>
      </c>
      <c r="AV16">
        <v>5.5</v>
      </c>
      <c r="AW16" t="s">
        <v>25</v>
      </c>
      <c r="AX16" t="s">
        <v>25</v>
      </c>
      <c r="AY16">
        <v>5</v>
      </c>
      <c r="AZ16">
        <v>5.5</v>
      </c>
      <c r="BA16" t="s">
        <v>25</v>
      </c>
      <c r="BB16">
        <v>5.5</v>
      </c>
      <c r="BC16">
        <v>7</v>
      </c>
      <c r="BD16">
        <v>7</v>
      </c>
      <c r="BE16">
        <v>7</v>
      </c>
      <c r="BF16">
        <v>5.5</v>
      </c>
      <c r="BG16">
        <v>6.5</v>
      </c>
      <c r="BH16">
        <v>5.5</v>
      </c>
      <c r="BI16">
        <v>5.5</v>
      </c>
      <c r="BJ16" t="s">
        <v>25</v>
      </c>
      <c r="BK16">
        <v>6.5</v>
      </c>
      <c r="BL16">
        <v>5.5</v>
      </c>
      <c r="BM16">
        <v>5.5</v>
      </c>
      <c r="BN16">
        <v>6.5</v>
      </c>
      <c r="BO16">
        <v>5</v>
      </c>
      <c r="BP16">
        <v>5</v>
      </c>
      <c r="BQ16">
        <v>5.5</v>
      </c>
      <c r="BR16">
        <v>5</v>
      </c>
      <c r="BS16" t="s">
        <v>25</v>
      </c>
      <c r="BT16" t="s">
        <v>25</v>
      </c>
      <c r="BU16" t="s">
        <v>25</v>
      </c>
      <c r="BV16" t="s">
        <v>25</v>
      </c>
      <c r="BW16" t="s">
        <v>25</v>
      </c>
      <c r="BX16" t="s">
        <v>25</v>
      </c>
      <c r="BY16" t="s">
        <v>25</v>
      </c>
      <c r="BZ16" t="s">
        <v>25</v>
      </c>
      <c r="CA16" t="s">
        <v>25</v>
      </c>
      <c r="CB16" t="s">
        <v>25</v>
      </c>
      <c r="CF16">
        <v>5.5</v>
      </c>
      <c r="CW16">
        <v>6</v>
      </c>
      <c r="DL16">
        <f t="shared" si="2"/>
        <v>53</v>
      </c>
      <c r="DM16" s="18">
        <f t="shared" si="3"/>
        <v>5.6981132075471699</v>
      </c>
      <c r="DN16">
        <f t="shared" si="4"/>
        <v>0.83975513052632311</v>
      </c>
      <c r="DO16">
        <v>0</v>
      </c>
      <c r="DP16">
        <f t="shared" si="0"/>
        <v>0</v>
      </c>
      <c r="DQ16">
        <f t="shared" si="1"/>
        <v>0</v>
      </c>
    </row>
    <row r="17" spans="1:121" x14ac:dyDescent="0.35">
      <c r="A17" t="s">
        <v>14</v>
      </c>
      <c r="B17">
        <v>7</v>
      </c>
      <c r="C17">
        <v>5</v>
      </c>
      <c r="D17" t="s">
        <v>25</v>
      </c>
      <c r="E17" t="s">
        <v>25</v>
      </c>
      <c r="F17" t="s">
        <v>25</v>
      </c>
      <c r="G17">
        <v>5.5</v>
      </c>
      <c r="H17">
        <v>3.5</v>
      </c>
      <c r="I17" t="s">
        <v>25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>
        <v>5.5</v>
      </c>
      <c r="Q17">
        <v>5</v>
      </c>
      <c r="R17">
        <v>7</v>
      </c>
      <c r="S17">
        <v>5.5</v>
      </c>
      <c r="T17">
        <v>5.5</v>
      </c>
      <c r="U17">
        <v>7</v>
      </c>
      <c r="V17">
        <v>5</v>
      </c>
      <c r="W17">
        <v>5.5</v>
      </c>
      <c r="X17">
        <v>5</v>
      </c>
      <c r="Y17">
        <v>7</v>
      </c>
      <c r="Z17" t="s">
        <v>25</v>
      </c>
      <c r="AA17">
        <v>7</v>
      </c>
      <c r="AB17">
        <v>5.5</v>
      </c>
      <c r="AC17" t="s">
        <v>25</v>
      </c>
      <c r="AD17">
        <v>5.5</v>
      </c>
      <c r="AE17" t="s">
        <v>25</v>
      </c>
      <c r="AF17" t="s">
        <v>25</v>
      </c>
      <c r="AG17" t="s">
        <v>25</v>
      </c>
      <c r="AH17" t="s">
        <v>25</v>
      </c>
      <c r="AI17" t="s">
        <v>25</v>
      </c>
      <c r="AJ17" t="s">
        <v>25</v>
      </c>
      <c r="AK17" t="s">
        <v>25</v>
      </c>
      <c r="AL17" t="s">
        <v>25</v>
      </c>
      <c r="AM17" t="s">
        <v>25</v>
      </c>
      <c r="AN17" t="s">
        <v>25</v>
      </c>
      <c r="AO17" t="s">
        <v>25</v>
      </c>
      <c r="AP17" t="s">
        <v>25</v>
      </c>
      <c r="AQ17" t="s">
        <v>25</v>
      </c>
      <c r="AR17" t="s">
        <v>25</v>
      </c>
      <c r="AS17" t="s">
        <v>25</v>
      </c>
      <c r="AT17" t="s">
        <v>25</v>
      </c>
      <c r="AU17" t="s">
        <v>25</v>
      </c>
      <c r="AV17" t="s">
        <v>25</v>
      </c>
      <c r="AW17" t="s">
        <v>25</v>
      </c>
      <c r="AX17" t="s">
        <v>25</v>
      </c>
      <c r="AY17" t="s">
        <v>25</v>
      </c>
      <c r="AZ17" t="s">
        <v>25</v>
      </c>
      <c r="BA17" t="s">
        <v>25</v>
      </c>
      <c r="BB17">
        <v>3.5</v>
      </c>
      <c r="BC17">
        <v>4</v>
      </c>
      <c r="BD17">
        <v>5.5</v>
      </c>
      <c r="BE17">
        <v>8.5</v>
      </c>
      <c r="BF17" t="s">
        <v>25</v>
      </c>
      <c r="BG17" t="s">
        <v>25</v>
      </c>
      <c r="BH17">
        <v>5.5</v>
      </c>
      <c r="BI17" t="s">
        <v>25</v>
      </c>
      <c r="BJ17">
        <v>5</v>
      </c>
      <c r="BK17">
        <v>6.5</v>
      </c>
      <c r="BL17">
        <v>5.5</v>
      </c>
      <c r="BM17">
        <v>5.5</v>
      </c>
      <c r="BN17">
        <v>6.5</v>
      </c>
      <c r="BO17" t="s">
        <v>25</v>
      </c>
      <c r="BP17" t="s">
        <v>25</v>
      </c>
      <c r="BQ17" t="s">
        <v>25</v>
      </c>
      <c r="BR17">
        <v>5.5</v>
      </c>
      <c r="BS17">
        <v>5.5</v>
      </c>
      <c r="BT17" t="s">
        <v>25</v>
      </c>
      <c r="BU17" t="s">
        <v>25</v>
      </c>
      <c r="BV17" t="s">
        <v>25</v>
      </c>
      <c r="BW17">
        <v>6.5</v>
      </c>
      <c r="BX17">
        <v>5.5</v>
      </c>
      <c r="BY17">
        <v>5.5</v>
      </c>
      <c r="BZ17" t="s">
        <v>25</v>
      </c>
      <c r="CA17">
        <v>5</v>
      </c>
      <c r="CB17">
        <v>5.5</v>
      </c>
      <c r="CC17">
        <v>5</v>
      </c>
      <c r="CI17">
        <v>5</v>
      </c>
      <c r="CJ17">
        <v>6</v>
      </c>
      <c r="CK17">
        <v>6</v>
      </c>
      <c r="CL17">
        <v>6</v>
      </c>
      <c r="CM17">
        <v>6.5</v>
      </c>
      <c r="CN17">
        <v>6.5</v>
      </c>
      <c r="CO17">
        <v>6</v>
      </c>
      <c r="CP17">
        <v>5.5</v>
      </c>
      <c r="CQ17">
        <v>6.5</v>
      </c>
      <c r="CR17">
        <v>5.5</v>
      </c>
      <c r="CS17">
        <v>5.5</v>
      </c>
      <c r="CT17">
        <v>6</v>
      </c>
      <c r="CU17">
        <v>6.5</v>
      </c>
      <c r="CV17">
        <v>6</v>
      </c>
      <c r="DD17">
        <v>5.5</v>
      </c>
      <c r="DF17">
        <v>5.5</v>
      </c>
      <c r="DH17">
        <v>5.5</v>
      </c>
      <c r="DL17">
        <f t="shared" si="2"/>
        <v>52</v>
      </c>
      <c r="DM17" s="18">
        <f t="shared" si="3"/>
        <v>5.7115384615384617</v>
      </c>
      <c r="DN17">
        <f t="shared" si="4"/>
        <v>0.87080171448079058</v>
      </c>
      <c r="DO17">
        <v>1</v>
      </c>
      <c r="DP17">
        <f t="shared" si="0"/>
        <v>2</v>
      </c>
      <c r="DQ17">
        <f t="shared" si="1"/>
        <v>0</v>
      </c>
    </row>
    <row r="18" spans="1:121" x14ac:dyDescent="0.35">
      <c r="A18" t="s">
        <v>24</v>
      </c>
      <c r="B18" t="s">
        <v>25</v>
      </c>
      <c r="C18" t="s">
        <v>25</v>
      </c>
      <c r="D18" t="s">
        <v>25</v>
      </c>
      <c r="E18">
        <v>3.5</v>
      </c>
      <c r="F18">
        <v>5.5</v>
      </c>
      <c r="G18">
        <v>3</v>
      </c>
      <c r="H18" t="s">
        <v>25</v>
      </c>
      <c r="I18" t="s">
        <v>25</v>
      </c>
      <c r="J18">
        <v>3.5</v>
      </c>
      <c r="K18" t="s">
        <v>25</v>
      </c>
      <c r="L18">
        <v>1</v>
      </c>
      <c r="M18">
        <v>3.5</v>
      </c>
      <c r="N18">
        <v>5</v>
      </c>
      <c r="O18">
        <v>5.5</v>
      </c>
      <c r="P18">
        <v>3.5</v>
      </c>
      <c r="Q18" t="s">
        <v>25</v>
      </c>
      <c r="R18" t="s">
        <v>25</v>
      </c>
      <c r="S18">
        <v>3</v>
      </c>
      <c r="T18">
        <v>5.5</v>
      </c>
      <c r="U18">
        <v>1</v>
      </c>
      <c r="V18">
        <v>5</v>
      </c>
      <c r="W18">
        <v>5.5</v>
      </c>
      <c r="X18">
        <v>5.5</v>
      </c>
      <c r="Y18" t="s">
        <v>25</v>
      </c>
      <c r="Z18">
        <v>5</v>
      </c>
      <c r="AA18" t="s">
        <v>25</v>
      </c>
      <c r="AB18" t="s">
        <v>25</v>
      </c>
      <c r="AC18">
        <v>3</v>
      </c>
      <c r="AD18">
        <v>3.5</v>
      </c>
      <c r="AE18">
        <v>4</v>
      </c>
      <c r="AF18">
        <v>2</v>
      </c>
      <c r="AG18">
        <v>2.5</v>
      </c>
      <c r="AH18">
        <v>5.5</v>
      </c>
      <c r="AI18" t="s">
        <v>25</v>
      </c>
      <c r="AJ18" t="s">
        <v>25</v>
      </c>
      <c r="AK18">
        <v>5.5</v>
      </c>
      <c r="AL18">
        <v>2</v>
      </c>
      <c r="AM18">
        <v>4</v>
      </c>
      <c r="AN18" t="s">
        <v>25</v>
      </c>
      <c r="AO18">
        <v>6.5</v>
      </c>
      <c r="AP18">
        <v>6.5</v>
      </c>
      <c r="AQ18">
        <v>4</v>
      </c>
      <c r="AR18">
        <v>3.5</v>
      </c>
      <c r="AS18" t="s">
        <v>25</v>
      </c>
      <c r="AT18">
        <v>5.5</v>
      </c>
      <c r="AU18">
        <v>4</v>
      </c>
      <c r="AV18" t="s">
        <v>25</v>
      </c>
      <c r="AW18" t="s">
        <v>25</v>
      </c>
      <c r="AX18">
        <v>6.5</v>
      </c>
      <c r="AY18">
        <v>5</v>
      </c>
      <c r="AZ18">
        <v>5</v>
      </c>
      <c r="BA18">
        <v>5.5</v>
      </c>
      <c r="BB18" t="s">
        <v>25</v>
      </c>
      <c r="BC18">
        <v>4</v>
      </c>
      <c r="BD18" t="s">
        <v>25</v>
      </c>
      <c r="BE18">
        <v>5</v>
      </c>
      <c r="BF18" t="s">
        <v>25</v>
      </c>
      <c r="BG18" t="s">
        <v>25</v>
      </c>
      <c r="BH18" t="s">
        <v>25</v>
      </c>
      <c r="BI18" t="s">
        <v>25</v>
      </c>
      <c r="BJ18" t="s">
        <v>25</v>
      </c>
      <c r="BK18">
        <v>5</v>
      </c>
      <c r="BL18">
        <v>4</v>
      </c>
      <c r="BM18">
        <v>5.5</v>
      </c>
      <c r="BN18" t="s">
        <v>25</v>
      </c>
      <c r="BO18">
        <v>5</v>
      </c>
      <c r="BP18" t="s">
        <v>25</v>
      </c>
      <c r="BQ18" t="s">
        <v>25</v>
      </c>
      <c r="BR18">
        <v>5</v>
      </c>
      <c r="BS18" t="s">
        <v>25</v>
      </c>
      <c r="BT18">
        <v>5.5</v>
      </c>
      <c r="BU18" t="s">
        <v>25</v>
      </c>
      <c r="BV18" t="s">
        <v>25</v>
      </c>
      <c r="BW18" t="s">
        <v>25</v>
      </c>
      <c r="BX18" t="s">
        <v>25</v>
      </c>
      <c r="BY18" t="s">
        <v>25</v>
      </c>
      <c r="BZ18" t="s">
        <v>25</v>
      </c>
      <c r="CA18">
        <v>5.5</v>
      </c>
      <c r="CB18" t="s">
        <v>25</v>
      </c>
      <c r="CC18">
        <v>4.5</v>
      </c>
      <c r="CE18">
        <v>5</v>
      </c>
      <c r="CF18">
        <v>5.5</v>
      </c>
      <c r="DL18">
        <f t="shared" si="2"/>
        <v>47</v>
      </c>
      <c r="DM18" s="18">
        <f t="shared" si="3"/>
        <v>4.4255319148936172</v>
      </c>
      <c r="DN18">
        <f t="shared" si="4"/>
        <v>1.3391217246854428</v>
      </c>
      <c r="DO18">
        <v>0</v>
      </c>
      <c r="DP18">
        <f t="shared" si="0"/>
        <v>0</v>
      </c>
      <c r="DQ18">
        <f t="shared" si="1"/>
        <v>0</v>
      </c>
    </row>
    <row r="19" spans="1:121" x14ac:dyDescent="0.35">
      <c r="A19" t="s">
        <v>83</v>
      </c>
      <c r="B19" t="s">
        <v>25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25</v>
      </c>
      <c r="L19" t="s">
        <v>25</v>
      </c>
      <c r="M19" t="s">
        <v>25</v>
      </c>
      <c r="N19" t="s">
        <v>25</v>
      </c>
      <c r="O19" t="s">
        <v>25</v>
      </c>
      <c r="P19" t="s">
        <v>25</v>
      </c>
      <c r="Q19" t="s">
        <v>25</v>
      </c>
      <c r="R19" t="s">
        <v>25</v>
      </c>
      <c r="S19" t="s">
        <v>25</v>
      </c>
      <c r="T19" t="s">
        <v>25</v>
      </c>
      <c r="U19" t="s">
        <v>25</v>
      </c>
      <c r="V19" t="s">
        <v>25</v>
      </c>
      <c r="W19" t="s">
        <v>25</v>
      </c>
      <c r="X19" t="s">
        <v>25</v>
      </c>
      <c r="Y19" t="s">
        <v>25</v>
      </c>
      <c r="Z19" t="s">
        <v>25</v>
      </c>
      <c r="AA19" t="s">
        <v>25</v>
      </c>
      <c r="AB19">
        <v>3.5</v>
      </c>
      <c r="AC19">
        <v>5.5</v>
      </c>
      <c r="AD19" t="s">
        <v>25</v>
      </c>
      <c r="AE19">
        <v>8</v>
      </c>
      <c r="AF19">
        <v>7</v>
      </c>
      <c r="AG19">
        <v>8</v>
      </c>
      <c r="AH19">
        <v>5.5</v>
      </c>
      <c r="AI19">
        <v>6.5</v>
      </c>
      <c r="AJ19" t="s">
        <v>25</v>
      </c>
      <c r="AK19" t="s">
        <v>25</v>
      </c>
      <c r="AL19">
        <v>5.5</v>
      </c>
      <c r="AM19" t="s">
        <v>25</v>
      </c>
      <c r="AN19" t="s">
        <v>25</v>
      </c>
      <c r="AO19">
        <v>6.5</v>
      </c>
      <c r="AP19">
        <v>7</v>
      </c>
      <c r="AQ19">
        <v>6.5</v>
      </c>
      <c r="AR19" t="s">
        <v>25</v>
      </c>
      <c r="AS19" t="s">
        <v>25</v>
      </c>
      <c r="AT19">
        <v>5</v>
      </c>
      <c r="AU19">
        <v>5.5</v>
      </c>
      <c r="AV19">
        <v>5.5</v>
      </c>
      <c r="AW19">
        <v>5</v>
      </c>
      <c r="AX19">
        <v>5.5</v>
      </c>
      <c r="AY19" t="s">
        <v>25</v>
      </c>
      <c r="AZ19">
        <v>5.5</v>
      </c>
      <c r="BA19">
        <v>6.5</v>
      </c>
      <c r="BB19">
        <v>6.5</v>
      </c>
      <c r="BC19">
        <v>4</v>
      </c>
      <c r="BD19">
        <v>5</v>
      </c>
      <c r="BE19">
        <v>5</v>
      </c>
      <c r="BF19">
        <v>5</v>
      </c>
      <c r="BG19">
        <v>5.5</v>
      </c>
      <c r="BH19" t="s">
        <v>25</v>
      </c>
      <c r="BI19">
        <v>5</v>
      </c>
      <c r="BJ19" t="s">
        <v>25</v>
      </c>
      <c r="BK19" t="s">
        <v>25</v>
      </c>
      <c r="BL19">
        <v>5.5</v>
      </c>
      <c r="BM19">
        <v>5.5</v>
      </c>
      <c r="BN19">
        <v>6.5</v>
      </c>
      <c r="BO19">
        <v>5.5</v>
      </c>
      <c r="BP19" t="s">
        <v>25</v>
      </c>
      <c r="BQ19">
        <v>5.5</v>
      </c>
      <c r="BR19">
        <v>5</v>
      </c>
      <c r="BS19" t="s">
        <v>25</v>
      </c>
      <c r="BT19" t="s">
        <v>25</v>
      </c>
      <c r="BU19" t="s">
        <v>25</v>
      </c>
      <c r="BV19" t="s">
        <v>25</v>
      </c>
      <c r="BW19">
        <v>5.5</v>
      </c>
      <c r="BX19" t="s">
        <v>25</v>
      </c>
      <c r="BY19" t="s">
        <v>25</v>
      </c>
      <c r="BZ19" t="s">
        <v>25</v>
      </c>
      <c r="CA19">
        <v>5.5</v>
      </c>
      <c r="CB19">
        <v>6.5</v>
      </c>
      <c r="CC19">
        <v>6</v>
      </c>
      <c r="CD19">
        <v>5.5</v>
      </c>
      <c r="CJ19">
        <v>6</v>
      </c>
      <c r="CK19">
        <v>6.5</v>
      </c>
      <c r="CN19">
        <v>5.5</v>
      </c>
      <c r="CO19">
        <v>5.5</v>
      </c>
      <c r="CR19">
        <v>5.5</v>
      </c>
      <c r="CT19">
        <v>6</v>
      </c>
      <c r="CU19">
        <v>5.5</v>
      </c>
      <c r="CW19">
        <v>6</v>
      </c>
      <c r="CY19">
        <v>6</v>
      </c>
      <c r="CZ19">
        <v>6.5</v>
      </c>
      <c r="DA19">
        <v>5.5</v>
      </c>
      <c r="DB19">
        <v>6</v>
      </c>
      <c r="DE19">
        <v>6.5</v>
      </c>
      <c r="DF19">
        <v>6</v>
      </c>
      <c r="DH19">
        <v>6</v>
      </c>
      <c r="DI19">
        <v>5.5</v>
      </c>
      <c r="DJ19">
        <v>5</v>
      </c>
      <c r="DL19">
        <f>COUNT(B19:DJ19)</f>
        <v>53</v>
      </c>
      <c r="DM19" s="18">
        <f>AVERAGE(B19:DJ19)</f>
        <v>5.7735849056603774</v>
      </c>
      <c r="DN19">
        <f t="shared" si="4"/>
        <v>0.80040525180633026</v>
      </c>
      <c r="DO19">
        <v>1</v>
      </c>
      <c r="DP19">
        <f t="shared" si="0"/>
        <v>2</v>
      </c>
      <c r="DQ19">
        <f t="shared" si="1"/>
        <v>0</v>
      </c>
    </row>
    <row r="20" spans="1:121" x14ac:dyDescent="0.35">
      <c r="A20" t="s">
        <v>43</v>
      </c>
      <c r="B20" t="s">
        <v>25</v>
      </c>
      <c r="C20" t="s">
        <v>25</v>
      </c>
      <c r="D20" t="s">
        <v>25</v>
      </c>
      <c r="E20" t="s">
        <v>25</v>
      </c>
      <c r="F20">
        <v>5</v>
      </c>
      <c r="G20">
        <v>3.5</v>
      </c>
      <c r="H20">
        <v>5.5</v>
      </c>
      <c r="I20" t="s">
        <v>25</v>
      </c>
      <c r="J20" t="s">
        <v>25</v>
      </c>
      <c r="K20" t="s">
        <v>25</v>
      </c>
      <c r="L20" t="s">
        <v>25</v>
      </c>
      <c r="M20" t="s">
        <v>25</v>
      </c>
      <c r="N20" t="s">
        <v>25</v>
      </c>
      <c r="O20" t="s">
        <v>25</v>
      </c>
      <c r="P20" t="s">
        <v>25</v>
      </c>
      <c r="Q20">
        <v>5.5</v>
      </c>
      <c r="R20" t="s">
        <v>25</v>
      </c>
      <c r="S20">
        <v>5.5</v>
      </c>
      <c r="T20">
        <v>5.5</v>
      </c>
      <c r="U20" t="s">
        <v>25</v>
      </c>
      <c r="V20" t="s">
        <v>25</v>
      </c>
      <c r="W20" t="s">
        <v>25</v>
      </c>
      <c r="X20" t="s">
        <v>25</v>
      </c>
      <c r="Y20" t="s">
        <v>25</v>
      </c>
      <c r="Z20" t="s">
        <v>25</v>
      </c>
      <c r="AA20" t="s">
        <v>25</v>
      </c>
      <c r="AB20" t="s">
        <v>25</v>
      </c>
      <c r="AC20" t="s">
        <v>25</v>
      </c>
      <c r="AD20" t="s">
        <v>25</v>
      </c>
      <c r="AE20" t="s">
        <v>25</v>
      </c>
      <c r="AF20" t="s">
        <v>25</v>
      </c>
      <c r="AG20">
        <v>8</v>
      </c>
      <c r="AH20" t="s">
        <v>25</v>
      </c>
      <c r="AI20">
        <v>4</v>
      </c>
      <c r="AJ20">
        <v>3.5</v>
      </c>
      <c r="AK20">
        <v>2.5</v>
      </c>
      <c r="AL20">
        <v>5.5</v>
      </c>
      <c r="AM20" t="s">
        <v>25</v>
      </c>
      <c r="AN20">
        <v>5.5</v>
      </c>
      <c r="AO20">
        <v>5.5</v>
      </c>
      <c r="AP20" t="s">
        <v>25</v>
      </c>
      <c r="AQ20" t="s">
        <v>25</v>
      </c>
      <c r="AR20" t="s">
        <v>25</v>
      </c>
      <c r="AS20" t="s">
        <v>25</v>
      </c>
      <c r="AT20" t="s">
        <v>25</v>
      </c>
      <c r="AU20" t="s">
        <v>25</v>
      </c>
      <c r="AV20" t="s">
        <v>25</v>
      </c>
      <c r="AW20">
        <v>5</v>
      </c>
      <c r="AX20">
        <v>5</v>
      </c>
      <c r="AY20">
        <v>5</v>
      </c>
      <c r="AZ20">
        <v>5</v>
      </c>
      <c r="BA20" t="s">
        <v>25</v>
      </c>
      <c r="BB20">
        <v>6.5</v>
      </c>
      <c r="BC20">
        <v>2</v>
      </c>
      <c r="BD20" t="s">
        <v>25</v>
      </c>
      <c r="BE20">
        <v>4</v>
      </c>
      <c r="BF20">
        <v>5.5</v>
      </c>
      <c r="BG20">
        <v>3.5</v>
      </c>
      <c r="BH20">
        <v>4</v>
      </c>
      <c r="BI20">
        <v>5.5</v>
      </c>
      <c r="BJ20">
        <v>5</v>
      </c>
      <c r="BK20">
        <v>5.5</v>
      </c>
      <c r="BL20">
        <v>5</v>
      </c>
      <c r="BM20" t="s">
        <v>25</v>
      </c>
      <c r="BN20" t="s">
        <v>25</v>
      </c>
      <c r="BO20">
        <v>4</v>
      </c>
      <c r="BP20">
        <v>5.5</v>
      </c>
      <c r="BQ20">
        <v>5</v>
      </c>
      <c r="BR20" t="s">
        <v>25</v>
      </c>
      <c r="BS20">
        <v>5</v>
      </c>
      <c r="BT20">
        <v>5</v>
      </c>
      <c r="BU20" t="s">
        <v>25</v>
      </c>
      <c r="BV20">
        <v>4</v>
      </c>
      <c r="BW20" t="s">
        <v>25</v>
      </c>
      <c r="BX20">
        <v>5.5</v>
      </c>
      <c r="BY20" t="s">
        <v>25</v>
      </c>
      <c r="BZ20" t="s">
        <v>25</v>
      </c>
      <c r="CA20" t="s">
        <v>25</v>
      </c>
      <c r="CB20">
        <v>5.5</v>
      </c>
      <c r="CC20">
        <v>5.5</v>
      </c>
      <c r="CD20">
        <v>4.5</v>
      </c>
      <c r="CE20">
        <v>5.5</v>
      </c>
      <c r="CG20">
        <v>6</v>
      </c>
      <c r="CH20">
        <v>6.5</v>
      </c>
      <c r="CI20">
        <v>5.5</v>
      </c>
      <c r="CJ20">
        <v>4.5</v>
      </c>
      <c r="CK20">
        <v>5.5</v>
      </c>
      <c r="CL20">
        <v>6</v>
      </c>
      <c r="CY20">
        <v>5.5</v>
      </c>
      <c r="CZ20">
        <v>6</v>
      </c>
      <c r="DA20">
        <v>5.5</v>
      </c>
      <c r="DB20">
        <v>5.5</v>
      </c>
      <c r="DC20">
        <v>5.5</v>
      </c>
      <c r="DE20">
        <v>5.5</v>
      </c>
      <c r="DF20">
        <v>6</v>
      </c>
      <c r="DH20">
        <v>5.5</v>
      </c>
      <c r="DI20">
        <v>5.5</v>
      </c>
      <c r="DL20">
        <f t="shared" si="2"/>
        <v>53</v>
      </c>
      <c r="DM20" s="18">
        <f t="shared" si="3"/>
        <v>5.1132075471698117</v>
      </c>
      <c r="DN20">
        <f t="shared" si="4"/>
        <v>0.98372090629426312</v>
      </c>
      <c r="DO20">
        <v>1</v>
      </c>
      <c r="DP20">
        <f t="shared" si="0"/>
        <v>2</v>
      </c>
      <c r="DQ20">
        <f t="shared" si="1"/>
        <v>0</v>
      </c>
    </row>
    <row r="21" spans="1:121" x14ac:dyDescent="0.35">
      <c r="A21" t="s">
        <v>45</v>
      </c>
      <c r="B21" t="s">
        <v>25</v>
      </c>
      <c r="C21" t="s">
        <v>25</v>
      </c>
      <c r="D21" t="s">
        <v>25</v>
      </c>
      <c r="E21" t="s">
        <v>25</v>
      </c>
      <c r="F21" t="s">
        <v>25</v>
      </c>
      <c r="G21" t="s">
        <v>25</v>
      </c>
      <c r="H21">
        <v>5.5</v>
      </c>
      <c r="I21">
        <v>5</v>
      </c>
      <c r="J21">
        <v>5</v>
      </c>
      <c r="K21">
        <v>3</v>
      </c>
      <c r="L21" t="s">
        <v>25</v>
      </c>
      <c r="M21">
        <v>3</v>
      </c>
      <c r="N21">
        <v>3.5</v>
      </c>
      <c r="O21">
        <v>8</v>
      </c>
      <c r="P21">
        <v>7</v>
      </c>
      <c r="Q21">
        <v>3.5</v>
      </c>
      <c r="R21" t="s">
        <v>25</v>
      </c>
      <c r="S21" t="s">
        <v>25</v>
      </c>
      <c r="T21" t="s">
        <v>25</v>
      </c>
      <c r="U21">
        <v>5</v>
      </c>
      <c r="V21" t="s">
        <v>25</v>
      </c>
      <c r="W21" t="s">
        <v>25</v>
      </c>
      <c r="X21" t="s">
        <v>25</v>
      </c>
      <c r="Y21" t="s">
        <v>25</v>
      </c>
      <c r="Z21" t="s">
        <v>25</v>
      </c>
      <c r="AA21" t="s">
        <v>25</v>
      </c>
      <c r="AB21" t="s">
        <v>25</v>
      </c>
      <c r="AC21" t="s">
        <v>25</v>
      </c>
      <c r="AD21" t="s">
        <v>25</v>
      </c>
      <c r="AE21" t="s">
        <v>25</v>
      </c>
      <c r="AF21" t="s">
        <v>25</v>
      </c>
      <c r="AG21" t="s">
        <v>25</v>
      </c>
      <c r="AH21">
        <v>5.5</v>
      </c>
      <c r="AI21">
        <v>6.5</v>
      </c>
      <c r="AJ21">
        <v>3.5</v>
      </c>
      <c r="AK21" t="s">
        <v>25</v>
      </c>
      <c r="AL21" t="s">
        <v>25</v>
      </c>
      <c r="AM21" t="s">
        <v>25</v>
      </c>
      <c r="AN21" t="s">
        <v>25</v>
      </c>
      <c r="AO21" t="s">
        <v>25</v>
      </c>
      <c r="AP21" t="s">
        <v>25</v>
      </c>
      <c r="AQ21" t="s">
        <v>25</v>
      </c>
      <c r="AR21" t="s">
        <v>25</v>
      </c>
      <c r="AS21" t="s">
        <v>25</v>
      </c>
      <c r="AT21" t="s">
        <v>25</v>
      </c>
      <c r="AU21" t="s">
        <v>25</v>
      </c>
      <c r="AV21" t="s">
        <v>25</v>
      </c>
      <c r="AW21" t="s">
        <v>25</v>
      </c>
      <c r="AX21" t="s">
        <v>25</v>
      </c>
      <c r="AY21" t="s">
        <v>25</v>
      </c>
      <c r="AZ21" t="s">
        <v>25</v>
      </c>
      <c r="BA21" t="s">
        <v>25</v>
      </c>
      <c r="BB21" t="s">
        <v>25</v>
      </c>
      <c r="BC21" t="s">
        <v>25</v>
      </c>
      <c r="BD21" t="s">
        <v>25</v>
      </c>
      <c r="BE21" t="s">
        <v>25</v>
      </c>
      <c r="BF21">
        <v>3.5</v>
      </c>
      <c r="BG21">
        <v>5</v>
      </c>
      <c r="BH21">
        <v>4</v>
      </c>
      <c r="BI21">
        <v>5.5</v>
      </c>
      <c r="BJ21">
        <v>3.5</v>
      </c>
      <c r="BK21">
        <v>4</v>
      </c>
      <c r="BL21">
        <v>5.5</v>
      </c>
      <c r="BM21" t="s">
        <v>25</v>
      </c>
      <c r="BN21" t="s">
        <v>25</v>
      </c>
      <c r="BO21">
        <v>5.5</v>
      </c>
      <c r="BP21" t="s">
        <v>25</v>
      </c>
      <c r="BQ21">
        <v>8.5</v>
      </c>
      <c r="BR21">
        <v>5</v>
      </c>
      <c r="BS21" t="s">
        <v>25</v>
      </c>
      <c r="BT21">
        <v>5.5</v>
      </c>
      <c r="BU21">
        <v>6.5</v>
      </c>
      <c r="BV21">
        <v>5</v>
      </c>
      <c r="BW21" t="s">
        <v>25</v>
      </c>
      <c r="BX21">
        <v>5.5</v>
      </c>
      <c r="BY21">
        <v>5.5</v>
      </c>
      <c r="BZ21" t="s">
        <v>25</v>
      </c>
      <c r="CA21">
        <v>5.5</v>
      </c>
      <c r="CB21">
        <v>5.5</v>
      </c>
      <c r="CC21">
        <v>4</v>
      </c>
      <c r="CD21">
        <v>6.5</v>
      </c>
      <c r="CE21">
        <v>6</v>
      </c>
      <c r="CF21">
        <v>6</v>
      </c>
      <c r="CH21">
        <v>5.5</v>
      </c>
      <c r="CI21">
        <v>6</v>
      </c>
      <c r="CJ21">
        <v>5.5</v>
      </c>
      <c r="CM21">
        <v>5.5</v>
      </c>
      <c r="CS21">
        <v>6</v>
      </c>
      <c r="CT21">
        <v>5.5</v>
      </c>
      <c r="CU21">
        <v>5.5</v>
      </c>
      <c r="CV21">
        <v>5</v>
      </c>
      <c r="CW21">
        <v>5.5</v>
      </c>
      <c r="CY21">
        <v>5.5</v>
      </c>
      <c r="CZ21">
        <v>5.5</v>
      </c>
      <c r="DL21">
        <f t="shared" si="2"/>
        <v>45</v>
      </c>
      <c r="DM21" s="18">
        <f t="shared" si="3"/>
        <v>5.2555555555555555</v>
      </c>
      <c r="DN21">
        <f t="shared" si="4"/>
        <v>1.1659088447830879</v>
      </c>
      <c r="DO21">
        <v>0</v>
      </c>
      <c r="DP21">
        <f t="shared" si="0"/>
        <v>0</v>
      </c>
      <c r="DQ21">
        <f t="shared" si="1"/>
        <v>0</v>
      </c>
    </row>
    <row r="22" spans="1:121" x14ac:dyDescent="0.35">
      <c r="A22" t="s">
        <v>54</v>
      </c>
      <c r="B22" t="s">
        <v>25</v>
      </c>
      <c r="C22" t="s">
        <v>25</v>
      </c>
      <c r="D22" t="s">
        <v>25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25</v>
      </c>
      <c r="L22" t="s">
        <v>25</v>
      </c>
      <c r="M22" t="s">
        <v>25</v>
      </c>
      <c r="N22" t="s">
        <v>25</v>
      </c>
      <c r="O22">
        <v>5.5</v>
      </c>
      <c r="P22" t="s">
        <v>25</v>
      </c>
      <c r="Q22">
        <v>3.5</v>
      </c>
      <c r="R22" t="s">
        <v>25</v>
      </c>
      <c r="S22" t="s">
        <v>25</v>
      </c>
      <c r="T22">
        <v>7</v>
      </c>
      <c r="U22">
        <v>7</v>
      </c>
      <c r="V22">
        <v>5.5</v>
      </c>
      <c r="W22">
        <v>5.5</v>
      </c>
      <c r="X22">
        <v>5.5</v>
      </c>
      <c r="Y22">
        <v>8</v>
      </c>
      <c r="Z22">
        <v>5.5</v>
      </c>
      <c r="AA22">
        <v>5.5</v>
      </c>
      <c r="AB22" t="s">
        <v>25</v>
      </c>
      <c r="AC22">
        <v>5.5</v>
      </c>
      <c r="AD22">
        <v>7</v>
      </c>
      <c r="AE22" t="s">
        <v>25</v>
      </c>
      <c r="AF22">
        <v>8.5</v>
      </c>
      <c r="AG22">
        <v>8.5</v>
      </c>
      <c r="AH22" t="s">
        <v>25</v>
      </c>
      <c r="AI22" t="s">
        <v>25</v>
      </c>
      <c r="AJ22" t="s">
        <v>25</v>
      </c>
      <c r="AK22" t="s">
        <v>25</v>
      </c>
      <c r="AL22" t="s">
        <v>25</v>
      </c>
      <c r="AM22" t="s">
        <v>25</v>
      </c>
      <c r="AN22" t="s">
        <v>25</v>
      </c>
      <c r="AO22" t="s">
        <v>25</v>
      </c>
      <c r="AP22" t="s">
        <v>25</v>
      </c>
      <c r="AQ22">
        <v>8.5</v>
      </c>
      <c r="AR22">
        <v>8</v>
      </c>
      <c r="AS22">
        <v>5.5</v>
      </c>
      <c r="AT22">
        <v>5.5</v>
      </c>
      <c r="AU22">
        <v>5.5</v>
      </c>
      <c r="AV22">
        <v>5.5</v>
      </c>
      <c r="AW22">
        <v>5.5</v>
      </c>
      <c r="AX22" t="s">
        <v>25</v>
      </c>
      <c r="AY22" t="s">
        <v>25</v>
      </c>
      <c r="AZ22">
        <v>6.5</v>
      </c>
      <c r="BA22" t="s">
        <v>25</v>
      </c>
      <c r="BB22" t="s">
        <v>25</v>
      </c>
      <c r="BC22">
        <v>5</v>
      </c>
      <c r="BD22" t="s">
        <v>25</v>
      </c>
      <c r="BE22">
        <v>6.5</v>
      </c>
      <c r="BF22">
        <v>6.5</v>
      </c>
      <c r="BG22" t="s">
        <v>25</v>
      </c>
      <c r="BH22">
        <v>6.5</v>
      </c>
      <c r="BI22" t="s">
        <v>25</v>
      </c>
      <c r="BJ22">
        <v>5.5</v>
      </c>
      <c r="BK22" t="s">
        <v>25</v>
      </c>
      <c r="BL22" t="s">
        <v>25</v>
      </c>
      <c r="BM22">
        <v>5.5</v>
      </c>
      <c r="BN22">
        <v>5</v>
      </c>
      <c r="BO22">
        <v>6.5</v>
      </c>
      <c r="BP22" t="s">
        <v>25</v>
      </c>
      <c r="BQ22">
        <v>5.5</v>
      </c>
      <c r="BR22">
        <v>7</v>
      </c>
      <c r="BS22">
        <v>6.5</v>
      </c>
      <c r="BT22">
        <v>6.5</v>
      </c>
      <c r="BU22">
        <v>5.5</v>
      </c>
      <c r="BV22" t="s">
        <v>25</v>
      </c>
      <c r="BW22" t="s">
        <v>25</v>
      </c>
      <c r="BX22">
        <v>5.5</v>
      </c>
      <c r="BY22" t="s">
        <v>25</v>
      </c>
      <c r="BZ22">
        <v>5.5</v>
      </c>
      <c r="CA22">
        <v>6.5</v>
      </c>
      <c r="CB22" t="s">
        <v>25</v>
      </c>
      <c r="CK22">
        <v>5.5</v>
      </c>
      <c r="DL22">
        <f t="shared" si="2"/>
        <v>39</v>
      </c>
      <c r="DM22" s="18">
        <f t="shared" si="3"/>
        <v>6.1410256410256414</v>
      </c>
      <c r="DN22">
        <f t="shared" si="4"/>
        <v>1.0879042984027267</v>
      </c>
      <c r="DO22">
        <v>0</v>
      </c>
      <c r="DP22">
        <f t="shared" si="0"/>
        <v>0</v>
      </c>
      <c r="DQ22">
        <f t="shared" si="1"/>
        <v>0</v>
      </c>
    </row>
    <row r="23" spans="1:121" x14ac:dyDescent="0.35">
      <c r="A23" t="s">
        <v>47</v>
      </c>
      <c r="B23" t="s">
        <v>25</v>
      </c>
      <c r="C23" t="s">
        <v>25</v>
      </c>
      <c r="D23" t="s">
        <v>25</v>
      </c>
      <c r="E23" t="s">
        <v>25</v>
      </c>
      <c r="F23" t="s">
        <v>25</v>
      </c>
      <c r="G23" t="s">
        <v>25</v>
      </c>
      <c r="H23" t="s">
        <v>25</v>
      </c>
      <c r="I23">
        <v>7</v>
      </c>
      <c r="J23" t="s">
        <v>25</v>
      </c>
      <c r="K23">
        <v>7</v>
      </c>
      <c r="L23">
        <v>8</v>
      </c>
      <c r="M23" t="s">
        <v>25</v>
      </c>
      <c r="N23" t="s">
        <v>25</v>
      </c>
      <c r="O23" t="s">
        <v>25</v>
      </c>
      <c r="P23" t="s">
        <v>25</v>
      </c>
      <c r="Q23" t="s">
        <v>25</v>
      </c>
      <c r="R23">
        <v>7</v>
      </c>
      <c r="S23" t="s">
        <v>25</v>
      </c>
      <c r="T23" t="s">
        <v>25</v>
      </c>
      <c r="U23">
        <v>7</v>
      </c>
      <c r="V23" t="s">
        <v>25</v>
      </c>
      <c r="W23" t="s">
        <v>25</v>
      </c>
      <c r="X23" t="s">
        <v>25</v>
      </c>
      <c r="Y23" t="s">
        <v>25</v>
      </c>
      <c r="Z23" t="s">
        <v>25</v>
      </c>
      <c r="AA23" t="s">
        <v>25</v>
      </c>
      <c r="AB23" t="s">
        <v>25</v>
      </c>
      <c r="AC23" t="s">
        <v>25</v>
      </c>
      <c r="AD23">
        <v>5.5</v>
      </c>
      <c r="AE23" t="s">
        <v>25</v>
      </c>
      <c r="AF23" t="s">
        <v>25</v>
      </c>
      <c r="AG23" t="s">
        <v>25</v>
      </c>
      <c r="AH23" t="s">
        <v>25</v>
      </c>
      <c r="AI23" t="s">
        <v>25</v>
      </c>
      <c r="AJ23" t="s">
        <v>25</v>
      </c>
      <c r="AK23" t="s">
        <v>25</v>
      </c>
      <c r="AL23" t="s">
        <v>25</v>
      </c>
      <c r="AM23" t="s">
        <v>25</v>
      </c>
      <c r="AN23" t="s">
        <v>25</v>
      </c>
      <c r="AO23" t="s">
        <v>25</v>
      </c>
      <c r="AP23" t="s">
        <v>25</v>
      </c>
      <c r="AQ23" t="s">
        <v>25</v>
      </c>
      <c r="AR23" t="s">
        <v>25</v>
      </c>
      <c r="AS23">
        <v>5.5</v>
      </c>
      <c r="AT23">
        <v>5.5</v>
      </c>
      <c r="AU23" t="s">
        <v>25</v>
      </c>
      <c r="AV23" t="s">
        <v>25</v>
      </c>
      <c r="AW23" t="s">
        <v>25</v>
      </c>
      <c r="AX23">
        <v>7</v>
      </c>
      <c r="AY23">
        <v>5</v>
      </c>
      <c r="AZ23" t="s">
        <v>25</v>
      </c>
      <c r="BA23" t="s">
        <v>25</v>
      </c>
      <c r="BB23">
        <v>5.5</v>
      </c>
      <c r="BC23" t="s">
        <v>25</v>
      </c>
      <c r="BD23">
        <v>6.5</v>
      </c>
      <c r="BE23" t="s">
        <v>25</v>
      </c>
      <c r="BF23" t="s">
        <v>25</v>
      </c>
      <c r="BG23" t="s">
        <v>25</v>
      </c>
      <c r="BH23" t="s">
        <v>25</v>
      </c>
      <c r="BI23">
        <v>5</v>
      </c>
      <c r="BJ23">
        <v>6.5</v>
      </c>
      <c r="BK23" t="s">
        <v>25</v>
      </c>
      <c r="BL23" t="s">
        <v>25</v>
      </c>
      <c r="BM23" t="s">
        <v>25</v>
      </c>
      <c r="BN23">
        <v>5.5</v>
      </c>
      <c r="BO23" t="s">
        <v>25</v>
      </c>
      <c r="BP23" t="s">
        <v>25</v>
      </c>
      <c r="BQ23" t="s">
        <v>25</v>
      </c>
      <c r="BR23" t="s">
        <v>25</v>
      </c>
      <c r="BS23" t="s">
        <v>25</v>
      </c>
      <c r="BT23">
        <v>5.5</v>
      </c>
      <c r="BU23">
        <v>8</v>
      </c>
      <c r="BV23">
        <v>5.5</v>
      </c>
      <c r="BW23" t="s">
        <v>25</v>
      </c>
      <c r="BX23" t="s">
        <v>25</v>
      </c>
      <c r="BY23" t="s">
        <v>25</v>
      </c>
      <c r="BZ23">
        <v>5.5</v>
      </c>
      <c r="CA23" t="s">
        <v>25</v>
      </c>
      <c r="CB23">
        <v>6.5</v>
      </c>
      <c r="CE23">
        <v>6</v>
      </c>
      <c r="CF23">
        <v>7</v>
      </c>
      <c r="CG23">
        <v>7</v>
      </c>
      <c r="CH23">
        <v>6</v>
      </c>
      <c r="CI23">
        <v>7.5</v>
      </c>
      <c r="CJ23">
        <v>7</v>
      </c>
      <c r="CK23">
        <v>6</v>
      </c>
      <c r="CL23">
        <v>7.5</v>
      </c>
      <c r="CM23">
        <v>7.5</v>
      </c>
      <c r="CN23">
        <v>6</v>
      </c>
      <c r="CT23">
        <v>6.5</v>
      </c>
      <c r="CV23">
        <v>3.5</v>
      </c>
      <c r="CW23">
        <v>6.5</v>
      </c>
      <c r="DB23">
        <v>5.5</v>
      </c>
      <c r="DG23">
        <v>6</v>
      </c>
      <c r="DH23">
        <v>6</v>
      </c>
      <c r="DL23">
        <f t="shared" si="2"/>
        <v>36</v>
      </c>
      <c r="DM23" s="18">
        <f t="shared" si="3"/>
        <v>6.2777777777777777</v>
      </c>
      <c r="DN23">
        <f t="shared" si="4"/>
        <v>0.9520237425343997</v>
      </c>
      <c r="DO23">
        <v>0</v>
      </c>
      <c r="DP23">
        <f t="shared" si="0"/>
        <v>2</v>
      </c>
      <c r="DQ23">
        <f t="shared" si="1"/>
        <v>2</v>
      </c>
    </row>
    <row r="24" spans="1:121" x14ac:dyDescent="0.35">
      <c r="A24" t="s">
        <v>65</v>
      </c>
      <c r="B24" t="s">
        <v>25</v>
      </c>
      <c r="C24" t="s">
        <v>25</v>
      </c>
      <c r="D24" t="s">
        <v>25</v>
      </c>
      <c r="E24" t="s">
        <v>25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25</v>
      </c>
      <c r="L24" t="s">
        <v>25</v>
      </c>
      <c r="M24" t="s">
        <v>25</v>
      </c>
      <c r="N24" t="s">
        <v>25</v>
      </c>
      <c r="O24" t="s">
        <v>25</v>
      </c>
      <c r="P24" t="s">
        <v>25</v>
      </c>
      <c r="Q24" t="s">
        <v>25</v>
      </c>
      <c r="R24" t="s">
        <v>25</v>
      </c>
      <c r="S24" t="s">
        <v>25</v>
      </c>
      <c r="T24" t="s">
        <v>25</v>
      </c>
      <c r="U24" t="s">
        <v>25</v>
      </c>
      <c r="V24">
        <v>5.5</v>
      </c>
      <c r="W24">
        <v>5.5</v>
      </c>
      <c r="X24" t="s">
        <v>25</v>
      </c>
      <c r="Y24">
        <v>5.5</v>
      </c>
      <c r="Z24" t="s">
        <v>25</v>
      </c>
      <c r="AA24" t="s">
        <v>25</v>
      </c>
      <c r="AB24">
        <v>7</v>
      </c>
      <c r="AC24">
        <v>5.5</v>
      </c>
      <c r="AD24" t="s">
        <v>25</v>
      </c>
      <c r="AE24">
        <v>7</v>
      </c>
      <c r="AF24">
        <v>5.5</v>
      </c>
      <c r="AG24" t="s">
        <v>25</v>
      </c>
      <c r="AH24" t="s">
        <v>25</v>
      </c>
      <c r="AI24" t="s">
        <v>25</v>
      </c>
      <c r="AJ24" t="s">
        <v>25</v>
      </c>
      <c r="AK24" t="s">
        <v>25</v>
      </c>
      <c r="AL24" t="s">
        <v>25</v>
      </c>
      <c r="AM24">
        <v>5</v>
      </c>
      <c r="AN24" t="s">
        <v>25</v>
      </c>
      <c r="AO24" t="s">
        <v>25</v>
      </c>
      <c r="AP24">
        <v>5.5</v>
      </c>
      <c r="AQ24">
        <v>5</v>
      </c>
      <c r="AR24">
        <v>5.5</v>
      </c>
      <c r="AS24">
        <v>5</v>
      </c>
      <c r="AT24">
        <v>5</v>
      </c>
      <c r="AU24">
        <v>4</v>
      </c>
      <c r="AV24">
        <v>5.5</v>
      </c>
      <c r="AW24">
        <v>5</v>
      </c>
      <c r="AX24">
        <v>5.5</v>
      </c>
      <c r="AY24">
        <v>5.5</v>
      </c>
      <c r="AZ24">
        <v>5.5</v>
      </c>
      <c r="BA24">
        <v>5</v>
      </c>
      <c r="BB24">
        <v>5</v>
      </c>
      <c r="BC24" t="s">
        <v>25</v>
      </c>
      <c r="BD24" t="s">
        <v>25</v>
      </c>
      <c r="BE24" t="s">
        <v>25</v>
      </c>
      <c r="BF24" t="s">
        <v>25</v>
      </c>
      <c r="BG24" t="s">
        <v>25</v>
      </c>
      <c r="BH24" t="s">
        <v>25</v>
      </c>
      <c r="BI24" t="s">
        <v>25</v>
      </c>
      <c r="BJ24" t="s">
        <v>25</v>
      </c>
      <c r="BK24" t="s">
        <v>25</v>
      </c>
      <c r="BL24" t="s">
        <v>25</v>
      </c>
      <c r="BM24" t="s">
        <v>25</v>
      </c>
      <c r="BN24" t="s">
        <v>25</v>
      </c>
      <c r="BO24" t="s">
        <v>25</v>
      </c>
      <c r="BP24" t="s">
        <v>25</v>
      </c>
      <c r="BQ24" t="s">
        <v>25</v>
      </c>
      <c r="BR24" t="s">
        <v>25</v>
      </c>
      <c r="BS24" t="s">
        <v>25</v>
      </c>
      <c r="BT24">
        <v>6.5</v>
      </c>
      <c r="BU24" t="s">
        <v>25</v>
      </c>
      <c r="BV24" t="s">
        <v>25</v>
      </c>
      <c r="BW24" t="s">
        <v>25</v>
      </c>
      <c r="BX24" t="s">
        <v>25</v>
      </c>
      <c r="BY24" t="s">
        <v>25</v>
      </c>
      <c r="BZ24">
        <v>4</v>
      </c>
      <c r="CA24" t="s">
        <v>25</v>
      </c>
      <c r="CB24" t="s">
        <v>25</v>
      </c>
      <c r="CD24">
        <v>6</v>
      </c>
      <c r="CI24">
        <v>5</v>
      </c>
      <c r="CN24">
        <v>6</v>
      </c>
      <c r="CR24">
        <v>6</v>
      </c>
      <c r="CU24">
        <v>6</v>
      </c>
      <c r="CV24">
        <v>6</v>
      </c>
      <c r="DC24">
        <v>5</v>
      </c>
      <c r="DD24">
        <v>6</v>
      </c>
      <c r="DL24">
        <f t="shared" si="2"/>
        <v>31</v>
      </c>
      <c r="DM24" s="18">
        <f t="shared" si="3"/>
        <v>5.4838709677419351</v>
      </c>
      <c r="DN24">
        <f t="shared" si="4"/>
        <v>0.67680463660426593</v>
      </c>
      <c r="DO24">
        <v>0</v>
      </c>
      <c r="DP24">
        <f t="shared" si="0"/>
        <v>0</v>
      </c>
      <c r="DQ24">
        <f t="shared" si="1"/>
        <v>0</v>
      </c>
    </row>
    <row r="25" spans="1:121" x14ac:dyDescent="0.35">
      <c r="A25" t="s">
        <v>21</v>
      </c>
      <c r="B25" t="s">
        <v>25</v>
      </c>
      <c r="C25" t="s">
        <v>25</v>
      </c>
      <c r="D25">
        <v>7</v>
      </c>
      <c r="E25">
        <v>7</v>
      </c>
      <c r="F25">
        <v>5</v>
      </c>
      <c r="G25" t="s">
        <v>25</v>
      </c>
      <c r="H25" t="s">
        <v>25</v>
      </c>
      <c r="I25" t="s">
        <v>25</v>
      </c>
      <c r="J25" t="s">
        <v>25</v>
      </c>
      <c r="K25">
        <v>7</v>
      </c>
      <c r="L25">
        <v>7</v>
      </c>
      <c r="M25" t="s">
        <v>25</v>
      </c>
      <c r="N25">
        <v>8</v>
      </c>
      <c r="O25" t="s">
        <v>25</v>
      </c>
      <c r="P25" t="s">
        <v>25</v>
      </c>
      <c r="Q25" t="s">
        <v>25</v>
      </c>
      <c r="R25" t="s">
        <v>25</v>
      </c>
      <c r="S25">
        <v>7</v>
      </c>
      <c r="T25" t="s">
        <v>25</v>
      </c>
      <c r="U25" t="s">
        <v>25</v>
      </c>
      <c r="V25" t="s">
        <v>25</v>
      </c>
      <c r="W25" t="s">
        <v>25</v>
      </c>
      <c r="X25" t="s">
        <v>25</v>
      </c>
      <c r="Y25" t="s">
        <v>25</v>
      </c>
      <c r="Z25" t="s">
        <v>25</v>
      </c>
      <c r="AA25" t="s">
        <v>25</v>
      </c>
      <c r="AB25" t="s">
        <v>25</v>
      </c>
      <c r="AC25" t="s">
        <v>25</v>
      </c>
      <c r="AD25" t="s">
        <v>25</v>
      </c>
      <c r="AE25" t="s">
        <v>25</v>
      </c>
      <c r="AF25" t="s">
        <v>25</v>
      </c>
      <c r="AG25" t="s">
        <v>25</v>
      </c>
      <c r="AH25" t="s">
        <v>25</v>
      </c>
      <c r="AI25" t="s">
        <v>25</v>
      </c>
      <c r="AJ25" t="s">
        <v>25</v>
      </c>
      <c r="AK25" t="s">
        <v>25</v>
      </c>
      <c r="AL25" t="s">
        <v>25</v>
      </c>
      <c r="AM25" t="s">
        <v>25</v>
      </c>
      <c r="AN25" t="s">
        <v>25</v>
      </c>
      <c r="AO25" t="s">
        <v>25</v>
      </c>
      <c r="AP25" t="s">
        <v>25</v>
      </c>
      <c r="AQ25" t="s">
        <v>25</v>
      </c>
      <c r="AR25">
        <v>6.5</v>
      </c>
      <c r="AS25" t="s">
        <v>25</v>
      </c>
      <c r="AT25" t="s">
        <v>25</v>
      </c>
      <c r="AU25">
        <v>6.5</v>
      </c>
      <c r="AV25" t="s">
        <v>25</v>
      </c>
      <c r="AW25">
        <v>5</v>
      </c>
      <c r="AX25" t="s">
        <v>25</v>
      </c>
      <c r="AY25" t="s">
        <v>25</v>
      </c>
      <c r="AZ25" t="s">
        <v>25</v>
      </c>
      <c r="BA25" t="s">
        <v>25</v>
      </c>
      <c r="BB25">
        <v>6.5</v>
      </c>
      <c r="BC25" t="s">
        <v>25</v>
      </c>
      <c r="BD25" t="s">
        <v>25</v>
      </c>
      <c r="BE25" t="s">
        <v>25</v>
      </c>
      <c r="BF25" t="s">
        <v>25</v>
      </c>
      <c r="BG25" t="s">
        <v>25</v>
      </c>
      <c r="BH25" t="s">
        <v>25</v>
      </c>
      <c r="BI25" t="s">
        <v>25</v>
      </c>
      <c r="BJ25" t="s">
        <v>25</v>
      </c>
      <c r="BK25">
        <v>7</v>
      </c>
      <c r="BL25" t="s">
        <v>25</v>
      </c>
      <c r="BM25" t="s">
        <v>25</v>
      </c>
      <c r="BN25" t="s">
        <v>25</v>
      </c>
      <c r="BO25">
        <v>6.5</v>
      </c>
      <c r="BP25" t="s">
        <v>25</v>
      </c>
      <c r="BQ25" t="s">
        <v>25</v>
      </c>
      <c r="BR25" t="s">
        <v>25</v>
      </c>
      <c r="BS25" t="s">
        <v>25</v>
      </c>
      <c r="BT25">
        <v>6.5</v>
      </c>
      <c r="BU25">
        <v>7</v>
      </c>
      <c r="BV25" t="s">
        <v>25</v>
      </c>
      <c r="BW25" t="s">
        <v>25</v>
      </c>
      <c r="BX25">
        <v>7</v>
      </c>
      <c r="BY25" t="s">
        <v>25</v>
      </c>
      <c r="BZ25" t="s">
        <v>25</v>
      </c>
      <c r="CA25" t="s">
        <v>25</v>
      </c>
      <c r="CB25" t="s">
        <v>25</v>
      </c>
      <c r="CL25">
        <v>6.5</v>
      </c>
      <c r="CM25">
        <v>7.5</v>
      </c>
      <c r="CN25">
        <v>6</v>
      </c>
      <c r="CO25">
        <v>6.5</v>
      </c>
      <c r="CQ25">
        <v>6.5</v>
      </c>
      <c r="CV25">
        <v>6.5</v>
      </c>
      <c r="CW25">
        <v>6</v>
      </c>
      <c r="CY25">
        <v>6</v>
      </c>
      <c r="CZ25">
        <v>6</v>
      </c>
      <c r="DB25">
        <v>6</v>
      </c>
      <c r="DF25">
        <v>6.5</v>
      </c>
      <c r="DG25">
        <v>6</v>
      </c>
      <c r="DH25">
        <v>6</v>
      </c>
      <c r="DI25">
        <v>6</v>
      </c>
      <c r="DJ25">
        <v>6</v>
      </c>
      <c r="DL25">
        <f>COUNT(B25:DJ25)</f>
        <v>31</v>
      </c>
      <c r="DM25" s="18">
        <f>AVERAGE(B25:DJ25)</f>
        <v>6.467741935483871</v>
      </c>
      <c r="DN25">
        <f t="shared" si="4"/>
        <v>0.63630578928001602</v>
      </c>
      <c r="DO25">
        <v>1</v>
      </c>
      <c r="DP25">
        <f t="shared" si="0"/>
        <v>3</v>
      </c>
      <c r="DQ25">
        <f t="shared" si="1"/>
        <v>0</v>
      </c>
    </row>
    <row r="26" spans="1:121" x14ac:dyDescent="0.35">
      <c r="A26" t="s">
        <v>80</v>
      </c>
      <c r="B26" t="s">
        <v>25</v>
      </c>
      <c r="C26" t="s">
        <v>25</v>
      </c>
      <c r="D26" t="s">
        <v>25</v>
      </c>
      <c r="E26" t="s">
        <v>25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25</v>
      </c>
      <c r="L26" t="s">
        <v>25</v>
      </c>
      <c r="M26" t="s">
        <v>25</v>
      </c>
      <c r="N26" t="s">
        <v>25</v>
      </c>
      <c r="O26" t="s">
        <v>25</v>
      </c>
      <c r="P26" t="s">
        <v>25</v>
      </c>
      <c r="Q26" t="s">
        <v>25</v>
      </c>
      <c r="R26" t="s">
        <v>25</v>
      </c>
      <c r="S26" t="s">
        <v>25</v>
      </c>
      <c r="T26" t="s">
        <v>25</v>
      </c>
      <c r="U26" t="s">
        <v>25</v>
      </c>
      <c r="V26" t="s">
        <v>25</v>
      </c>
      <c r="W26" t="s">
        <v>25</v>
      </c>
      <c r="X26" t="s">
        <v>25</v>
      </c>
      <c r="Y26" t="s">
        <v>25</v>
      </c>
      <c r="Z26">
        <v>7</v>
      </c>
      <c r="AA26" t="s">
        <v>25</v>
      </c>
      <c r="AB26" t="s">
        <v>25</v>
      </c>
      <c r="AC26" t="s">
        <v>25</v>
      </c>
      <c r="AD26">
        <v>8</v>
      </c>
      <c r="AE26" t="s">
        <v>25</v>
      </c>
      <c r="AF26" t="s">
        <v>25</v>
      </c>
      <c r="AG26" t="s">
        <v>25</v>
      </c>
      <c r="AH26" t="s">
        <v>25</v>
      </c>
      <c r="AI26" t="s">
        <v>25</v>
      </c>
      <c r="AJ26" t="s">
        <v>25</v>
      </c>
      <c r="AK26" t="s">
        <v>25</v>
      </c>
      <c r="AL26" t="s">
        <v>25</v>
      </c>
      <c r="AM26" t="s">
        <v>25</v>
      </c>
      <c r="AN26" t="s">
        <v>25</v>
      </c>
      <c r="AO26" t="s">
        <v>25</v>
      </c>
      <c r="AP26" t="s">
        <v>25</v>
      </c>
      <c r="AQ26" t="s">
        <v>25</v>
      </c>
      <c r="AR26" t="s">
        <v>25</v>
      </c>
      <c r="AS26">
        <v>5.5</v>
      </c>
      <c r="AT26" t="s">
        <v>25</v>
      </c>
      <c r="AU26" t="s">
        <v>25</v>
      </c>
      <c r="AV26" t="s">
        <v>25</v>
      </c>
      <c r="AW26" t="s">
        <v>25</v>
      </c>
      <c r="AX26" t="s">
        <v>25</v>
      </c>
      <c r="AY26" t="s">
        <v>25</v>
      </c>
      <c r="AZ26" t="s">
        <v>25</v>
      </c>
      <c r="BA26" t="s">
        <v>25</v>
      </c>
      <c r="BB26" t="s">
        <v>25</v>
      </c>
      <c r="BC26" t="s">
        <v>25</v>
      </c>
      <c r="BD26" t="s">
        <v>25</v>
      </c>
      <c r="BE26" t="s">
        <v>25</v>
      </c>
      <c r="BF26" t="s">
        <v>25</v>
      </c>
      <c r="BG26" t="s">
        <v>25</v>
      </c>
      <c r="BH26" t="s">
        <v>25</v>
      </c>
      <c r="BI26" t="s">
        <v>25</v>
      </c>
      <c r="BJ26" t="s">
        <v>25</v>
      </c>
      <c r="BK26" t="s">
        <v>25</v>
      </c>
      <c r="BL26" t="s">
        <v>25</v>
      </c>
      <c r="BM26" t="s">
        <v>25</v>
      </c>
      <c r="BN26" t="s">
        <v>25</v>
      </c>
      <c r="BO26" t="s">
        <v>25</v>
      </c>
      <c r="BP26" t="s">
        <v>25</v>
      </c>
      <c r="BQ26" t="s">
        <v>25</v>
      </c>
      <c r="BR26" t="s">
        <v>25</v>
      </c>
      <c r="BS26" t="s">
        <v>25</v>
      </c>
      <c r="BT26" t="s">
        <v>25</v>
      </c>
      <c r="BU26" t="s">
        <v>25</v>
      </c>
      <c r="BV26" t="s">
        <v>25</v>
      </c>
      <c r="BW26" t="s">
        <v>25</v>
      </c>
      <c r="BX26" t="s">
        <v>25</v>
      </c>
      <c r="BY26" t="s">
        <v>25</v>
      </c>
      <c r="BZ26">
        <v>6.5</v>
      </c>
      <c r="CA26" t="s">
        <v>25</v>
      </c>
      <c r="CB26" t="s">
        <v>25</v>
      </c>
      <c r="CE26">
        <v>6.5</v>
      </c>
      <c r="CG26">
        <v>6.5</v>
      </c>
      <c r="CH26">
        <v>6</v>
      </c>
      <c r="CI26">
        <v>6</v>
      </c>
      <c r="CJ26">
        <v>6</v>
      </c>
      <c r="CK26">
        <v>6.5</v>
      </c>
      <c r="CL26">
        <v>6.5</v>
      </c>
      <c r="CM26">
        <v>6</v>
      </c>
      <c r="CN26">
        <v>6.5</v>
      </c>
      <c r="CO26">
        <v>6</v>
      </c>
      <c r="CP26">
        <v>6</v>
      </c>
      <c r="CQ26">
        <v>6</v>
      </c>
      <c r="CR26">
        <v>6.5</v>
      </c>
      <c r="CS26">
        <v>5.5</v>
      </c>
      <c r="CT26">
        <v>5</v>
      </c>
      <c r="DF26">
        <v>5</v>
      </c>
      <c r="DH26">
        <v>6</v>
      </c>
      <c r="DI26">
        <v>5.5</v>
      </c>
      <c r="DJ26">
        <v>5.5</v>
      </c>
      <c r="DL26">
        <f>COUNT(B26:DJ26)</f>
        <v>23</v>
      </c>
      <c r="DM26" s="18">
        <f>AVERAGE(B26:DJ26)</f>
        <v>6.1086956521739131</v>
      </c>
      <c r="DN26">
        <f t="shared" si="4"/>
        <v>0.65795169495977013</v>
      </c>
      <c r="DO26">
        <v>0</v>
      </c>
      <c r="DP26">
        <f t="shared" si="0"/>
        <v>2</v>
      </c>
      <c r="DQ26">
        <f t="shared" si="1"/>
        <v>2</v>
      </c>
    </row>
    <row r="27" spans="1:121" x14ac:dyDescent="0.35">
      <c r="A27" t="s">
        <v>3</v>
      </c>
      <c r="B27">
        <v>8</v>
      </c>
      <c r="C27">
        <v>5.5</v>
      </c>
      <c r="D27">
        <v>8</v>
      </c>
      <c r="E27">
        <v>3</v>
      </c>
      <c r="F27">
        <v>5.5</v>
      </c>
      <c r="G27">
        <v>5</v>
      </c>
      <c r="H27">
        <v>3.5</v>
      </c>
      <c r="I27">
        <v>5</v>
      </c>
      <c r="J27">
        <v>5</v>
      </c>
      <c r="K27" t="s">
        <v>25</v>
      </c>
      <c r="L27" t="s">
        <v>25</v>
      </c>
      <c r="M27" t="s">
        <v>25</v>
      </c>
      <c r="N27" t="s">
        <v>25</v>
      </c>
      <c r="O27">
        <v>7</v>
      </c>
      <c r="P27">
        <v>5.5</v>
      </c>
      <c r="Q27">
        <v>5.5</v>
      </c>
      <c r="R27">
        <v>7</v>
      </c>
      <c r="S27" t="s">
        <v>25</v>
      </c>
      <c r="T27" t="s">
        <v>25</v>
      </c>
      <c r="U27" t="s">
        <v>25</v>
      </c>
      <c r="V27" t="s">
        <v>25</v>
      </c>
      <c r="W27" t="s">
        <v>25</v>
      </c>
      <c r="X27" t="s">
        <v>25</v>
      </c>
      <c r="Y27">
        <v>5.5</v>
      </c>
      <c r="Z27" t="s">
        <v>25</v>
      </c>
      <c r="AA27" t="s">
        <v>25</v>
      </c>
      <c r="AB27" t="s">
        <v>25</v>
      </c>
      <c r="AC27" t="s">
        <v>25</v>
      </c>
      <c r="AD27" t="s">
        <v>25</v>
      </c>
      <c r="AE27">
        <v>8</v>
      </c>
      <c r="AF27" t="s">
        <v>25</v>
      </c>
      <c r="AG27" t="s">
        <v>25</v>
      </c>
      <c r="AH27" t="s">
        <v>25</v>
      </c>
      <c r="AI27">
        <v>5.5</v>
      </c>
      <c r="AJ27" t="s">
        <v>25</v>
      </c>
      <c r="AK27" t="s">
        <v>25</v>
      </c>
      <c r="AL27">
        <v>6.5</v>
      </c>
      <c r="AM27" t="s">
        <v>25</v>
      </c>
      <c r="AN27" t="s">
        <v>25</v>
      </c>
      <c r="AO27" t="s">
        <v>25</v>
      </c>
      <c r="AP27" t="s">
        <v>25</v>
      </c>
      <c r="AQ27" t="s">
        <v>25</v>
      </c>
      <c r="AR27" t="s">
        <v>25</v>
      </c>
      <c r="AS27" t="s">
        <v>25</v>
      </c>
      <c r="AT27" t="s">
        <v>25</v>
      </c>
      <c r="AU27">
        <v>5.5</v>
      </c>
      <c r="AV27" t="s">
        <v>25</v>
      </c>
      <c r="AW27" t="s">
        <v>25</v>
      </c>
      <c r="AX27" t="s">
        <v>25</v>
      </c>
      <c r="AY27" t="s">
        <v>25</v>
      </c>
      <c r="AZ27" t="s">
        <v>25</v>
      </c>
      <c r="BA27">
        <v>5.5</v>
      </c>
      <c r="BB27" t="s">
        <v>25</v>
      </c>
      <c r="BC27" t="s">
        <v>25</v>
      </c>
      <c r="BD27" t="s">
        <v>25</v>
      </c>
      <c r="BE27" t="s">
        <v>25</v>
      </c>
      <c r="BF27" t="s">
        <v>25</v>
      </c>
      <c r="BG27" t="s">
        <v>25</v>
      </c>
      <c r="BH27" t="s">
        <v>25</v>
      </c>
      <c r="BI27" t="s">
        <v>25</v>
      </c>
      <c r="BJ27" t="s">
        <v>25</v>
      </c>
      <c r="BK27" t="s">
        <v>25</v>
      </c>
      <c r="BL27" t="s">
        <v>25</v>
      </c>
      <c r="BM27" t="s">
        <v>25</v>
      </c>
      <c r="BN27" t="s">
        <v>25</v>
      </c>
      <c r="BO27" t="s">
        <v>25</v>
      </c>
      <c r="BP27" t="s">
        <v>25</v>
      </c>
      <c r="BQ27" t="s">
        <v>25</v>
      </c>
      <c r="BR27" t="s">
        <v>25</v>
      </c>
      <c r="BS27" t="s">
        <v>25</v>
      </c>
      <c r="BT27" t="s">
        <v>25</v>
      </c>
      <c r="BU27" t="s">
        <v>25</v>
      </c>
      <c r="BV27" t="s">
        <v>25</v>
      </c>
      <c r="BW27" t="s">
        <v>25</v>
      </c>
      <c r="BX27" t="s">
        <v>25</v>
      </c>
      <c r="BY27" t="s">
        <v>25</v>
      </c>
      <c r="BZ27" t="s">
        <v>25</v>
      </c>
      <c r="CA27" t="s">
        <v>25</v>
      </c>
      <c r="CB27" t="s">
        <v>25</v>
      </c>
      <c r="DL27">
        <f t="shared" si="2"/>
        <v>19</v>
      </c>
      <c r="DM27" s="18">
        <f t="shared" si="3"/>
        <v>5.7894736842105265</v>
      </c>
      <c r="DN27">
        <f t="shared" si="4"/>
        <v>1.3674366679797902</v>
      </c>
      <c r="DO27">
        <v>0</v>
      </c>
      <c r="DP27">
        <f t="shared" si="0"/>
        <v>0</v>
      </c>
      <c r="DQ27">
        <f t="shared" si="1"/>
        <v>0</v>
      </c>
    </row>
    <row r="28" spans="1:121" x14ac:dyDescent="0.35">
      <c r="A28" t="s">
        <v>62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25</v>
      </c>
      <c r="L28" t="s">
        <v>25</v>
      </c>
      <c r="M28" t="s">
        <v>25</v>
      </c>
      <c r="N28" t="s">
        <v>25</v>
      </c>
      <c r="O28" t="s">
        <v>25</v>
      </c>
      <c r="P28" t="s">
        <v>25</v>
      </c>
      <c r="Q28" t="s">
        <v>25</v>
      </c>
      <c r="R28" t="s">
        <v>25</v>
      </c>
      <c r="S28">
        <v>3.5</v>
      </c>
      <c r="T28" t="s">
        <v>25</v>
      </c>
      <c r="U28">
        <v>3.5</v>
      </c>
      <c r="V28" t="s">
        <v>25</v>
      </c>
      <c r="W28">
        <v>5</v>
      </c>
      <c r="X28" t="s">
        <v>25</v>
      </c>
      <c r="Y28" t="s">
        <v>25</v>
      </c>
      <c r="Z28" t="s">
        <v>25</v>
      </c>
      <c r="AA28" t="s">
        <v>25</v>
      </c>
      <c r="AB28" t="s">
        <v>25</v>
      </c>
      <c r="AC28" t="s">
        <v>25</v>
      </c>
      <c r="AD28" t="s">
        <v>25</v>
      </c>
      <c r="AE28" t="s">
        <v>25</v>
      </c>
      <c r="AF28" t="s">
        <v>25</v>
      </c>
      <c r="AG28" t="s">
        <v>25</v>
      </c>
      <c r="AH28" t="s">
        <v>25</v>
      </c>
      <c r="AI28" t="s">
        <v>25</v>
      </c>
      <c r="AJ28" t="s">
        <v>25</v>
      </c>
      <c r="AK28">
        <v>3.5</v>
      </c>
      <c r="AL28" t="s">
        <v>25</v>
      </c>
      <c r="AM28" t="s">
        <v>25</v>
      </c>
      <c r="AN28" t="s">
        <v>25</v>
      </c>
      <c r="AO28" t="s">
        <v>25</v>
      </c>
      <c r="AP28" t="s">
        <v>25</v>
      </c>
      <c r="AQ28" t="s">
        <v>25</v>
      </c>
      <c r="AR28" t="s">
        <v>25</v>
      </c>
      <c r="AS28" t="s">
        <v>25</v>
      </c>
      <c r="AT28" t="s">
        <v>25</v>
      </c>
      <c r="AU28" t="s">
        <v>25</v>
      </c>
      <c r="AV28" t="s">
        <v>25</v>
      </c>
      <c r="AW28" t="s">
        <v>25</v>
      </c>
      <c r="AX28" t="s">
        <v>25</v>
      </c>
      <c r="AY28">
        <v>5</v>
      </c>
      <c r="AZ28" t="s">
        <v>25</v>
      </c>
      <c r="BA28" t="s">
        <v>25</v>
      </c>
      <c r="BB28" t="s">
        <v>25</v>
      </c>
      <c r="BC28" t="s">
        <v>25</v>
      </c>
      <c r="BD28" t="s">
        <v>25</v>
      </c>
      <c r="BE28" t="s">
        <v>25</v>
      </c>
      <c r="BF28" t="s">
        <v>25</v>
      </c>
      <c r="BG28" t="s">
        <v>25</v>
      </c>
      <c r="BH28" t="s">
        <v>25</v>
      </c>
      <c r="BI28">
        <v>5</v>
      </c>
      <c r="BJ28">
        <v>6.5</v>
      </c>
      <c r="BK28" t="s">
        <v>25</v>
      </c>
      <c r="BL28">
        <v>5</v>
      </c>
      <c r="BM28" t="s">
        <v>25</v>
      </c>
      <c r="BN28">
        <v>5</v>
      </c>
      <c r="BO28" t="s">
        <v>25</v>
      </c>
      <c r="BP28">
        <v>5</v>
      </c>
      <c r="BQ28" t="s">
        <v>25</v>
      </c>
      <c r="BR28" t="s">
        <v>25</v>
      </c>
      <c r="BS28" t="s">
        <v>25</v>
      </c>
      <c r="BT28" t="s">
        <v>25</v>
      </c>
      <c r="BU28" t="s">
        <v>25</v>
      </c>
      <c r="BV28">
        <v>5.5</v>
      </c>
      <c r="BW28" t="s">
        <v>25</v>
      </c>
      <c r="BX28" t="s">
        <v>25</v>
      </c>
      <c r="BY28">
        <v>5.5</v>
      </c>
      <c r="BZ28" t="s">
        <v>25</v>
      </c>
      <c r="CA28" t="s">
        <v>25</v>
      </c>
      <c r="CB28" t="s">
        <v>25</v>
      </c>
      <c r="CF28">
        <v>5.5</v>
      </c>
      <c r="CI28">
        <v>4</v>
      </c>
      <c r="CL28">
        <v>5.5</v>
      </c>
      <c r="CP28">
        <v>6</v>
      </c>
      <c r="CU28">
        <v>5.5</v>
      </c>
      <c r="CW28">
        <v>5.5</v>
      </c>
      <c r="DG28">
        <v>5.5</v>
      </c>
      <c r="DL28">
        <f t="shared" si="2"/>
        <v>19</v>
      </c>
      <c r="DM28" s="18">
        <f t="shared" si="3"/>
        <v>5.0263157894736841</v>
      </c>
      <c r="DN28">
        <f t="shared" si="4"/>
        <v>0.84119102419206049</v>
      </c>
      <c r="DO28">
        <v>0</v>
      </c>
      <c r="DP28">
        <f t="shared" si="0"/>
        <v>1</v>
      </c>
      <c r="DQ28">
        <f t="shared" si="1"/>
        <v>1</v>
      </c>
    </row>
    <row r="29" spans="1:121" x14ac:dyDescent="0.35">
      <c r="A29" t="s">
        <v>100</v>
      </c>
      <c r="B29" t="s">
        <v>25</v>
      </c>
      <c r="C29" t="s">
        <v>25</v>
      </c>
      <c r="D29" t="s">
        <v>25</v>
      </c>
      <c r="E29" t="s">
        <v>25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25</v>
      </c>
      <c r="L29" t="s">
        <v>25</v>
      </c>
      <c r="M29" t="s">
        <v>25</v>
      </c>
      <c r="N29" t="s">
        <v>25</v>
      </c>
      <c r="O29" t="s">
        <v>25</v>
      </c>
      <c r="P29" t="s">
        <v>25</v>
      </c>
      <c r="Q29" t="s">
        <v>25</v>
      </c>
      <c r="R29" t="s">
        <v>25</v>
      </c>
      <c r="S29" t="s">
        <v>25</v>
      </c>
      <c r="T29" t="s">
        <v>25</v>
      </c>
      <c r="U29" t="s">
        <v>25</v>
      </c>
      <c r="V29" t="s">
        <v>25</v>
      </c>
      <c r="W29" t="s">
        <v>25</v>
      </c>
      <c r="X29" t="s">
        <v>25</v>
      </c>
      <c r="Y29" t="s">
        <v>25</v>
      </c>
      <c r="Z29" t="s">
        <v>25</v>
      </c>
      <c r="AA29" t="s">
        <v>25</v>
      </c>
      <c r="AB29" t="s">
        <v>25</v>
      </c>
      <c r="AC29" t="s">
        <v>25</v>
      </c>
      <c r="AD29" t="s">
        <v>25</v>
      </c>
      <c r="AE29" t="s">
        <v>25</v>
      </c>
      <c r="AF29" t="s">
        <v>25</v>
      </c>
      <c r="AG29" t="s">
        <v>25</v>
      </c>
      <c r="AH29" t="s">
        <v>25</v>
      </c>
      <c r="AI29" t="s">
        <v>25</v>
      </c>
      <c r="AJ29" t="s">
        <v>25</v>
      </c>
      <c r="AK29" t="s">
        <v>25</v>
      </c>
      <c r="AL29" t="s">
        <v>25</v>
      </c>
      <c r="AM29" t="s">
        <v>25</v>
      </c>
      <c r="AN29">
        <v>6.5</v>
      </c>
      <c r="AO29">
        <v>5.5</v>
      </c>
      <c r="AP29" t="s">
        <v>25</v>
      </c>
      <c r="AQ29">
        <v>7</v>
      </c>
      <c r="AR29" t="s">
        <v>25</v>
      </c>
      <c r="AS29">
        <v>5.5</v>
      </c>
      <c r="AT29">
        <v>5.5</v>
      </c>
      <c r="AU29">
        <v>7</v>
      </c>
      <c r="AV29" t="s">
        <v>25</v>
      </c>
      <c r="AW29">
        <v>5.5</v>
      </c>
      <c r="AX29">
        <v>5</v>
      </c>
      <c r="AY29">
        <v>7</v>
      </c>
      <c r="AZ29">
        <v>6.5</v>
      </c>
      <c r="BA29">
        <v>5.5</v>
      </c>
      <c r="BB29" t="s">
        <v>25</v>
      </c>
      <c r="BC29">
        <v>5</v>
      </c>
      <c r="BD29" t="s">
        <v>25</v>
      </c>
      <c r="BE29">
        <v>5</v>
      </c>
      <c r="BF29">
        <v>6.5</v>
      </c>
      <c r="BG29">
        <v>5.5</v>
      </c>
      <c r="BH29" t="s">
        <v>25</v>
      </c>
      <c r="BI29" t="s">
        <v>25</v>
      </c>
      <c r="BJ29" t="s">
        <v>25</v>
      </c>
      <c r="BK29" t="s">
        <v>25</v>
      </c>
      <c r="BL29" t="s">
        <v>25</v>
      </c>
      <c r="BM29" t="s">
        <v>25</v>
      </c>
      <c r="BN29" t="s">
        <v>25</v>
      </c>
      <c r="BO29" t="s">
        <v>25</v>
      </c>
      <c r="BP29" t="s">
        <v>25</v>
      </c>
      <c r="BQ29" t="s">
        <v>25</v>
      </c>
      <c r="BR29" t="s">
        <v>25</v>
      </c>
      <c r="BS29" t="s">
        <v>25</v>
      </c>
      <c r="BT29" t="s">
        <v>25</v>
      </c>
      <c r="BU29" t="s">
        <v>25</v>
      </c>
      <c r="BV29">
        <v>5.5</v>
      </c>
      <c r="BW29">
        <v>6.5</v>
      </c>
      <c r="BX29" t="s">
        <v>25</v>
      </c>
      <c r="BY29">
        <v>6.5</v>
      </c>
      <c r="BZ29" t="s">
        <v>25</v>
      </c>
      <c r="CA29" t="s">
        <v>25</v>
      </c>
      <c r="CB29" t="s">
        <v>25</v>
      </c>
      <c r="DL29">
        <f t="shared" si="2"/>
        <v>18</v>
      </c>
      <c r="DM29" s="18">
        <f t="shared" si="3"/>
        <v>5.9444444444444446</v>
      </c>
      <c r="DN29">
        <f t="shared" si="4"/>
        <v>0.72535769855270305</v>
      </c>
      <c r="DO29">
        <v>0</v>
      </c>
      <c r="DP29">
        <f t="shared" si="0"/>
        <v>0</v>
      </c>
      <c r="DQ29">
        <f t="shared" si="1"/>
        <v>0</v>
      </c>
    </row>
    <row r="30" spans="1:121" x14ac:dyDescent="0.35">
      <c r="A30" t="s">
        <v>8</v>
      </c>
      <c r="B30">
        <v>5.5</v>
      </c>
      <c r="C30" t="s">
        <v>25</v>
      </c>
      <c r="D30">
        <v>3</v>
      </c>
      <c r="E30" t="s">
        <v>25</v>
      </c>
      <c r="F30" t="s">
        <v>25</v>
      </c>
      <c r="G30">
        <v>5</v>
      </c>
      <c r="H30">
        <v>3</v>
      </c>
      <c r="I30">
        <v>3.5</v>
      </c>
      <c r="J30">
        <v>7</v>
      </c>
      <c r="K30">
        <v>7</v>
      </c>
      <c r="L30" t="s">
        <v>25</v>
      </c>
      <c r="M30" t="s">
        <v>25</v>
      </c>
      <c r="N30" t="s">
        <v>25</v>
      </c>
      <c r="O30">
        <v>5</v>
      </c>
      <c r="P30" t="s">
        <v>25</v>
      </c>
      <c r="Q30" t="s">
        <v>25</v>
      </c>
      <c r="R30" t="s">
        <v>25</v>
      </c>
      <c r="S30" t="s">
        <v>25</v>
      </c>
      <c r="T30" t="s">
        <v>25</v>
      </c>
      <c r="U30">
        <v>5.5</v>
      </c>
      <c r="V30" t="s">
        <v>25</v>
      </c>
      <c r="W30" t="s">
        <v>25</v>
      </c>
      <c r="X30" t="s">
        <v>25</v>
      </c>
      <c r="Y30" t="s">
        <v>25</v>
      </c>
      <c r="Z30" t="s">
        <v>25</v>
      </c>
      <c r="AA30">
        <v>7</v>
      </c>
      <c r="AB30" t="s">
        <v>25</v>
      </c>
      <c r="AC30">
        <v>7</v>
      </c>
      <c r="AD30" t="s">
        <v>25</v>
      </c>
      <c r="AE30" t="s">
        <v>25</v>
      </c>
      <c r="AF30" t="s">
        <v>25</v>
      </c>
      <c r="AG30" t="s">
        <v>25</v>
      </c>
      <c r="AH30" t="s">
        <v>25</v>
      </c>
      <c r="AI30">
        <v>5.5</v>
      </c>
      <c r="AJ30">
        <v>5.5</v>
      </c>
      <c r="AK30" t="s">
        <v>25</v>
      </c>
      <c r="AL30" t="s">
        <v>25</v>
      </c>
      <c r="AM30" t="s">
        <v>25</v>
      </c>
      <c r="AN30">
        <v>5.5</v>
      </c>
      <c r="AO30" t="s">
        <v>25</v>
      </c>
      <c r="AP30">
        <v>6.5</v>
      </c>
      <c r="AQ30">
        <v>4</v>
      </c>
      <c r="AR30" t="s">
        <v>25</v>
      </c>
      <c r="AS30" t="s">
        <v>25</v>
      </c>
      <c r="AT30" t="s">
        <v>25</v>
      </c>
      <c r="AU30" t="s">
        <v>25</v>
      </c>
      <c r="AV30">
        <v>5</v>
      </c>
      <c r="AW30" t="s">
        <v>25</v>
      </c>
      <c r="AX30" t="s">
        <v>25</v>
      </c>
      <c r="AY30" t="s">
        <v>25</v>
      </c>
      <c r="AZ30" t="s">
        <v>25</v>
      </c>
      <c r="BA30" t="s">
        <v>25</v>
      </c>
      <c r="BB30" t="s">
        <v>25</v>
      </c>
      <c r="BC30" t="s">
        <v>25</v>
      </c>
      <c r="BD30" t="s">
        <v>25</v>
      </c>
      <c r="BE30" t="s">
        <v>25</v>
      </c>
      <c r="BF30" t="s">
        <v>25</v>
      </c>
      <c r="BG30" t="s">
        <v>25</v>
      </c>
      <c r="BH30" t="s">
        <v>25</v>
      </c>
      <c r="BI30" t="s">
        <v>25</v>
      </c>
      <c r="BJ30" t="s">
        <v>25</v>
      </c>
      <c r="BK30" t="s">
        <v>25</v>
      </c>
      <c r="BL30" t="s">
        <v>25</v>
      </c>
      <c r="BM30" t="s">
        <v>25</v>
      </c>
      <c r="BN30" t="s">
        <v>25</v>
      </c>
      <c r="BO30" t="s">
        <v>25</v>
      </c>
      <c r="BP30" t="s">
        <v>25</v>
      </c>
      <c r="BQ30" t="s">
        <v>25</v>
      </c>
      <c r="BR30" t="s">
        <v>25</v>
      </c>
      <c r="BS30" t="s">
        <v>25</v>
      </c>
      <c r="BT30" t="s">
        <v>25</v>
      </c>
      <c r="BU30" t="s">
        <v>25</v>
      </c>
      <c r="BV30" t="s">
        <v>25</v>
      </c>
      <c r="BW30" t="s">
        <v>25</v>
      </c>
      <c r="BX30" t="s">
        <v>25</v>
      </c>
      <c r="BY30" t="s">
        <v>25</v>
      </c>
      <c r="BZ30" t="s">
        <v>25</v>
      </c>
      <c r="CA30" t="s">
        <v>25</v>
      </c>
      <c r="CB30" t="s">
        <v>25</v>
      </c>
      <c r="DD30">
        <v>5.5</v>
      </c>
      <c r="DL30">
        <f t="shared" si="2"/>
        <v>18</v>
      </c>
      <c r="DM30" s="18">
        <f t="shared" si="3"/>
        <v>5.333333333333333</v>
      </c>
      <c r="DN30">
        <f t="shared" si="4"/>
        <v>1.3060943124220303</v>
      </c>
      <c r="DO30">
        <v>0</v>
      </c>
      <c r="DP30">
        <f t="shared" si="0"/>
        <v>0</v>
      </c>
      <c r="DQ30">
        <f t="shared" si="1"/>
        <v>0</v>
      </c>
    </row>
    <row r="31" spans="1:121" x14ac:dyDescent="0.35">
      <c r="A31" t="s">
        <v>170</v>
      </c>
      <c r="B31" t="s">
        <v>25</v>
      </c>
      <c r="C31" t="s">
        <v>25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>
        <v>1</v>
      </c>
      <c r="K31" t="s">
        <v>25</v>
      </c>
      <c r="L31" t="s">
        <v>25</v>
      </c>
      <c r="M31">
        <v>3.5</v>
      </c>
      <c r="N31" t="s">
        <v>25</v>
      </c>
      <c r="O31" t="s">
        <v>25</v>
      </c>
      <c r="P31" t="s">
        <v>25</v>
      </c>
      <c r="Q31" t="s">
        <v>25</v>
      </c>
      <c r="R31" t="s">
        <v>25</v>
      </c>
      <c r="S31" t="s">
        <v>25</v>
      </c>
      <c r="T31" t="s">
        <v>25</v>
      </c>
      <c r="U31" t="s">
        <v>25</v>
      </c>
      <c r="V31" t="s">
        <v>25</v>
      </c>
      <c r="W31" t="s">
        <v>25</v>
      </c>
      <c r="X31" t="s">
        <v>25</v>
      </c>
      <c r="Y31" t="s">
        <v>25</v>
      </c>
      <c r="Z31" t="s">
        <v>25</v>
      </c>
      <c r="AA31" t="s">
        <v>25</v>
      </c>
      <c r="AB31" t="s">
        <v>25</v>
      </c>
      <c r="AC31" t="s">
        <v>25</v>
      </c>
      <c r="AD31" t="s">
        <v>25</v>
      </c>
      <c r="AE31" t="s">
        <v>25</v>
      </c>
      <c r="AF31" t="s">
        <v>25</v>
      </c>
      <c r="AG31" t="s">
        <v>25</v>
      </c>
      <c r="AH31" t="s">
        <v>25</v>
      </c>
      <c r="AI31" t="s">
        <v>25</v>
      </c>
      <c r="AJ31" t="s">
        <v>25</v>
      </c>
      <c r="AK31" t="s">
        <v>25</v>
      </c>
      <c r="AL31" t="s">
        <v>25</v>
      </c>
      <c r="AM31" t="s">
        <v>25</v>
      </c>
      <c r="AN31">
        <v>2</v>
      </c>
      <c r="AO31" t="s">
        <v>25</v>
      </c>
      <c r="AP31" t="s">
        <v>25</v>
      </c>
      <c r="AQ31" t="s">
        <v>25</v>
      </c>
      <c r="AR31" t="s">
        <v>25</v>
      </c>
      <c r="AS31" t="s">
        <v>25</v>
      </c>
      <c r="AT31" t="s">
        <v>25</v>
      </c>
      <c r="AU31" t="s">
        <v>25</v>
      </c>
      <c r="AV31" t="s">
        <v>25</v>
      </c>
      <c r="AW31" t="s">
        <v>25</v>
      </c>
      <c r="AX31" t="s">
        <v>25</v>
      </c>
      <c r="AY31" t="s">
        <v>25</v>
      </c>
      <c r="AZ31" t="s">
        <v>25</v>
      </c>
      <c r="BA31" t="s">
        <v>25</v>
      </c>
      <c r="BB31" t="s">
        <v>25</v>
      </c>
      <c r="BC31" t="s">
        <v>25</v>
      </c>
      <c r="BD31" t="s">
        <v>25</v>
      </c>
      <c r="BE31" t="s">
        <v>25</v>
      </c>
      <c r="BF31" t="s">
        <v>25</v>
      </c>
      <c r="BG31">
        <v>5.5</v>
      </c>
      <c r="BH31">
        <v>5</v>
      </c>
      <c r="BI31">
        <v>5</v>
      </c>
      <c r="BJ31" t="s">
        <v>25</v>
      </c>
      <c r="BK31" t="s">
        <v>25</v>
      </c>
      <c r="BL31" t="s">
        <v>25</v>
      </c>
      <c r="BM31">
        <v>5.5</v>
      </c>
      <c r="BN31">
        <v>5.5</v>
      </c>
      <c r="BO31" t="s">
        <v>25</v>
      </c>
      <c r="BP31" t="s">
        <v>25</v>
      </c>
      <c r="BQ31" t="s">
        <v>25</v>
      </c>
      <c r="BR31" t="s">
        <v>25</v>
      </c>
      <c r="BS31" t="s">
        <v>25</v>
      </c>
      <c r="BT31" t="s">
        <v>25</v>
      </c>
      <c r="BU31" t="s">
        <v>25</v>
      </c>
      <c r="BV31" t="s">
        <v>25</v>
      </c>
      <c r="BW31" t="s">
        <v>25</v>
      </c>
      <c r="BX31" t="s">
        <v>25</v>
      </c>
      <c r="BY31" t="s">
        <v>25</v>
      </c>
      <c r="BZ31" t="s">
        <v>25</v>
      </c>
      <c r="CA31" t="s">
        <v>25</v>
      </c>
      <c r="CB31" t="s">
        <v>25</v>
      </c>
      <c r="CK31">
        <v>6</v>
      </c>
      <c r="CL31">
        <v>5.5</v>
      </c>
      <c r="CM31">
        <v>6.5</v>
      </c>
      <c r="CO31">
        <v>6</v>
      </c>
      <c r="CQ31">
        <v>6</v>
      </c>
      <c r="CR31">
        <v>6</v>
      </c>
      <c r="CU31">
        <v>6</v>
      </c>
      <c r="CW31">
        <v>5</v>
      </c>
      <c r="CY31">
        <v>5.5</v>
      </c>
      <c r="DC31">
        <v>5.5</v>
      </c>
      <c r="DH31">
        <v>5.5</v>
      </c>
      <c r="DI31">
        <v>6</v>
      </c>
      <c r="DL31">
        <f t="shared" si="2"/>
        <v>20</v>
      </c>
      <c r="DM31" s="18">
        <f t="shared" si="3"/>
        <v>5.125</v>
      </c>
      <c r="DN31">
        <f t="shared" si="4"/>
        <v>1.3943023156290106</v>
      </c>
      <c r="DO31">
        <v>1</v>
      </c>
      <c r="DP31">
        <f t="shared" si="0"/>
        <v>1</v>
      </c>
      <c r="DQ31">
        <f t="shared" si="1"/>
        <v>0</v>
      </c>
    </row>
    <row r="32" spans="1:121" x14ac:dyDescent="0.35">
      <c r="A32" t="s">
        <v>67</v>
      </c>
      <c r="B32" t="s">
        <v>25</v>
      </c>
      <c r="C32" t="s">
        <v>25</v>
      </c>
      <c r="D32" t="s">
        <v>25</v>
      </c>
      <c r="E32" t="s">
        <v>25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25</v>
      </c>
      <c r="L32" t="s">
        <v>25</v>
      </c>
      <c r="M32" t="s">
        <v>25</v>
      </c>
      <c r="N32" t="s">
        <v>25</v>
      </c>
      <c r="O32" t="s">
        <v>25</v>
      </c>
      <c r="P32" t="s">
        <v>25</v>
      </c>
      <c r="Q32" t="s">
        <v>25</v>
      </c>
      <c r="R32" t="s">
        <v>25</v>
      </c>
      <c r="S32" t="s">
        <v>25</v>
      </c>
      <c r="T32" t="s">
        <v>25</v>
      </c>
      <c r="U32" t="s">
        <v>25</v>
      </c>
      <c r="V32" t="s">
        <v>25</v>
      </c>
      <c r="W32" t="s">
        <v>25</v>
      </c>
      <c r="X32">
        <v>5.5</v>
      </c>
      <c r="Y32" t="s">
        <v>25</v>
      </c>
      <c r="Z32">
        <v>5</v>
      </c>
      <c r="AA32">
        <v>3</v>
      </c>
      <c r="AB32">
        <v>1.5</v>
      </c>
      <c r="AC32" t="s">
        <v>25</v>
      </c>
      <c r="AD32" t="s">
        <v>25</v>
      </c>
      <c r="AE32" t="s">
        <v>25</v>
      </c>
      <c r="AF32" t="s">
        <v>25</v>
      </c>
      <c r="AG32">
        <v>7</v>
      </c>
      <c r="AH32">
        <v>5.5</v>
      </c>
      <c r="AI32" t="s">
        <v>25</v>
      </c>
      <c r="AJ32">
        <v>5</v>
      </c>
      <c r="AK32">
        <v>5.5</v>
      </c>
      <c r="AL32" t="s">
        <v>25</v>
      </c>
      <c r="AM32" t="s">
        <v>25</v>
      </c>
      <c r="AN32" t="s">
        <v>25</v>
      </c>
      <c r="AO32">
        <v>4</v>
      </c>
      <c r="AP32">
        <v>6.5</v>
      </c>
      <c r="AQ32" t="s">
        <v>25</v>
      </c>
      <c r="AR32">
        <v>3.5</v>
      </c>
      <c r="AS32" t="s">
        <v>25</v>
      </c>
      <c r="AT32" t="s">
        <v>25</v>
      </c>
      <c r="AU32" t="s">
        <v>25</v>
      </c>
      <c r="AV32" t="s">
        <v>25</v>
      </c>
      <c r="AW32">
        <v>3.5</v>
      </c>
      <c r="AX32" t="s">
        <v>25</v>
      </c>
      <c r="AY32" t="s">
        <v>25</v>
      </c>
      <c r="AZ32" t="s">
        <v>25</v>
      </c>
      <c r="BA32">
        <v>2.5</v>
      </c>
      <c r="BB32" t="s">
        <v>25</v>
      </c>
      <c r="BC32" t="s">
        <v>25</v>
      </c>
      <c r="BD32" t="s">
        <v>25</v>
      </c>
      <c r="BE32" t="s">
        <v>25</v>
      </c>
      <c r="BF32" t="s">
        <v>25</v>
      </c>
      <c r="BG32" t="s">
        <v>25</v>
      </c>
      <c r="BH32" t="s">
        <v>25</v>
      </c>
      <c r="BI32" t="s">
        <v>25</v>
      </c>
      <c r="BJ32">
        <v>6.5</v>
      </c>
      <c r="BK32">
        <v>4</v>
      </c>
      <c r="BL32" t="s">
        <v>25</v>
      </c>
      <c r="BM32" t="s">
        <v>25</v>
      </c>
      <c r="BN32" t="s">
        <v>25</v>
      </c>
      <c r="BO32" t="s">
        <v>25</v>
      </c>
      <c r="BP32" t="s">
        <v>25</v>
      </c>
      <c r="BQ32" t="s">
        <v>25</v>
      </c>
      <c r="BR32" t="s">
        <v>25</v>
      </c>
      <c r="BS32" t="s">
        <v>25</v>
      </c>
      <c r="BT32">
        <v>4</v>
      </c>
      <c r="BU32" t="s">
        <v>25</v>
      </c>
      <c r="BV32" t="s">
        <v>25</v>
      </c>
      <c r="BW32" t="s">
        <v>25</v>
      </c>
      <c r="BX32" t="s">
        <v>25</v>
      </c>
      <c r="BY32" t="s">
        <v>25</v>
      </c>
      <c r="BZ32" t="s">
        <v>25</v>
      </c>
      <c r="CA32" t="s">
        <v>25</v>
      </c>
      <c r="CB32" t="s">
        <v>25</v>
      </c>
      <c r="CZ32">
        <v>4.5</v>
      </c>
      <c r="DA32">
        <v>5.5</v>
      </c>
      <c r="DL32">
        <f t="shared" si="2"/>
        <v>18</v>
      </c>
      <c r="DM32" s="18">
        <f t="shared" si="3"/>
        <v>4.583333333333333</v>
      </c>
      <c r="DN32">
        <f t="shared" si="4"/>
        <v>1.4677914581799016</v>
      </c>
      <c r="DO32">
        <v>0</v>
      </c>
      <c r="DP32">
        <f t="shared" si="0"/>
        <v>0</v>
      </c>
      <c r="DQ32">
        <f t="shared" si="1"/>
        <v>0</v>
      </c>
    </row>
    <row r="33" spans="1:121" x14ac:dyDescent="0.35">
      <c r="A33" t="s">
        <v>7</v>
      </c>
      <c r="B33">
        <v>5.5</v>
      </c>
      <c r="C33">
        <v>0</v>
      </c>
      <c r="D33">
        <v>3.5</v>
      </c>
      <c r="E33">
        <v>3</v>
      </c>
      <c r="F33">
        <v>8</v>
      </c>
      <c r="G33">
        <v>5</v>
      </c>
      <c r="H33">
        <v>5.5</v>
      </c>
      <c r="I33">
        <v>3.5</v>
      </c>
      <c r="J33">
        <v>1.5</v>
      </c>
      <c r="K33">
        <v>5</v>
      </c>
      <c r="L33">
        <v>1</v>
      </c>
      <c r="M33">
        <v>0</v>
      </c>
      <c r="N33" t="s">
        <v>25</v>
      </c>
      <c r="O33" t="s">
        <v>25</v>
      </c>
      <c r="P33" t="s">
        <v>25</v>
      </c>
      <c r="Q33" t="s">
        <v>25</v>
      </c>
      <c r="R33" t="s">
        <v>25</v>
      </c>
      <c r="S33" t="s">
        <v>25</v>
      </c>
      <c r="T33" t="s">
        <v>25</v>
      </c>
      <c r="U33" t="s">
        <v>25</v>
      </c>
      <c r="V33" t="s">
        <v>25</v>
      </c>
      <c r="W33" t="s">
        <v>25</v>
      </c>
      <c r="X33" t="s">
        <v>25</v>
      </c>
      <c r="Y33" t="s">
        <v>25</v>
      </c>
      <c r="Z33" t="s">
        <v>25</v>
      </c>
      <c r="AA33" t="s">
        <v>25</v>
      </c>
      <c r="AB33" t="s">
        <v>25</v>
      </c>
      <c r="AC33" t="s">
        <v>25</v>
      </c>
      <c r="AD33">
        <v>5.5</v>
      </c>
      <c r="AE33" t="s">
        <v>25</v>
      </c>
      <c r="AF33" t="s">
        <v>25</v>
      </c>
      <c r="AG33" t="s">
        <v>25</v>
      </c>
      <c r="AH33" t="s">
        <v>25</v>
      </c>
      <c r="AI33" t="s">
        <v>25</v>
      </c>
      <c r="AJ33" t="s">
        <v>25</v>
      </c>
      <c r="AK33" t="s">
        <v>25</v>
      </c>
      <c r="AL33" t="s">
        <v>25</v>
      </c>
      <c r="AM33" t="s">
        <v>25</v>
      </c>
      <c r="AN33" t="s">
        <v>25</v>
      </c>
      <c r="AO33" t="s">
        <v>25</v>
      </c>
      <c r="AP33" t="s">
        <v>25</v>
      </c>
      <c r="AQ33" t="s">
        <v>25</v>
      </c>
      <c r="AR33" t="s">
        <v>25</v>
      </c>
      <c r="AS33" t="s">
        <v>25</v>
      </c>
      <c r="AT33" t="s">
        <v>25</v>
      </c>
      <c r="AU33" t="s">
        <v>25</v>
      </c>
      <c r="AV33" t="s">
        <v>25</v>
      </c>
      <c r="AW33" t="s">
        <v>25</v>
      </c>
      <c r="AX33" t="s">
        <v>25</v>
      </c>
      <c r="AY33" t="s">
        <v>25</v>
      </c>
      <c r="AZ33" t="s">
        <v>25</v>
      </c>
      <c r="BA33" t="s">
        <v>25</v>
      </c>
      <c r="BB33" t="s">
        <v>25</v>
      </c>
      <c r="BC33" t="s">
        <v>25</v>
      </c>
      <c r="BD33" t="s">
        <v>25</v>
      </c>
      <c r="BE33" t="s">
        <v>25</v>
      </c>
      <c r="BF33" t="s">
        <v>25</v>
      </c>
      <c r="BG33" t="s">
        <v>25</v>
      </c>
      <c r="BH33" t="s">
        <v>25</v>
      </c>
      <c r="BI33" t="s">
        <v>25</v>
      </c>
      <c r="BJ33" t="s">
        <v>25</v>
      </c>
      <c r="BK33" t="s">
        <v>25</v>
      </c>
      <c r="BL33" t="s">
        <v>25</v>
      </c>
      <c r="BM33" t="s">
        <v>25</v>
      </c>
      <c r="BN33" t="s">
        <v>25</v>
      </c>
      <c r="BO33" t="s">
        <v>25</v>
      </c>
      <c r="BP33" t="s">
        <v>25</v>
      </c>
      <c r="BQ33" t="s">
        <v>25</v>
      </c>
      <c r="BR33" t="s">
        <v>25</v>
      </c>
      <c r="BS33" t="s">
        <v>25</v>
      </c>
      <c r="BT33" t="s">
        <v>25</v>
      </c>
      <c r="BU33" t="s">
        <v>25</v>
      </c>
      <c r="BV33" t="s">
        <v>25</v>
      </c>
      <c r="BW33" t="s">
        <v>25</v>
      </c>
      <c r="BX33" t="s">
        <v>25</v>
      </c>
      <c r="BY33" t="s">
        <v>25</v>
      </c>
      <c r="BZ33" t="s">
        <v>25</v>
      </c>
      <c r="CA33">
        <v>5.5</v>
      </c>
      <c r="CB33">
        <v>5.5</v>
      </c>
      <c r="DL33">
        <f t="shared" si="2"/>
        <v>15</v>
      </c>
      <c r="DM33" s="18">
        <f t="shared" si="3"/>
        <v>3.8666666666666667</v>
      </c>
      <c r="DN33">
        <f t="shared" si="4"/>
        <v>2.3563490726929555</v>
      </c>
      <c r="DO33">
        <v>0</v>
      </c>
      <c r="DP33">
        <f t="shared" si="0"/>
        <v>0</v>
      </c>
      <c r="DQ33">
        <f t="shared" si="1"/>
        <v>0</v>
      </c>
    </row>
    <row r="34" spans="1:121" x14ac:dyDescent="0.35">
      <c r="A34" t="s">
        <v>12</v>
      </c>
      <c r="B34">
        <v>9.5</v>
      </c>
      <c r="C34" t="s">
        <v>25</v>
      </c>
      <c r="D34">
        <v>8</v>
      </c>
      <c r="E34">
        <v>8</v>
      </c>
      <c r="F34" t="s">
        <v>25</v>
      </c>
      <c r="G34" t="s">
        <v>25</v>
      </c>
      <c r="H34">
        <v>5.5</v>
      </c>
      <c r="I34">
        <v>8</v>
      </c>
      <c r="J34" t="s">
        <v>25</v>
      </c>
      <c r="K34">
        <v>5.5</v>
      </c>
      <c r="L34">
        <v>8</v>
      </c>
      <c r="M34">
        <v>7</v>
      </c>
      <c r="N34">
        <v>5.5</v>
      </c>
      <c r="O34" t="s">
        <v>25</v>
      </c>
      <c r="P34" t="s">
        <v>25</v>
      </c>
      <c r="Q34" t="s">
        <v>25</v>
      </c>
      <c r="R34">
        <v>10</v>
      </c>
      <c r="S34" t="s">
        <v>25</v>
      </c>
      <c r="T34" t="s">
        <v>25</v>
      </c>
      <c r="U34" t="s">
        <v>25</v>
      </c>
      <c r="V34" t="s">
        <v>25</v>
      </c>
      <c r="W34" t="s">
        <v>25</v>
      </c>
      <c r="X34" t="s">
        <v>25</v>
      </c>
      <c r="Y34" t="s">
        <v>25</v>
      </c>
      <c r="Z34" t="s">
        <v>25</v>
      </c>
      <c r="AA34" t="s">
        <v>25</v>
      </c>
      <c r="AB34" t="s">
        <v>25</v>
      </c>
      <c r="AC34" t="s">
        <v>25</v>
      </c>
      <c r="AD34" t="s">
        <v>25</v>
      </c>
      <c r="AE34" t="s">
        <v>25</v>
      </c>
      <c r="AF34" t="s">
        <v>25</v>
      </c>
      <c r="AG34">
        <v>8</v>
      </c>
      <c r="AH34" t="s">
        <v>25</v>
      </c>
      <c r="AI34" t="s">
        <v>25</v>
      </c>
      <c r="AJ34" t="s">
        <v>25</v>
      </c>
      <c r="AK34" t="s">
        <v>25</v>
      </c>
      <c r="AL34" t="s">
        <v>25</v>
      </c>
      <c r="AM34" t="s">
        <v>25</v>
      </c>
      <c r="AN34">
        <v>7</v>
      </c>
      <c r="AO34" t="s">
        <v>25</v>
      </c>
      <c r="AP34" t="s">
        <v>25</v>
      </c>
      <c r="AQ34" t="s">
        <v>25</v>
      </c>
      <c r="AR34" t="s">
        <v>25</v>
      </c>
      <c r="AS34" t="s">
        <v>25</v>
      </c>
      <c r="AT34" t="s">
        <v>25</v>
      </c>
      <c r="AU34" t="s">
        <v>25</v>
      </c>
      <c r="AV34" t="s">
        <v>25</v>
      </c>
      <c r="AW34" t="s">
        <v>25</v>
      </c>
      <c r="AX34" t="s">
        <v>25</v>
      </c>
      <c r="AY34" t="s">
        <v>25</v>
      </c>
      <c r="AZ34" t="s">
        <v>25</v>
      </c>
      <c r="BA34" t="s">
        <v>25</v>
      </c>
      <c r="BB34">
        <v>5.5</v>
      </c>
      <c r="BC34" t="s">
        <v>25</v>
      </c>
      <c r="BD34" t="s">
        <v>25</v>
      </c>
      <c r="BE34" t="s">
        <v>25</v>
      </c>
      <c r="BF34" t="s">
        <v>25</v>
      </c>
      <c r="BG34" t="s">
        <v>25</v>
      </c>
      <c r="BH34" t="s">
        <v>25</v>
      </c>
      <c r="BI34" t="s">
        <v>25</v>
      </c>
      <c r="BJ34" t="s">
        <v>25</v>
      </c>
      <c r="BK34" t="s">
        <v>25</v>
      </c>
      <c r="BL34" t="s">
        <v>25</v>
      </c>
      <c r="BM34" t="s">
        <v>25</v>
      </c>
      <c r="BN34" t="s">
        <v>25</v>
      </c>
      <c r="BO34" t="s">
        <v>25</v>
      </c>
      <c r="BP34" t="s">
        <v>25</v>
      </c>
      <c r="BQ34" t="s">
        <v>25</v>
      </c>
      <c r="BR34" t="s">
        <v>25</v>
      </c>
      <c r="BS34" t="s">
        <v>25</v>
      </c>
      <c r="BT34" t="s">
        <v>25</v>
      </c>
      <c r="BU34" t="s">
        <v>25</v>
      </c>
      <c r="BV34" t="s">
        <v>25</v>
      </c>
      <c r="BW34" t="s">
        <v>25</v>
      </c>
      <c r="BX34" t="s">
        <v>25</v>
      </c>
      <c r="BY34" t="s">
        <v>25</v>
      </c>
      <c r="BZ34" t="s">
        <v>25</v>
      </c>
      <c r="CA34" t="s">
        <v>25</v>
      </c>
      <c r="CB34" t="s">
        <v>25</v>
      </c>
      <c r="CU34">
        <v>6</v>
      </c>
      <c r="DA34">
        <v>6</v>
      </c>
      <c r="DB34">
        <v>6.5</v>
      </c>
      <c r="DL34">
        <f t="shared" si="2"/>
        <v>16</v>
      </c>
      <c r="DM34" s="18">
        <f t="shared" si="3"/>
        <v>7.125</v>
      </c>
      <c r="DN34">
        <f t="shared" si="4"/>
        <v>1.4433756729740645</v>
      </c>
      <c r="DO34">
        <v>0</v>
      </c>
      <c r="DP34">
        <f t="shared" ref="DP34:DP65" si="5">COUNT(DF34:DH34)</f>
        <v>0</v>
      </c>
      <c r="DQ34">
        <f t="shared" ref="DQ34:DQ65" si="6">IF(DO34=0,DP34,0)</f>
        <v>0</v>
      </c>
    </row>
    <row r="35" spans="1:121" x14ac:dyDescent="0.35">
      <c r="A35" t="s">
        <v>127</v>
      </c>
      <c r="B35" t="s">
        <v>25</v>
      </c>
      <c r="C35" t="s">
        <v>25</v>
      </c>
      <c r="D35" t="s">
        <v>25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25</v>
      </c>
      <c r="L35" t="s">
        <v>25</v>
      </c>
      <c r="M35" t="s">
        <v>25</v>
      </c>
      <c r="N35" t="s">
        <v>25</v>
      </c>
      <c r="O35" t="s">
        <v>25</v>
      </c>
      <c r="P35" t="s">
        <v>25</v>
      </c>
      <c r="Q35" t="s">
        <v>25</v>
      </c>
      <c r="R35" t="s">
        <v>25</v>
      </c>
      <c r="S35" t="s">
        <v>25</v>
      </c>
      <c r="T35" t="s">
        <v>25</v>
      </c>
      <c r="U35" t="s">
        <v>25</v>
      </c>
      <c r="V35" t="s">
        <v>25</v>
      </c>
      <c r="W35" t="s">
        <v>25</v>
      </c>
      <c r="X35" t="s">
        <v>25</v>
      </c>
      <c r="Y35" t="s">
        <v>25</v>
      </c>
      <c r="Z35" t="s">
        <v>25</v>
      </c>
      <c r="AA35" t="s">
        <v>25</v>
      </c>
      <c r="AB35" t="s">
        <v>25</v>
      </c>
      <c r="AC35" t="s">
        <v>25</v>
      </c>
      <c r="AD35" t="s">
        <v>25</v>
      </c>
      <c r="AE35" t="s">
        <v>25</v>
      </c>
      <c r="AF35" t="s">
        <v>25</v>
      </c>
      <c r="AG35" t="s">
        <v>25</v>
      </c>
      <c r="AH35" t="s">
        <v>25</v>
      </c>
      <c r="AI35" t="s">
        <v>25</v>
      </c>
      <c r="AJ35" t="s">
        <v>25</v>
      </c>
      <c r="AK35" t="s">
        <v>25</v>
      </c>
      <c r="AL35" t="s">
        <v>25</v>
      </c>
      <c r="AM35" t="s">
        <v>25</v>
      </c>
      <c r="AN35" t="s">
        <v>25</v>
      </c>
      <c r="AO35" t="s">
        <v>25</v>
      </c>
      <c r="AP35" t="s">
        <v>25</v>
      </c>
      <c r="AQ35" t="s">
        <v>25</v>
      </c>
      <c r="AR35" t="s">
        <v>25</v>
      </c>
      <c r="AS35" t="s">
        <v>25</v>
      </c>
      <c r="AT35" t="s">
        <v>25</v>
      </c>
      <c r="AU35" t="s">
        <v>25</v>
      </c>
      <c r="AV35" t="s">
        <v>25</v>
      </c>
      <c r="AW35" t="s">
        <v>25</v>
      </c>
      <c r="AX35" t="s">
        <v>25</v>
      </c>
      <c r="AY35" t="s">
        <v>25</v>
      </c>
      <c r="AZ35" t="s">
        <v>25</v>
      </c>
      <c r="BA35" t="s">
        <v>25</v>
      </c>
      <c r="BB35" t="s">
        <v>25</v>
      </c>
      <c r="BC35" t="s">
        <v>25</v>
      </c>
      <c r="BD35" t="s">
        <v>25</v>
      </c>
      <c r="BE35" t="s">
        <v>25</v>
      </c>
      <c r="BF35" t="s">
        <v>25</v>
      </c>
      <c r="BG35" t="s">
        <v>25</v>
      </c>
      <c r="BH35" t="s">
        <v>25</v>
      </c>
      <c r="BI35" t="s">
        <v>25</v>
      </c>
      <c r="BJ35" t="s">
        <v>25</v>
      </c>
      <c r="BK35" t="s">
        <v>25</v>
      </c>
      <c r="BL35" t="s">
        <v>25</v>
      </c>
      <c r="BM35" t="s">
        <v>25</v>
      </c>
      <c r="BN35">
        <v>6.5</v>
      </c>
      <c r="BO35">
        <v>5.5</v>
      </c>
      <c r="BP35">
        <v>5.5</v>
      </c>
      <c r="BQ35">
        <v>5.5</v>
      </c>
      <c r="BR35" t="s">
        <v>25</v>
      </c>
      <c r="BS35">
        <v>5.5</v>
      </c>
      <c r="BT35" t="s">
        <v>25</v>
      </c>
      <c r="BU35" t="s">
        <v>25</v>
      </c>
      <c r="BV35">
        <v>6.5</v>
      </c>
      <c r="BW35">
        <v>5.5</v>
      </c>
      <c r="BX35" t="s">
        <v>25</v>
      </c>
      <c r="BY35" t="s">
        <v>25</v>
      </c>
      <c r="BZ35" t="s">
        <v>25</v>
      </c>
      <c r="CA35" t="s">
        <v>25</v>
      </c>
      <c r="CB35" t="s">
        <v>25</v>
      </c>
      <c r="CN35">
        <v>6</v>
      </c>
      <c r="CO35">
        <v>5.5</v>
      </c>
      <c r="CQ35">
        <v>7.5</v>
      </c>
      <c r="CS35">
        <v>6</v>
      </c>
      <c r="CT35">
        <v>6</v>
      </c>
      <c r="CU35">
        <v>6.5</v>
      </c>
      <c r="CV35">
        <v>6</v>
      </c>
      <c r="CY35">
        <v>6.5</v>
      </c>
      <c r="CZ35">
        <v>6</v>
      </c>
      <c r="DA35">
        <v>6</v>
      </c>
      <c r="DB35">
        <v>6.5</v>
      </c>
      <c r="DC35">
        <v>5.5</v>
      </c>
      <c r="DD35">
        <v>7</v>
      </c>
      <c r="DE35">
        <v>6.5</v>
      </c>
      <c r="DL35">
        <f t="shared" si="2"/>
        <v>21</v>
      </c>
      <c r="DM35" s="18">
        <f t="shared" si="3"/>
        <v>6.0952380952380949</v>
      </c>
      <c r="DN35">
        <f t="shared" si="4"/>
        <v>0.5616726720040689</v>
      </c>
      <c r="DO35">
        <v>1</v>
      </c>
      <c r="DP35">
        <f t="shared" si="5"/>
        <v>0</v>
      </c>
      <c r="DQ35">
        <f t="shared" si="6"/>
        <v>0</v>
      </c>
    </row>
    <row r="36" spans="1:121" x14ac:dyDescent="0.35">
      <c r="A36" t="s">
        <v>129</v>
      </c>
      <c r="B36" t="s">
        <v>25</v>
      </c>
      <c r="C36" t="s">
        <v>25</v>
      </c>
      <c r="D36" t="s">
        <v>25</v>
      </c>
      <c r="E36" t="s">
        <v>25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25</v>
      </c>
      <c r="L36" t="s">
        <v>25</v>
      </c>
      <c r="M36" t="s">
        <v>25</v>
      </c>
      <c r="N36" t="s">
        <v>25</v>
      </c>
      <c r="O36" t="s">
        <v>25</v>
      </c>
      <c r="P36" t="s">
        <v>25</v>
      </c>
      <c r="Q36" t="s">
        <v>25</v>
      </c>
      <c r="R36" t="s">
        <v>25</v>
      </c>
      <c r="S36" t="s">
        <v>25</v>
      </c>
      <c r="T36" t="s">
        <v>25</v>
      </c>
      <c r="U36" t="s">
        <v>25</v>
      </c>
      <c r="V36" t="s">
        <v>25</v>
      </c>
      <c r="W36" t="s">
        <v>25</v>
      </c>
      <c r="X36" t="s">
        <v>25</v>
      </c>
      <c r="Y36" t="s">
        <v>25</v>
      </c>
      <c r="Z36" t="s">
        <v>25</v>
      </c>
      <c r="AA36" t="s">
        <v>25</v>
      </c>
      <c r="AB36" t="s">
        <v>25</v>
      </c>
      <c r="AC36" t="s">
        <v>25</v>
      </c>
      <c r="AD36" t="s">
        <v>25</v>
      </c>
      <c r="AE36" t="s">
        <v>25</v>
      </c>
      <c r="AF36" t="s">
        <v>25</v>
      </c>
      <c r="AG36" t="s">
        <v>25</v>
      </c>
      <c r="AH36" t="s">
        <v>25</v>
      </c>
      <c r="AI36" t="s">
        <v>25</v>
      </c>
      <c r="AJ36" t="s">
        <v>25</v>
      </c>
      <c r="AK36" t="s">
        <v>25</v>
      </c>
      <c r="AL36" t="s">
        <v>25</v>
      </c>
      <c r="AM36" t="s">
        <v>25</v>
      </c>
      <c r="AN36" t="s">
        <v>25</v>
      </c>
      <c r="AO36" t="s">
        <v>25</v>
      </c>
      <c r="AP36" t="s">
        <v>25</v>
      </c>
      <c r="AQ36" t="s">
        <v>25</v>
      </c>
      <c r="AR36" t="s">
        <v>25</v>
      </c>
      <c r="AS36" t="s">
        <v>25</v>
      </c>
      <c r="AT36" t="s">
        <v>25</v>
      </c>
      <c r="AU36" t="s">
        <v>25</v>
      </c>
      <c r="AV36" t="s">
        <v>25</v>
      </c>
      <c r="AW36" t="s">
        <v>25</v>
      </c>
      <c r="AX36" t="s">
        <v>25</v>
      </c>
      <c r="AY36" t="s">
        <v>25</v>
      </c>
      <c r="AZ36" t="s">
        <v>25</v>
      </c>
      <c r="BA36" t="s">
        <v>25</v>
      </c>
      <c r="BB36" t="s">
        <v>25</v>
      </c>
      <c r="BC36" t="s">
        <v>25</v>
      </c>
      <c r="BD36" t="s">
        <v>25</v>
      </c>
      <c r="BE36" t="s">
        <v>25</v>
      </c>
      <c r="BF36" t="s">
        <v>25</v>
      </c>
      <c r="BG36" t="s">
        <v>25</v>
      </c>
      <c r="BH36" t="s">
        <v>25</v>
      </c>
      <c r="BI36" t="s">
        <v>25</v>
      </c>
      <c r="BJ36" t="s">
        <v>25</v>
      </c>
      <c r="BK36" t="s">
        <v>25</v>
      </c>
      <c r="BL36" t="s">
        <v>25</v>
      </c>
      <c r="BM36" t="s">
        <v>25</v>
      </c>
      <c r="BN36" t="s">
        <v>25</v>
      </c>
      <c r="BO36" t="s">
        <v>25</v>
      </c>
      <c r="BP36" t="s">
        <v>25</v>
      </c>
      <c r="BQ36" t="s">
        <v>25</v>
      </c>
      <c r="BR36" t="s">
        <v>25</v>
      </c>
      <c r="BS36" t="s">
        <v>25</v>
      </c>
      <c r="BT36" t="s">
        <v>25</v>
      </c>
      <c r="BU36" t="s">
        <v>25</v>
      </c>
      <c r="BV36" t="s">
        <v>25</v>
      </c>
      <c r="BW36">
        <v>5.5</v>
      </c>
      <c r="BX36" t="s">
        <v>25</v>
      </c>
      <c r="BY36">
        <v>5</v>
      </c>
      <c r="BZ36">
        <v>5</v>
      </c>
      <c r="CA36" t="s">
        <v>25</v>
      </c>
      <c r="CB36" t="s">
        <v>25</v>
      </c>
      <c r="CE36">
        <v>5.5</v>
      </c>
      <c r="CG36">
        <v>4.5</v>
      </c>
      <c r="CH36">
        <v>5.5</v>
      </c>
      <c r="CK36">
        <v>5</v>
      </c>
      <c r="CM36">
        <v>5</v>
      </c>
      <c r="CN36">
        <v>5</v>
      </c>
      <c r="CO36">
        <v>5.5</v>
      </c>
      <c r="CP36">
        <v>6</v>
      </c>
      <c r="CQ36">
        <v>5.5</v>
      </c>
      <c r="DL36">
        <f t="shared" si="2"/>
        <v>12</v>
      </c>
      <c r="DM36" s="18">
        <f t="shared" si="3"/>
        <v>5.25</v>
      </c>
      <c r="DN36">
        <f t="shared" si="4"/>
        <v>0.3988620176087328</v>
      </c>
      <c r="DO36">
        <v>0</v>
      </c>
      <c r="DP36">
        <f t="shared" si="5"/>
        <v>0</v>
      </c>
      <c r="DQ36">
        <f t="shared" si="6"/>
        <v>0</v>
      </c>
    </row>
    <row r="37" spans="1:121" x14ac:dyDescent="0.35">
      <c r="A37" t="s">
        <v>16</v>
      </c>
      <c r="B37" t="s">
        <v>25</v>
      </c>
      <c r="C37">
        <v>5</v>
      </c>
      <c r="D37" t="s">
        <v>25</v>
      </c>
      <c r="E37" t="s">
        <v>25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25</v>
      </c>
      <c r="L37" t="s">
        <v>25</v>
      </c>
      <c r="M37" t="s">
        <v>25</v>
      </c>
      <c r="N37" t="s">
        <v>25</v>
      </c>
      <c r="O37" t="s">
        <v>25</v>
      </c>
      <c r="P37" t="s">
        <v>25</v>
      </c>
      <c r="Q37" t="s">
        <v>25</v>
      </c>
      <c r="R37">
        <v>3.5</v>
      </c>
      <c r="S37" t="s">
        <v>25</v>
      </c>
      <c r="T37" t="s">
        <v>25</v>
      </c>
      <c r="U37" t="s">
        <v>25</v>
      </c>
      <c r="V37" t="s">
        <v>25</v>
      </c>
      <c r="W37" t="s">
        <v>25</v>
      </c>
      <c r="X37" t="s">
        <v>25</v>
      </c>
      <c r="Y37">
        <v>5</v>
      </c>
      <c r="Z37">
        <v>5</v>
      </c>
      <c r="AA37" t="s">
        <v>25</v>
      </c>
      <c r="AB37">
        <v>5</v>
      </c>
      <c r="AC37">
        <v>5</v>
      </c>
      <c r="AD37">
        <v>3</v>
      </c>
      <c r="AE37" t="s">
        <v>25</v>
      </c>
      <c r="AF37" t="s">
        <v>25</v>
      </c>
      <c r="AG37" t="s">
        <v>25</v>
      </c>
      <c r="AH37">
        <v>4</v>
      </c>
      <c r="AI37" t="s">
        <v>25</v>
      </c>
      <c r="AJ37" t="s">
        <v>25</v>
      </c>
      <c r="AK37" t="s">
        <v>25</v>
      </c>
      <c r="AL37" t="s">
        <v>25</v>
      </c>
      <c r="AM37" t="s">
        <v>25</v>
      </c>
      <c r="AN37" t="s">
        <v>25</v>
      </c>
      <c r="AO37" t="s">
        <v>25</v>
      </c>
      <c r="AP37" t="s">
        <v>25</v>
      </c>
      <c r="AQ37" t="s">
        <v>25</v>
      </c>
      <c r="AR37" t="s">
        <v>25</v>
      </c>
      <c r="AS37" t="s">
        <v>25</v>
      </c>
      <c r="AT37" t="s">
        <v>25</v>
      </c>
      <c r="AU37" t="s">
        <v>25</v>
      </c>
      <c r="AV37" t="s">
        <v>25</v>
      </c>
      <c r="AW37" t="s">
        <v>25</v>
      </c>
      <c r="AX37" t="s">
        <v>25</v>
      </c>
      <c r="AY37" t="s">
        <v>25</v>
      </c>
      <c r="AZ37" t="s">
        <v>25</v>
      </c>
      <c r="BA37" t="s">
        <v>25</v>
      </c>
      <c r="BB37" t="s">
        <v>25</v>
      </c>
      <c r="BC37" t="s">
        <v>25</v>
      </c>
      <c r="BD37" t="s">
        <v>25</v>
      </c>
      <c r="BE37">
        <v>5.5</v>
      </c>
      <c r="BF37">
        <v>5</v>
      </c>
      <c r="BG37" t="s">
        <v>25</v>
      </c>
      <c r="BH37" t="s">
        <v>25</v>
      </c>
      <c r="BI37" t="s">
        <v>25</v>
      </c>
      <c r="BJ37" t="s">
        <v>25</v>
      </c>
      <c r="BK37" t="s">
        <v>25</v>
      </c>
      <c r="BL37" t="s">
        <v>25</v>
      </c>
      <c r="BM37" t="s">
        <v>25</v>
      </c>
      <c r="BN37" t="s">
        <v>25</v>
      </c>
      <c r="BO37" t="s">
        <v>25</v>
      </c>
      <c r="BP37" t="s">
        <v>25</v>
      </c>
      <c r="BQ37" t="s">
        <v>25</v>
      </c>
      <c r="BR37" t="s">
        <v>25</v>
      </c>
      <c r="BS37" t="s">
        <v>25</v>
      </c>
      <c r="BT37">
        <v>5.5</v>
      </c>
      <c r="BU37" t="s">
        <v>25</v>
      </c>
      <c r="BV37" t="s">
        <v>25</v>
      </c>
      <c r="BW37" t="s">
        <v>25</v>
      </c>
      <c r="BX37" t="s">
        <v>25</v>
      </c>
      <c r="BY37" t="s">
        <v>25</v>
      </c>
      <c r="BZ37" t="s">
        <v>25</v>
      </c>
      <c r="CA37" t="s">
        <v>25</v>
      </c>
      <c r="CB37" t="s">
        <v>25</v>
      </c>
      <c r="DL37">
        <f t="shared" si="2"/>
        <v>11</v>
      </c>
      <c r="DM37" s="18">
        <f t="shared" si="3"/>
        <v>4.6818181818181817</v>
      </c>
      <c r="DN37">
        <f t="shared" si="4"/>
        <v>0.81463879335344846</v>
      </c>
      <c r="DO37">
        <v>0</v>
      </c>
      <c r="DP37">
        <f t="shared" si="5"/>
        <v>0</v>
      </c>
      <c r="DQ37">
        <f t="shared" si="6"/>
        <v>0</v>
      </c>
    </row>
    <row r="38" spans="1:121" x14ac:dyDescent="0.35">
      <c r="A38" t="s">
        <v>44</v>
      </c>
      <c r="B38" t="s">
        <v>25</v>
      </c>
      <c r="C38" t="s">
        <v>25</v>
      </c>
      <c r="D38" t="s">
        <v>25</v>
      </c>
      <c r="E38" t="s">
        <v>25</v>
      </c>
      <c r="F38" t="s">
        <v>25</v>
      </c>
      <c r="G38">
        <v>8</v>
      </c>
      <c r="H38">
        <v>8</v>
      </c>
      <c r="I38" t="s">
        <v>25</v>
      </c>
      <c r="J38">
        <v>9.5</v>
      </c>
      <c r="K38">
        <v>9.5</v>
      </c>
      <c r="L38">
        <v>8</v>
      </c>
      <c r="M38">
        <v>8</v>
      </c>
      <c r="N38">
        <v>8</v>
      </c>
      <c r="O38">
        <v>10</v>
      </c>
      <c r="P38">
        <v>9.5</v>
      </c>
      <c r="Q38" t="s">
        <v>25</v>
      </c>
      <c r="R38" t="s">
        <v>25</v>
      </c>
      <c r="S38" t="s">
        <v>25</v>
      </c>
      <c r="T38" t="s">
        <v>25</v>
      </c>
      <c r="U38" t="s">
        <v>25</v>
      </c>
      <c r="V38" t="s">
        <v>25</v>
      </c>
      <c r="W38" t="s">
        <v>25</v>
      </c>
      <c r="X38" t="s">
        <v>25</v>
      </c>
      <c r="Y38" t="s">
        <v>25</v>
      </c>
      <c r="Z38" t="s">
        <v>25</v>
      </c>
      <c r="AA38" t="s">
        <v>25</v>
      </c>
      <c r="AB38" t="s">
        <v>25</v>
      </c>
      <c r="AC38" t="s">
        <v>25</v>
      </c>
      <c r="AD38" t="s">
        <v>25</v>
      </c>
      <c r="AE38" t="s">
        <v>25</v>
      </c>
      <c r="AF38" t="s">
        <v>25</v>
      </c>
      <c r="AG38" t="s">
        <v>25</v>
      </c>
      <c r="AH38" t="s">
        <v>25</v>
      </c>
      <c r="AI38" t="s">
        <v>25</v>
      </c>
      <c r="AJ38" t="s">
        <v>25</v>
      </c>
      <c r="AK38" t="s">
        <v>25</v>
      </c>
      <c r="AL38" t="s">
        <v>25</v>
      </c>
      <c r="AM38" t="s">
        <v>25</v>
      </c>
      <c r="AN38" t="s">
        <v>25</v>
      </c>
      <c r="AO38" t="s">
        <v>25</v>
      </c>
      <c r="AP38" t="s">
        <v>25</v>
      </c>
      <c r="AQ38" t="s">
        <v>25</v>
      </c>
      <c r="AR38" t="s">
        <v>25</v>
      </c>
      <c r="AS38" t="s">
        <v>25</v>
      </c>
      <c r="AT38" t="s">
        <v>25</v>
      </c>
      <c r="AU38" t="s">
        <v>25</v>
      </c>
      <c r="AV38" t="s">
        <v>25</v>
      </c>
      <c r="AW38" t="s">
        <v>25</v>
      </c>
      <c r="AX38" t="s">
        <v>25</v>
      </c>
      <c r="AY38" t="s">
        <v>25</v>
      </c>
      <c r="AZ38" t="s">
        <v>25</v>
      </c>
      <c r="BA38" t="s">
        <v>25</v>
      </c>
      <c r="BB38" t="s">
        <v>25</v>
      </c>
      <c r="BC38" t="s">
        <v>25</v>
      </c>
      <c r="BD38" t="s">
        <v>25</v>
      </c>
      <c r="BE38" t="s">
        <v>25</v>
      </c>
      <c r="BF38" t="s">
        <v>25</v>
      </c>
      <c r="BG38" t="s">
        <v>25</v>
      </c>
      <c r="BH38" t="s">
        <v>25</v>
      </c>
      <c r="BI38" t="s">
        <v>25</v>
      </c>
      <c r="BJ38" t="s">
        <v>25</v>
      </c>
      <c r="BK38" t="s">
        <v>25</v>
      </c>
      <c r="BL38" t="s">
        <v>25</v>
      </c>
      <c r="BM38" t="s">
        <v>25</v>
      </c>
      <c r="BN38" t="s">
        <v>25</v>
      </c>
      <c r="BO38" t="s">
        <v>25</v>
      </c>
      <c r="BP38" t="s">
        <v>25</v>
      </c>
      <c r="BQ38" t="s">
        <v>25</v>
      </c>
      <c r="BR38" t="s">
        <v>25</v>
      </c>
      <c r="BS38" t="s">
        <v>25</v>
      </c>
      <c r="BT38" t="s">
        <v>25</v>
      </c>
      <c r="BU38" t="s">
        <v>25</v>
      </c>
      <c r="BV38" t="s">
        <v>25</v>
      </c>
      <c r="BW38" t="s">
        <v>25</v>
      </c>
      <c r="BX38" t="s">
        <v>25</v>
      </c>
      <c r="BY38" t="s">
        <v>25</v>
      </c>
      <c r="BZ38" t="s">
        <v>25</v>
      </c>
      <c r="CA38" t="s">
        <v>25</v>
      </c>
      <c r="CB38" t="s">
        <v>25</v>
      </c>
      <c r="CC38">
        <v>6</v>
      </c>
      <c r="DL38">
        <f t="shared" si="2"/>
        <v>10</v>
      </c>
      <c r="DM38" s="18">
        <f t="shared" si="3"/>
        <v>8.4499999999999993</v>
      </c>
      <c r="DN38">
        <f t="shared" si="4"/>
        <v>1.1890705987824657</v>
      </c>
      <c r="DO38">
        <v>0</v>
      </c>
      <c r="DP38">
        <f t="shared" si="5"/>
        <v>0</v>
      </c>
      <c r="DQ38">
        <f t="shared" si="6"/>
        <v>0</v>
      </c>
    </row>
    <row r="39" spans="1:121" x14ac:dyDescent="0.35">
      <c r="A39" t="s">
        <v>95</v>
      </c>
      <c r="B39" t="s">
        <v>25</v>
      </c>
      <c r="C39" t="s">
        <v>25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25</v>
      </c>
      <c r="R39" t="s">
        <v>25</v>
      </c>
      <c r="S39" t="s">
        <v>25</v>
      </c>
      <c r="T39" t="s">
        <v>25</v>
      </c>
      <c r="U39" t="s">
        <v>25</v>
      </c>
      <c r="V39" t="s">
        <v>25</v>
      </c>
      <c r="W39" t="s">
        <v>25</v>
      </c>
      <c r="X39" t="s">
        <v>25</v>
      </c>
      <c r="Y39" t="s">
        <v>25</v>
      </c>
      <c r="Z39" t="s">
        <v>25</v>
      </c>
      <c r="AA39" t="s">
        <v>25</v>
      </c>
      <c r="AB39" t="s">
        <v>25</v>
      </c>
      <c r="AC39" t="s">
        <v>25</v>
      </c>
      <c r="AD39" t="s">
        <v>25</v>
      </c>
      <c r="AE39" t="s">
        <v>25</v>
      </c>
      <c r="AF39" t="s">
        <v>25</v>
      </c>
      <c r="AG39" t="s">
        <v>25</v>
      </c>
      <c r="AH39" t="s">
        <v>25</v>
      </c>
      <c r="AI39" t="s">
        <v>25</v>
      </c>
      <c r="AJ39">
        <v>5.5</v>
      </c>
      <c r="AK39" t="s">
        <v>25</v>
      </c>
      <c r="AL39" t="s">
        <v>25</v>
      </c>
      <c r="AM39" t="s">
        <v>25</v>
      </c>
      <c r="AN39">
        <v>6.5</v>
      </c>
      <c r="AO39">
        <v>5</v>
      </c>
      <c r="AP39">
        <v>5.5</v>
      </c>
      <c r="AQ39">
        <v>6.5</v>
      </c>
      <c r="AR39">
        <v>5.5</v>
      </c>
      <c r="AS39">
        <v>5.5</v>
      </c>
      <c r="AT39" t="s">
        <v>25</v>
      </c>
      <c r="AU39" t="s">
        <v>25</v>
      </c>
      <c r="AV39" t="s">
        <v>25</v>
      </c>
      <c r="AW39" t="s">
        <v>25</v>
      </c>
      <c r="AX39" t="s">
        <v>25</v>
      </c>
      <c r="AY39" t="s">
        <v>25</v>
      </c>
      <c r="AZ39" t="s">
        <v>25</v>
      </c>
      <c r="BA39" t="s">
        <v>25</v>
      </c>
      <c r="BB39" t="s">
        <v>25</v>
      </c>
      <c r="BC39" t="s">
        <v>25</v>
      </c>
      <c r="BD39" t="s">
        <v>25</v>
      </c>
      <c r="BE39" t="s">
        <v>25</v>
      </c>
      <c r="BF39" t="s">
        <v>25</v>
      </c>
      <c r="BG39" t="s">
        <v>25</v>
      </c>
      <c r="BH39" t="s">
        <v>25</v>
      </c>
      <c r="BI39" t="s">
        <v>25</v>
      </c>
      <c r="BJ39" t="s">
        <v>25</v>
      </c>
      <c r="BK39" t="s">
        <v>25</v>
      </c>
      <c r="BL39" t="s">
        <v>25</v>
      </c>
      <c r="BM39" t="s">
        <v>25</v>
      </c>
      <c r="BN39" t="s">
        <v>25</v>
      </c>
      <c r="BO39" t="s">
        <v>25</v>
      </c>
      <c r="BP39" t="s">
        <v>25</v>
      </c>
      <c r="BQ39" t="s">
        <v>25</v>
      </c>
      <c r="BR39" t="s">
        <v>25</v>
      </c>
      <c r="BS39" t="s">
        <v>25</v>
      </c>
      <c r="BT39" t="s">
        <v>25</v>
      </c>
      <c r="BU39" t="s">
        <v>25</v>
      </c>
      <c r="BV39" t="s">
        <v>25</v>
      </c>
      <c r="BW39" t="s">
        <v>25</v>
      </c>
      <c r="BX39" t="s">
        <v>25</v>
      </c>
      <c r="BY39" t="s">
        <v>25</v>
      </c>
      <c r="BZ39" t="s">
        <v>25</v>
      </c>
      <c r="CA39" t="s">
        <v>25</v>
      </c>
      <c r="CB39" t="s">
        <v>25</v>
      </c>
      <c r="CL39">
        <v>6</v>
      </c>
      <c r="DL39">
        <f t="shared" si="2"/>
        <v>8</v>
      </c>
      <c r="DM39" s="18">
        <f t="shared" si="3"/>
        <v>5.75</v>
      </c>
      <c r="DN39">
        <f t="shared" si="4"/>
        <v>0.53452248382484879</v>
      </c>
      <c r="DO39">
        <v>0</v>
      </c>
      <c r="DP39">
        <f t="shared" si="5"/>
        <v>0</v>
      </c>
      <c r="DQ39">
        <f t="shared" si="6"/>
        <v>0</v>
      </c>
    </row>
    <row r="40" spans="1:121" x14ac:dyDescent="0.35">
      <c r="A40" t="s">
        <v>151</v>
      </c>
      <c r="CO40">
        <v>6.5</v>
      </c>
      <c r="CP40">
        <v>7</v>
      </c>
      <c r="CQ40">
        <v>9</v>
      </c>
      <c r="CR40">
        <v>6.5</v>
      </c>
      <c r="CS40">
        <v>5.5</v>
      </c>
      <c r="CT40">
        <v>6.5</v>
      </c>
      <c r="CW40">
        <v>5.5</v>
      </c>
      <c r="CY40">
        <v>6</v>
      </c>
      <c r="CZ40">
        <v>6</v>
      </c>
      <c r="DA40">
        <v>7.5</v>
      </c>
      <c r="DB40">
        <v>7</v>
      </c>
      <c r="DC40">
        <v>7</v>
      </c>
      <c r="DD40">
        <v>9</v>
      </c>
      <c r="DE40">
        <v>5.5</v>
      </c>
      <c r="DF40">
        <v>7.5</v>
      </c>
      <c r="DG40">
        <v>7.5</v>
      </c>
      <c r="DH40">
        <v>7</v>
      </c>
      <c r="DI40">
        <v>7</v>
      </c>
      <c r="DL40">
        <f t="shared" si="2"/>
        <v>18</v>
      </c>
      <c r="DM40" s="18">
        <f t="shared" si="3"/>
        <v>6.8611111111111107</v>
      </c>
      <c r="DN40">
        <f t="shared" si="4"/>
        <v>1.0262088360384556</v>
      </c>
      <c r="DO40">
        <v>1</v>
      </c>
      <c r="DP40">
        <f t="shared" si="5"/>
        <v>3</v>
      </c>
      <c r="DQ40">
        <f t="shared" si="6"/>
        <v>0</v>
      </c>
    </row>
    <row r="41" spans="1:121" x14ac:dyDescent="0.35">
      <c r="A41" t="s">
        <v>99</v>
      </c>
      <c r="B41" t="s">
        <v>25</v>
      </c>
      <c r="C41" t="s">
        <v>25</v>
      </c>
      <c r="D41" t="s">
        <v>25</v>
      </c>
      <c r="E41" t="s">
        <v>25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25</v>
      </c>
      <c r="L41" t="s">
        <v>25</v>
      </c>
      <c r="M41" t="s">
        <v>25</v>
      </c>
      <c r="N41" t="s">
        <v>25</v>
      </c>
      <c r="O41" t="s">
        <v>25</v>
      </c>
      <c r="P41" t="s">
        <v>25</v>
      </c>
      <c r="Q41" t="s">
        <v>25</v>
      </c>
      <c r="R41" t="s">
        <v>25</v>
      </c>
      <c r="S41" t="s">
        <v>25</v>
      </c>
      <c r="T41" t="s">
        <v>25</v>
      </c>
      <c r="U41" t="s">
        <v>25</v>
      </c>
      <c r="V41" t="s">
        <v>25</v>
      </c>
      <c r="W41" t="s">
        <v>25</v>
      </c>
      <c r="X41" t="s">
        <v>25</v>
      </c>
      <c r="Y41" t="s">
        <v>25</v>
      </c>
      <c r="Z41" t="s">
        <v>25</v>
      </c>
      <c r="AA41" t="s">
        <v>25</v>
      </c>
      <c r="AB41" t="s">
        <v>25</v>
      </c>
      <c r="AC41" t="s">
        <v>25</v>
      </c>
      <c r="AD41" t="s">
        <v>25</v>
      </c>
      <c r="AE41" t="s">
        <v>25</v>
      </c>
      <c r="AF41" t="s">
        <v>25</v>
      </c>
      <c r="AG41" t="s">
        <v>25</v>
      </c>
      <c r="AH41" t="s">
        <v>25</v>
      </c>
      <c r="AI41" t="s">
        <v>25</v>
      </c>
      <c r="AJ41" t="s">
        <v>25</v>
      </c>
      <c r="AK41" t="s">
        <v>25</v>
      </c>
      <c r="AL41" t="s">
        <v>25</v>
      </c>
      <c r="AM41" t="s">
        <v>25</v>
      </c>
      <c r="AN41">
        <v>2.5</v>
      </c>
      <c r="AO41" t="s">
        <v>25</v>
      </c>
      <c r="AP41" t="s">
        <v>25</v>
      </c>
      <c r="AQ41" t="s">
        <v>25</v>
      </c>
      <c r="AR41" t="s">
        <v>25</v>
      </c>
      <c r="AS41" t="s">
        <v>25</v>
      </c>
      <c r="AT41" t="s">
        <v>25</v>
      </c>
      <c r="AU41" t="s">
        <v>25</v>
      </c>
      <c r="AV41" t="s">
        <v>25</v>
      </c>
      <c r="AW41" t="s">
        <v>25</v>
      </c>
      <c r="AX41" t="s">
        <v>25</v>
      </c>
      <c r="AY41" t="s">
        <v>25</v>
      </c>
      <c r="AZ41" t="s">
        <v>25</v>
      </c>
      <c r="BA41" t="s">
        <v>25</v>
      </c>
      <c r="BB41" t="s">
        <v>25</v>
      </c>
      <c r="BC41" t="s">
        <v>25</v>
      </c>
      <c r="BD41" t="s">
        <v>25</v>
      </c>
      <c r="BE41" t="s">
        <v>25</v>
      </c>
      <c r="BF41" t="s">
        <v>25</v>
      </c>
      <c r="BG41" t="s">
        <v>25</v>
      </c>
      <c r="BH41" t="s">
        <v>25</v>
      </c>
      <c r="BI41" t="s">
        <v>25</v>
      </c>
      <c r="BJ41" t="s">
        <v>25</v>
      </c>
      <c r="BK41" t="s">
        <v>25</v>
      </c>
      <c r="BL41" t="s">
        <v>25</v>
      </c>
      <c r="BM41" t="s">
        <v>25</v>
      </c>
      <c r="BN41" t="s">
        <v>25</v>
      </c>
      <c r="BO41" t="s">
        <v>25</v>
      </c>
      <c r="BP41" t="s">
        <v>25</v>
      </c>
      <c r="BQ41" t="s">
        <v>25</v>
      </c>
      <c r="BR41" t="s">
        <v>25</v>
      </c>
      <c r="BS41" t="s">
        <v>25</v>
      </c>
      <c r="BT41" t="s">
        <v>25</v>
      </c>
      <c r="BU41" t="s">
        <v>25</v>
      </c>
      <c r="BV41" t="s">
        <v>25</v>
      </c>
      <c r="BW41" t="s">
        <v>25</v>
      </c>
      <c r="BX41" t="s">
        <v>25</v>
      </c>
      <c r="BY41" t="s">
        <v>25</v>
      </c>
      <c r="BZ41" t="s">
        <v>25</v>
      </c>
      <c r="CA41" t="s">
        <v>25</v>
      </c>
      <c r="CB41" t="s">
        <v>25</v>
      </c>
      <c r="CI41">
        <v>6</v>
      </c>
      <c r="CJ41">
        <v>4</v>
      </c>
      <c r="CK41">
        <v>3.5</v>
      </c>
      <c r="CL41">
        <v>5.5</v>
      </c>
      <c r="CM41">
        <v>5.5</v>
      </c>
      <c r="CO41">
        <v>4.5</v>
      </c>
      <c r="DL41">
        <f t="shared" si="2"/>
        <v>7</v>
      </c>
      <c r="DM41" s="18">
        <f t="shared" si="3"/>
        <v>4.5</v>
      </c>
      <c r="DN41">
        <f t="shared" si="4"/>
        <v>1.2583057392117916</v>
      </c>
      <c r="DO41">
        <v>0</v>
      </c>
      <c r="DP41">
        <f t="shared" si="5"/>
        <v>0</v>
      </c>
      <c r="DQ41">
        <f t="shared" si="6"/>
        <v>0</v>
      </c>
    </row>
    <row r="42" spans="1:121" x14ac:dyDescent="0.35">
      <c r="A42" t="s">
        <v>143</v>
      </c>
      <c r="CP42">
        <v>6</v>
      </c>
      <c r="CQ42">
        <v>6.5</v>
      </c>
      <c r="CS42">
        <v>6.5</v>
      </c>
      <c r="CT42">
        <v>7</v>
      </c>
      <c r="CU42">
        <v>3.5</v>
      </c>
      <c r="CV42">
        <v>5.5</v>
      </c>
      <c r="CY42">
        <v>4.5</v>
      </c>
      <c r="DL42">
        <f t="shared" si="2"/>
        <v>7</v>
      </c>
      <c r="DM42" s="18">
        <f t="shared" si="3"/>
        <v>5.6428571428571432</v>
      </c>
      <c r="DN42">
        <f t="shared" si="4"/>
        <v>1.248808956375558</v>
      </c>
      <c r="DO42">
        <v>0</v>
      </c>
      <c r="DP42">
        <f t="shared" si="5"/>
        <v>0</v>
      </c>
      <c r="DQ42">
        <f t="shared" si="6"/>
        <v>0</v>
      </c>
    </row>
    <row r="43" spans="1:121" x14ac:dyDescent="0.35">
      <c r="A43" t="s">
        <v>148</v>
      </c>
      <c r="CP43">
        <v>5.5</v>
      </c>
      <c r="CQ43">
        <v>6</v>
      </c>
      <c r="CS43">
        <v>6</v>
      </c>
      <c r="CV43">
        <v>6.5</v>
      </c>
      <c r="CW43">
        <v>6</v>
      </c>
      <c r="DA43">
        <v>6.5</v>
      </c>
      <c r="DB43">
        <v>6.5</v>
      </c>
      <c r="DC43">
        <v>5.5</v>
      </c>
      <c r="DD43">
        <v>6.5</v>
      </c>
      <c r="DE43">
        <v>5.5</v>
      </c>
      <c r="DF43">
        <v>6</v>
      </c>
      <c r="DI43">
        <v>6</v>
      </c>
      <c r="DL43">
        <f t="shared" si="2"/>
        <v>12</v>
      </c>
      <c r="DM43" s="18">
        <f t="shared" si="3"/>
        <v>6.041666666666667</v>
      </c>
      <c r="DN43">
        <f t="shared" si="4"/>
        <v>0.39648073054937955</v>
      </c>
      <c r="DO43">
        <v>0</v>
      </c>
      <c r="DP43">
        <f t="shared" si="5"/>
        <v>1</v>
      </c>
      <c r="DQ43">
        <f t="shared" si="6"/>
        <v>1</v>
      </c>
    </row>
    <row r="44" spans="1:121" x14ac:dyDescent="0.35">
      <c r="A44" t="s">
        <v>97</v>
      </c>
      <c r="B44" t="s">
        <v>25</v>
      </c>
      <c r="C44" t="s">
        <v>25</v>
      </c>
      <c r="D44" t="s">
        <v>25</v>
      </c>
      <c r="E44" t="s">
        <v>25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25</v>
      </c>
      <c r="L44" t="s">
        <v>25</v>
      </c>
      <c r="M44" t="s">
        <v>25</v>
      </c>
      <c r="N44" t="s">
        <v>25</v>
      </c>
      <c r="O44" t="s">
        <v>25</v>
      </c>
      <c r="P44" t="s">
        <v>25</v>
      </c>
      <c r="Q44" t="s">
        <v>25</v>
      </c>
      <c r="R44" t="s">
        <v>25</v>
      </c>
      <c r="S44" t="s">
        <v>25</v>
      </c>
      <c r="T44" t="s">
        <v>25</v>
      </c>
      <c r="U44" t="s">
        <v>25</v>
      </c>
      <c r="V44" t="s">
        <v>25</v>
      </c>
      <c r="W44" t="s">
        <v>25</v>
      </c>
      <c r="X44" t="s">
        <v>25</v>
      </c>
      <c r="Y44" t="s">
        <v>25</v>
      </c>
      <c r="Z44" t="s">
        <v>25</v>
      </c>
      <c r="AA44" t="s">
        <v>25</v>
      </c>
      <c r="AB44" t="s">
        <v>25</v>
      </c>
      <c r="AC44" t="s">
        <v>25</v>
      </c>
      <c r="AD44" t="s">
        <v>25</v>
      </c>
      <c r="AE44" t="s">
        <v>25</v>
      </c>
      <c r="AF44" t="s">
        <v>25</v>
      </c>
      <c r="AG44" t="s">
        <v>25</v>
      </c>
      <c r="AH44" t="s">
        <v>25</v>
      </c>
      <c r="AI44" t="s">
        <v>25</v>
      </c>
      <c r="AJ44" t="s">
        <v>25</v>
      </c>
      <c r="AK44" t="s">
        <v>25</v>
      </c>
      <c r="AL44" t="s">
        <v>25</v>
      </c>
      <c r="AM44">
        <v>7</v>
      </c>
      <c r="AN44" t="s">
        <v>25</v>
      </c>
      <c r="AO44" t="s">
        <v>25</v>
      </c>
      <c r="AP44" t="s">
        <v>25</v>
      </c>
      <c r="AQ44" t="s">
        <v>25</v>
      </c>
      <c r="AR44" t="s">
        <v>25</v>
      </c>
      <c r="AS44" t="s">
        <v>25</v>
      </c>
      <c r="AT44" t="s">
        <v>25</v>
      </c>
      <c r="AU44" t="s">
        <v>25</v>
      </c>
      <c r="AV44" t="s">
        <v>25</v>
      </c>
      <c r="AW44" t="s">
        <v>25</v>
      </c>
      <c r="AX44" t="s">
        <v>25</v>
      </c>
      <c r="AY44" t="s">
        <v>25</v>
      </c>
      <c r="AZ44" t="s">
        <v>25</v>
      </c>
      <c r="BA44">
        <v>4</v>
      </c>
      <c r="BB44" t="s">
        <v>25</v>
      </c>
      <c r="BC44" t="s">
        <v>25</v>
      </c>
      <c r="BD44" t="s">
        <v>25</v>
      </c>
      <c r="BE44" t="s">
        <v>25</v>
      </c>
      <c r="BF44" t="s">
        <v>25</v>
      </c>
      <c r="BG44" t="s">
        <v>25</v>
      </c>
      <c r="BH44" t="s">
        <v>25</v>
      </c>
      <c r="BI44" t="s">
        <v>25</v>
      </c>
      <c r="BJ44" t="s">
        <v>25</v>
      </c>
      <c r="BK44" t="s">
        <v>25</v>
      </c>
      <c r="BL44" t="s">
        <v>25</v>
      </c>
      <c r="BM44" t="s">
        <v>25</v>
      </c>
      <c r="BN44" t="s">
        <v>25</v>
      </c>
      <c r="BO44" t="s">
        <v>25</v>
      </c>
      <c r="BP44" t="s">
        <v>25</v>
      </c>
      <c r="BQ44" t="s">
        <v>25</v>
      </c>
      <c r="BR44" t="s">
        <v>25</v>
      </c>
      <c r="BS44" t="s">
        <v>25</v>
      </c>
      <c r="BT44" t="s">
        <v>25</v>
      </c>
      <c r="BU44" t="s">
        <v>25</v>
      </c>
      <c r="BV44" t="s">
        <v>25</v>
      </c>
      <c r="BW44" t="s">
        <v>25</v>
      </c>
      <c r="BX44" t="s">
        <v>25</v>
      </c>
      <c r="BY44" t="s">
        <v>25</v>
      </c>
      <c r="BZ44" t="s">
        <v>25</v>
      </c>
      <c r="CA44" t="s">
        <v>25</v>
      </c>
      <c r="CB44" t="s">
        <v>25</v>
      </c>
      <c r="CJ44">
        <v>5.5</v>
      </c>
      <c r="CO44">
        <v>6</v>
      </c>
      <c r="CU44">
        <v>5.5</v>
      </c>
      <c r="DJ44">
        <v>6</v>
      </c>
      <c r="DL44">
        <f t="shared" si="2"/>
        <v>5</v>
      </c>
      <c r="DM44" s="18">
        <f t="shared" si="3"/>
        <v>5.6</v>
      </c>
      <c r="DN44">
        <f t="shared" si="4"/>
        <v>1.0839741694339387</v>
      </c>
      <c r="DO44">
        <v>0</v>
      </c>
      <c r="DP44">
        <f t="shared" si="5"/>
        <v>0</v>
      </c>
      <c r="DQ44">
        <f t="shared" si="6"/>
        <v>0</v>
      </c>
    </row>
    <row r="45" spans="1:121" x14ac:dyDescent="0.35">
      <c r="A45" t="s">
        <v>141</v>
      </c>
      <c r="B45" t="s">
        <v>25</v>
      </c>
      <c r="C45" t="s">
        <v>25</v>
      </c>
      <c r="D45" t="s">
        <v>25</v>
      </c>
      <c r="E45" t="s">
        <v>25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25</v>
      </c>
      <c r="L45" t="s">
        <v>25</v>
      </c>
      <c r="M45" t="s">
        <v>25</v>
      </c>
      <c r="N45" t="s">
        <v>25</v>
      </c>
      <c r="O45" t="s">
        <v>25</v>
      </c>
      <c r="P45" t="s">
        <v>25</v>
      </c>
      <c r="Q45" t="s">
        <v>25</v>
      </c>
      <c r="R45" t="s">
        <v>25</v>
      </c>
      <c r="S45" t="s">
        <v>25</v>
      </c>
      <c r="T45" t="s">
        <v>25</v>
      </c>
      <c r="U45" t="s">
        <v>25</v>
      </c>
      <c r="V45" t="s">
        <v>25</v>
      </c>
      <c r="W45" t="s">
        <v>25</v>
      </c>
      <c r="X45" t="s">
        <v>25</v>
      </c>
      <c r="Y45" t="s">
        <v>25</v>
      </c>
      <c r="Z45" t="s">
        <v>25</v>
      </c>
      <c r="AA45" t="s">
        <v>25</v>
      </c>
      <c r="AB45" t="s">
        <v>25</v>
      </c>
      <c r="AC45" t="s">
        <v>25</v>
      </c>
      <c r="AD45" t="s">
        <v>25</v>
      </c>
      <c r="AE45" t="s">
        <v>25</v>
      </c>
      <c r="AF45" t="s">
        <v>25</v>
      </c>
      <c r="AG45" t="s">
        <v>25</v>
      </c>
      <c r="AH45" t="s">
        <v>25</v>
      </c>
      <c r="AI45" t="s">
        <v>25</v>
      </c>
      <c r="AJ45" t="s">
        <v>25</v>
      </c>
      <c r="AK45" t="s">
        <v>25</v>
      </c>
      <c r="AL45" t="s">
        <v>25</v>
      </c>
      <c r="AM45" t="s">
        <v>25</v>
      </c>
      <c r="AN45" t="s">
        <v>25</v>
      </c>
      <c r="AO45" t="s">
        <v>25</v>
      </c>
      <c r="AP45" t="s">
        <v>25</v>
      </c>
      <c r="AQ45" t="s">
        <v>25</v>
      </c>
      <c r="AR45" t="s">
        <v>25</v>
      </c>
      <c r="AS45" t="s">
        <v>25</v>
      </c>
      <c r="AT45" t="s">
        <v>25</v>
      </c>
      <c r="AU45" t="s">
        <v>25</v>
      </c>
      <c r="AV45" t="s">
        <v>25</v>
      </c>
      <c r="AW45" t="s">
        <v>25</v>
      </c>
      <c r="AX45" t="s">
        <v>25</v>
      </c>
      <c r="AY45" t="s">
        <v>25</v>
      </c>
      <c r="AZ45" t="s">
        <v>25</v>
      </c>
      <c r="BA45" t="s">
        <v>25</v>
      </c>
      <c r="BB45" t="s">
        <v>25</v>
      </c>
      <c r="BC45" t="s">
        <v>25</v>
      </c>
      <c r="BD45" t="s">
        <v>25</v>
      </c>
      <c r="BE45" t="s">
        <v>25</v>
      </c>
      <c r="BF45" t="s">
        <v>25</v>
      </c>
      <c r="BG45" t="s">
        <v>25</v>
      </c>
      <c r="BH45" t="s">
        <v>25</v>
      </c>
      <c r="BI45" t="s">
        <v>25</v>
      </c>
      <c r="BJ45" t="s">
        <v>25</v>
      </c>
      <c r="BK45" t="s">
        <v>25</v>
      </c>
      <c r="BL45" t="s">
        <v>25</v>
      </c>
      <c r="BM45" t="s">
        <v>25</v>
      </c>
      <c r="BN45" t="s">
        <v>25</v>
      </c>
      <c r="BO45" t="s">
        <v>25</v>
      </c>
      <c r="BP45" t="s">
        <v>25</v>
      </c>
      <c r="BQ45" t="s">
        <v>25</v>
      </c>
      <c r="BR45" t="s">
        <v>25</v>
      </c>
      <c r="BS45" t="s">
        <v>25</v>
      </c>
      <c r="BT45" t="s">
        <v>25</v>
      </c>
      <c r="BU45" t="s">
        <v>25</v>
      </c>
      <c r="BV45" t="s">
        <v>25</v>
      </c>
      <c r="BW45" t="s">
        <v>25</v>
      </c>
      <c r="BX45" t="s">
        <v>25</v>
      </c>
      <c r="BY45" t="s">
        <v>25</v>
      </c>
      <c r="BZ45" t="s">
        <v>25</v>
      </c>
      <c r="CA45" t="s">
        <v>25</v>
      </c>
      <c r="CB45" t="s">
        <v>25</v>
      </c>
      <c r="CE45">
        <v>7</v>
      </c>
      <c r="CH45">
        <v>7</v>
      </c>
      <c r="CS45">
        <v>6.5</v>
      </c>
      <c r="CT45">
        <v>6</v>
      </c>
      <c r="CU45">
        <v>6</v>
      </c>
      <c r="DL45">
        <f t="shared" si="2"/>
        <v>5</v>
      </c>
      <c r="DM45" s="18">
        <f t="shared" si="3"/>
        <v>6.5</v>
      </c>
      <c r="DN45">
        <f t="shared" si="4"/>
        <v>0.5</v>
      </c>
      <c r="DO45">
        <v>0</v>
      </c>
      <c r="DP45">
        <f t="shared" si="5"/>
        <v>0</v>
      </c>
      <c r="DQ45">
        <f t="shared" si="6"/>
        <v>0</v>
      </c>
    </row>
    <row r="46" spans="1:121" x14ac:dyDescent="0.35">
      <c r="A46" t="s">
        <v>23</v>
      </c>
      <c r="B46" t="s">
        <v>25</v>
      </c>
      <c r="C46" t="s">
        <v>25</v>
      </c>
      <c r="D46" t="s">
        <v>25</v>
      </c>
      <c r="E46">
        <v>8</v>
      </c>
      <c r="F46" t="s">
        <v>25</v>
      </c>
      <c r="G46" t="s">
        <v>25</v>
      </c>
      <c r="H46" t="s">
        <v>25</v>
      </c>
      <c r="I46" t="s">
        <v>25</v>
      </c>
      <c r="J46">
        <v>9.5</v>
      </c>
      <c r="K46" t="s">
        <v>25</v>
      </c>
      <c r="L46">
        <v>8</v>
      </c>
      <c r="M46" t="s">
        <v>25</v>
      </c>
      <c r="N46">
        <v>7</v>
      </c>
      <c r="O46" t="s">
        <v>25</v>
      </c>
      <c r="P46" t="s">
        <v>25</v>
      </c>
      <c r="Q46" t="s">
        <v>25</v>
      </c>
      <c r="R46" t="s">
        <v>25</v>
      </c>
      <c r="S46" t="s">
        <v>25</v>
      </c>
      <c r="T46" t="s">
        <v>25</v>
      </c>
      <c r="U46" t="s">
        <v>25</v>
      </c>
      <c r="V46" t="s">
        <v>25</v>
      </c>
      <c r="W46" t="s">
        <v>25</v>
      </c>
      <c r="X46" t="s">
        <v>25</v>
      </c>
      <c r="Y46" t="s">
        <v>25</v>
      </c>
      <c r="Z46" t="s">
        <v>25</v>
      </c>
      <c r="AA46" t="s">
        <v>25</v>
      </c>
      <c r="AB46" t="s">
        <v>25</v>
      </c>
      <c r="AC46" t="s">
        <v>25</v>
      </c>
      <c r="AD46" t="s">
        <v>25</v>
      </c>
      <c r="AE46" t="s">
        <v>25</v>
      </c>
      <c r="AF46" t="s">
        <v>25</v>
      </c>
      <c r="AG46" t="s">
        <v>25</v>
      </c>
      <c r="AH46" t="s">
        <v>25</v>
      </c>
      <c r="AI46" t="s">
        <v>25</v>
      </c>
      <c r="AJ46" t="s">
        <v>25</v>
      </c>
      <c r="AK46" t="s">
        <v>25</v>
      </c>
      <c r="AL46" t="s">
        <v>25</v>
      </c>
      <c r="AM46" t="s">
        <v>25</v>
      </c>
      <c r="AN46" t="s">
        <v>25</v>
      </c>
      <c r="AO46" t="s">
        <v>25</v>
      </c>
      <c r="AP46" t="s">
        <v>25</v>
      </c>
      <c r="AQ46" t="s">
        <v>25</v>
      </c>
      <c r="AR46" t="s">
        <v>25</v>
      </c>
      <c r="AS46" t="s">
        <v>25</v>
      </c>
      <c r="AT46" t="s">
        <v>25</v>
      </c>
      <c r="AU46" t="s">
        <v>25</v>
      </c>
      <c r="AV46" t="s">
        <v>25</v>
      </c>
      <c r="AW46" t="s">
        <v>25</v>
      </c>
      <c r="AX46" t="s">
        <v>25</v>
      </c>
      <c r="AY46" t="s">
        <v>25</v>
      </c>
      <c r="AZ46" t="s">
        <v>25</v>
      </c>
      <c r="BA46" t="s">
        <v>25</v>
      </c>
      <c r="BB46" t="s">
        <v>25</v>
      </c>
      <c r="BC46" t="s">
        <v>25</v>
      </c>
      <c r="BD46" t="s">
        <v>25</v>
      </c>
      <c r="BE46" t="s">
        <v>25</v>
      </c>
      <c r="BF46" t="s">
        <v>25</v>
      </c>
      <c r="BG46" t="s">
        <v>25</v>
      </c>
      <c r="BH46" t="s">
        <v>25</v>
      </c>
      <c r="BI46" t="s">
        <v>25</v>
      </c>
      <c r="BJ46" t="s">
        <v>25</v>
      </c>
      <c r="BK46" t="s">
        <v>25</v>
      </c>
      <c r="BL46" t="s">
        <v>25</v>
      </c>
      <c r="BM46" t="s">
        <v>25</v>
      </c>
      <c r="BN46" t="s">
        <v>25</v>
      </c>
      <c r="BO46" t="s">
        <v>25</v>
      </c>
      <c r="BP46" t="s">
        <v>25</v>
      </c>
      <c r="BQ46" t="s">
        <v>25</v>
      </c>
      <c r="BR46" t="s">
        <v>25</v>
      </c>
      <c r="BS46" t="s">
        <v>25</v>
      </c>
      <c r="BT46" t="s">
        <v>25</v>
      </c>
      <c r="BU46" t="s">
        <v>25</v>
      </c>
      <c r="BV46" t="s">
        <v>25</v>
      </c>
      <c r="BW46" t="s">
        <v>25</v>
      </c>
      <c r="BX46" t="s">
        <v>25</v>
      </c>
      <c r="BY46" t="s">
        <v>25</v>
      </c>
      <c r="BZ46" t="s">
        <v>25</v>
      </c>
      <c r="CA46" t="s">
        <v>25</v>
      </c>
      <c r="CB46" t="s">
        <v>25</v>
      </c>
      <c r="CH46">
        <v>6.5</v>
      </c>
      <c r="DL46">
        <f t="shared" si="2"/>
        <v>5</v>
      </c>
      <c r="DM46" s="18">
        <f t="shared" si="3"/>
        <v>7.8</v>
      </c>
      <c r="DN46">
        <f t="shared" si="4"/>
        <v>1.1510864433221351</v>
      </c>
      <c r="DO46">
        <v>0</v>
      </c>
      <c r="DP46">
        <f t="shared" si="5"/>
        <v>0</v>
      </c>
      <c r="DQ46">
        <f t="shared" si="6"/>
        <v>0</v>
      </c>
    </row>
    <row r="47" spans="1:121" x14ac:dyDescent="0.35">
      <c r="A47" t="s">
        <v>59</v>
      </c>
      <c r="B47" t="s">
        <v>25</v>
      </c>
      <c r="C47" t="s">
        <v>25</v>
      </c>
      <c r="D47" t="s">
        <v>25</v>
      </c>
      <c r="E47" t="s">
        <v>25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25</v>
      </c>
      <c r="L47" t="s">
        <v>25</v>
      </c>
      <c r="M47" t="s">
        <v>25</v>
      </c>
      <c r="N47" t="s">
        <v>25</v>
      </c>
      <c r="O47" t="s">
        <v>25</v>
      </c>
      <c r="P47" t="s">
        <v>25</v>
      </c>
      <c r="Q47" t="s">
        <v>25</v>
      </c>
      <c r="R47">
        <v>3.5</v>
      </c>
      <c r="S47" t="s">
        <v>25</v>
      </c>
      <c r="T47">
        <v>3</v>
      </c>
      <c r="U47">
        <v>3</v>
      </c>
      <c r="V47" t="s">
        <v>25</v>
      </c>
      <c r="W47" t="s">
        <v>25</v>
      </c>
      <c r="X47" t="s">
        <v>25</v>
      </c>
      <c r="Y47" t="s">
        <v>25</v>
      </c>
      <c r="Z47" t="s">
        <v>25</v>
      </c>
      <c r="AA47" t="s">
        <v>25</v>
      </c>
      <c r="AB47" t="s">
        <v>25</v>
      </c>
      <c r="AC47" t="s">
        <v>25</v>
      </c>
      <c r="AD47" t="s">
        <v>25</v>
      </c>
      <c r="AE47" t="s">
        <v>25</v>
      </c>
      <c r="AF47" t="s">
        <v>25</v>
      </c>
      <c r="AG47" t="s">
        <v>25</v>
      </c>
      <c r="AH47" t="s">
        <v>25</v>
      </c>
      <c r="AI47" t="s">
        <v>25</v>
      </c>
      <c r="AJ47" t="s">
        <v>25</v>
      </c>
      <c r="AK47" t="s">
        <v>25</v>
      </c>
      <c r="AL47" t="s">
        <v>25</v>
      </c>
      <c r="AM47" t="s">
        <v>25</v>
      </c>
      <c r="AN47" t="s">
        <v>25</v>
      </c>
      <c r="AO47" t="s">
        <v>25</v>
      </c>
      <c r="AP47" t="s">
        <v>25</v>
      </c>
      <c r="AQ47" t="s">
        <v>25</v>
      </c>
      <c r="AR47" t="s">
        <v>25</v>
      </c>
      <c r="AS47" t="s">
        <v>25</v>
      </c>
      <c r="AT47" t="s">
        <v>25</v>
      </c>
      <c r="AU47" t="s">
        <v>25</v>
      </c>
      <c r="AV47" t="s">
        <v>25</v>
      </c>
      <c r="AW47" t="s">
        <v>25</v>
      </c>
      <c r="AX47" t="s">
        <v>25</v>
      </c>
      <c r="AY47" t="s">
        <v>25</v>
      </c>
      <c r="AZ47" t="s">
        <v>25</v>
      </c>
      <c r="BA47" t="s">
        <v>25</v>
      </c>
      <c r="BB47" t="s">
        <v>25</v>
      </c>
      <c r="BC47" t="s">
        <v>25</v>
      </c>
      <c r="BD47" t="s">
        <v>25</v>
      </c>
      <c r="BE47" t="s">
        <v>25</v>
      </c>
      <c r="BF47" t="s">
        <v>25</v>
      </c>
      <c r="BG47" t="s">
        <v>25</v>
      </c>
      <c r="BH47" t="s">
        <v>25</v>
      </c>
      <c r="BI47" t="s">
        <v>25</v>
      </c>
      <c r="BJ47" t="s">
        <v>25</v>
      </c>
      <c r="BK47" t="s">
        <v>25</v>
      </c>
      <c r="BL47" t="s">
        <v>25</v>
      </c>
      <c r="BM47" t="s">
        <v>25</v>
      </c>
      <c r="BN47" t="s">
        <v>25</v>
      </c>
      <c r="BO47" t="s">
        <v>25</v>
      </c>
      <c r="BP47" t="s">
        <v>25</v>
      </c>
      <c r="BQ47" t="s">
        <v>25</v>
      </c>
      <c r="BR47" t="s">
        <v>25</v>
      </c>
      <c r="BS47" t="s">
        <v>25</v>
      </c>
      <c r="BT47" t="s">
        <v>25</v>
      </c>
      <c r="BU47" t="s">
        <v>25</v>
      </c>
      <c r="BV47" t="s">
        <v>25</v>
      </c>
      <c r="BW47" t="s">
        <v>25</v>
      </c>
      <c r="BX47" t="s">
        <v>25</v>
      </c>
      <c r="BY47">
        <v>4</v>
      </c>
      <c r="BZ47" t="s">
        <v>25</v>
      </c>
      <c r="CA47" t="s">
        <v>25</v>
      </c>
      <c r="CB47" t="s">
        <v>25</v>
      </c>
      <c r="CM47">
        <v>5.5</v>
      </c>
      <c r="DJ47">
        <v>5.5</v>
      </c>
      <c r="DL47">
        <f t="shared" si="2"/>
        <v>5</v>
      </c>
      <c r="DM47" s="18">
        <f t="shared" si="3"/>
        <v>3.8</v>
      </c>
      <c r="DN47">
        <f t="shared" si="4"/>
        <v>1.0368220676663857</v>
      </c>
      <c r="DO47">
        <v>0</v>
      </c>
      <c r="DP47">
        <f t="shared" si="5"/>
        <v>0</v>
      </c>
      <c r="DQ47">
        <f t="shared" si="6"/>
        <v>0</v>
      </c>
    </row>
    <row r="48" spans="1:121" x14ac:dyDescent="0.35">
      <c r="A48" t="s">
        <v>115</v>
      </c>
      <c r="B48" t="s">
        <v>25</v>
      </c>
      <c r="C48" t="s">
        <v>25</v>
      </c>
      <c r="D48" t="s">
        <v>25</v>
      </c>
      <c r="E48" t="s">
        <v>25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25</v>
      </c>
      <c r="L48" t="s">
        <v>25</v>
      </c>
      <c r="M48" t="s">
        <v>25</v>
      </c>
      <c r="N48" t="s">
        <v>25</v>
      </c>
      <c r="O48" t="s">
        <v>25</v>
      </c>
      <c r="P48" t="s">
        <v>25</v>
      </c>
      <c r="Q48" t="s">
        <v>25</v>
      </c>
      <c r="R48" t="s">
        <v>25</v>
      </c>
      <c r="S48" t="s">
        <v>25</v>
      </c>
      <c r="T48" t="s">
        <v>25</v>
      </c>
      <c r="U48" t="s">
        <v>25</v>
      </c>
      <c r="V48" t="s">
        <v>25</v>
      </c>
      <c r="W48" t="s">
        <v>25</v>
      </c>
      <c r="X48" t="s">
        <v>25</v>
      </c>
      <c r="Y48" t="s">
        <v>25</v>
      </c>
      <c r="Z48" t="s">
        <v>25</v>
      </c>
      <c r="AA48" t="s">
        <v>25</v>
      </c>
      <c r="AB48" t="s">
        <v>25</v>
      </c>
      <c r="AC48" t="s">
        <v>25</v>
      </c>
      <c r="AD48" t="s">
        <v>25</v>
      </c>
      <c r="AE48" t="s">
        <v>25</v>
      </c>
      <c r="AF48" t="s">
        <v>25</v>
      </c>
      <c r="AG48" t="s">
        <v>25</v>
      </c>
      <c r="AH48" t="s">
        <v>25</v>
      </c>
      <c r="AI48" t="s">
        <v>25</v>
      </c>
      <c r="AJ48" t="s">
        <v>25</v>
      </c>
      <c r="AK48" t="s">
        <v>25</v>
      </c>
      <c r="AL48" t="s">
        <v>25</v>
      </c>
      <c r="AM48" t="s">
        <v>25</v>
      </c>
      <c r="AN48" t="s">
        <v>25</v>
      </c>
      <c r="AO48" t="s">
        <v>25</v>
      </c>
      <c r="AP48" t="s">
        <v>25</v>
      </c>
      <c r="AQ48" t="s">
        <v>25</v>
      </c>
      <c r="AR48" t="s">
        <v>25</v>
      </c>
      <c r="AS48" t="s">
        <v>25</v>
      </c>
      <c r="AT48" t="s">
        <v>25</v>
      </c>
      <c r="AU48" t="s">
        <v>25</v>
      </c>
      <c r="AV48" t="s">
        <v>25</v>
      </c>
      <c r="AW48" t="s">
        <v>25</v>
      </c>
      <c r="AX48" t="s">
        <v>25</v>
      </c>
      <c r="AY48" t="s">
        <v>25</v>
      </c>
      <c r="AZ48" t="s">
        <v>25</v>
      </c>
      <c r="BA48">
        <v>6.5</v>
      </c>
      <c r="BB48" t="s">
        <v>25</v>
      </c>
      <c r="BC48" t="s">
        <v>25</v>
      </c>
      <c r="BD48" t="s">
        <v>25</v>
      </c>
      <c r="BE48" t="s">
        <v>25</v>
      </c>
      <c r="BF48" t="s">
        <v>25</v>
      </c>
      <c r="BG48" t="s">
        <v>25</v>
      </c>
      <c r="BH48" t="s">
        <v>25</v>
      </c>
      <c r="BI48" t="s">
        <v>25</v>
      </c>
      <c r="BJ48">
        <v>6.5</v>
      </c>
      <c r="BK48" t="s">
        <v>25</v>
      </c>
      <c r="BL48" t="s">
        <v>25</v>
      </c>
      <c r="BM48" t="s">
        <v>25</v>
      </c>
      <c r="BN48" t="s">
        <v>25</v>
      </c>
      <c r="BO48" t="s">
        <v>25</v>
      </c>
      <c r="BP48" t="s">
        <v>25</v>
      </c>
      <c r="BQ48" t="s">
        <v>25</v>
      </c>
      <c r="BR48" t="s">
        <v>25</v>
      </c>
      <c r="BS48" t="s">
        <v>25</v>
      </c>
      <c r="BT48" t="s">
        <v>25</v>
      </c>
      <c r="BU48" t="s">
        <v>25</v>
      </c>
      <c r="BV48" t="s">
        <v>25</v>
      </c>
      <c r="BW48" t="s">
        <v>25</v>
      </c>
      <c r="BX48" t="s">
        <v>25</v>
      </c>
      <c r="BY48" t="s">
        <v>25</v>
      </c>
      <c r="BZ48" t="s">
        <v>25</v>
      </c>
      <c r="CA48" t="s">
        <v>25</v>
      </c>
      <c r="CB48" t="s">
        <v>25</v>
      </c>
      <c r="CL48">
        <v>6.5</v>
      </c>
      <c r="CM48">
        <v>5.5</v>
      </c>
      <c r="CN48">
        <v>6</v>
      </c>
      <c r="DL48">
        <f t="shared" si="2"/>
        <v>5</v>
      </c>
      <c r="DM48" s="18">
        <f t="shared" si="3"/>
        <v>6.2</v>
      </c>
      <c r="DN48">
        <f t="shared" si="4"/>
        <v>0.44721359549995793</v>
      </c>
      <c r="DO48">
        <v>0</v>
      </c>
      <c r="DP48">
        <f t="shared" si="5"/>
        <v>0</v>
      </c>
      <c r="DQ48">
        <f t="shared" si="6"/>
        <v>0</v>
      </c>
    </row>
    <row r="49" spans="1:121" x14ac:dyDescent="0.35">
      <c r="A49" t="s">
        <v>53</v>
      </c>
      <c r="B49" t="s">
        <v>25</v>
      </c>
      <c r="C49" t="s">
        <v>25</v>
      </c>
      <c r="D49" t="s">
        <v>25</v>
      </c>
      <c r="E49" t="s">
        <v>25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25</v>
      </c>
      <c r="L49" t="s">
        <v>25</v>
      </c>
      <c r="M49">
        <v>5.5</v>
      </c>
      <c r="N49" t="s">
        <v>25</v>
      </c>
      <c r="O49" t="s">
        <v>25</v>
      </c>
      <c r="P49" t="s">
        <v>25</v>
      </c>
      <c r="Q49" t="s">
        <v>25</v>
      </c>
      <c r="R49" t="s">
        <v>25</v>
      </c>
      <c r="S49" t="s">
        <v>25</v>
      </c>
      <c r="T49" t="s">
        <v>25</v>
      </c>
      <c r="U49" t="s">
        <v>25</v>
      </c>
      <c r="V49">
        <v>7</v>
      </c>
      <c r="W49">
        <v>8</v>
      </c>
      <c r="X49" t="s">
        <v>25</v>
      </c>
      <c r="Y49" t="s">
        <v>25</v>
      </c>
      <c r="Z49" t="s">
        <v>25</v>
      </c>
      <c r="AA49" t="s">
        <v>25</v>
      </c>
      <c r="AB49" t="s">
        <v>25</v>
      </c>
      <c r="AC49" t="s">
        <v>25</v>
      </c>
      <c r="AD49" t="s">
        <v>25</v>
      </c>
      <c r="AE49" t="s">
        <v>25</v>
      </c>
      <c r="AF49" t="s">
        <v>25</v>
      </c>
      <c r="AG49" t="s">
        <v>25</v>
      </c>
      <c r="AH49" t="s">
        <v>25</v>
      </c>
      <c r="AI49" t="s">
        <v>25</v>
      </c>
      <c r="AJ49" t="s">
        <v>25</v>
      </c>
      <c r="AK49" t="s">
        <v>25</v>
      </c>
      <c r="AL49" t="s">
        <v>25</v>
      </c>
      <c r="AM49" t="s">
        <v>25</v>
      </c>
      <c r="AN49" t="s">
        <v>25</v>
      </c>
      <c r="AO49">
        <v>6.5</v>
      </c>
      <c r="AP49" t="s">
        <v>25</v>
      </c>
      <c r="AQ49" t="s">
        <v>25</v>
      </c>
      <c r="AR49" t="s">
        <v>25</v>
      </c>
      <c r="AS49" t="s">
        <v>25</v>
      </c>
      <c r="AT49" t="s">
        <v>25</v>
      </c>
      <c r="AU49" t="s">
        <v>25</v>
      </c>
      <c r="AV49" t="s">
        <v>25</v>
      </c>
      <c r="AW49" t="s">
        <v>25</v>
      </c>
      <c r="AX49" t="s">
        <v>25</v>
      </c>
      <c r="AY49" t="s">
        <v>25</v>
      </c>
      <c r="AZ49" t="s">
        <v>25</v>
      </c>
      <c r="BA49" t="s">
        <v>25</v>
      </c>
      <c r="BB49" t="s">
        <v>25</v>
      </c>
      <c r="BC49" t="s">
        <v>25</v>
      </c>
      <c r="BD49" t="s">
        <v>25</v>
      </c>
      <c r="BE49" t="s">
        <v>25</v>
      </c>
      <c r="BF49" t="s">
        <v>25</v>
      </c>
      <c r="BG49" t="s">
        <v>25</v>
      </c>
      <c r="BH49" t="s">
        <v>25</v>
      </c>
      <c r="BI49" t="s">
        <v>25</v>
      </c>
      <c r="BJ49" t="s">
        <v>25</v>
      </c>
      <c r="BK49" t="s">
        <v>25</v>
      </c>
      <c r="BL49" t="s">
        <v>25</v>
      </c>
      <c r="BM49" t="s">
        <v>25</v>
      </c>
      <c r="BN49" t="s">
        <v>25</v>
      </c>
      <c r="BO49" t="s">
        <v>25</v>
      </c>
      <c r="BP49" t="s">
        <v>25</v>
      </c>
      <c r="BQ49" t="s">
        <v>25</v>
      </c>
      <c r="BR49" t="s">
        <v>25</v>
      </c>
      <c r="BS49" t="s">
        <v>25</v>
      </c>
      <c r="BT49" t="s">
        <v>25</v>
      </c>
      <c r="BU49" t="s">
        <v>25</v>
      </c>
      <c r="BV49" t="s">
        <v>25</v>
      </c>
      <c r="BW49" t="s">
        <v>25</v>
      </c>
      <c r="BX49" t="s">
        <v>25</v>
      </c>
      <c r="BY49" t="s">
        <v>25</v>
      </c>
      <c r="BZ49" t="s">
        <v>25</v>
      </c>
      <c r="CA49" t="s">
        <v>25</v>
      </c>
      <c r="CB49" t="s">
        <v>25</v>
      </c>
      <c r="CY49">
        <v>5.5</v>
      </c>
      <c r="DL49">
        <f t="shared" si="2"/>
        <v>5</v>
      </c>
      <c r="DM49" s="18">
        <f t="shared" si="3"/>
        <v>6.5</v>
      </c>
      <c r="DN49">
        <f t="shared" si="4"/>
        <v>1.0606601717798212</v>
      </c>
      <c r="DO49">
        <v>0</v>
      </c>
      <c r="DP49">
        <f t="shared" si="5"/>
        <v>0</v>
      </c>
      <c r="DQ49">
        <f t="shared" si="6"/>
        <v>0</v>
      </c>
    </row>
    <row r="50" spans="1:121" x14ac:dyDescent="0.35">
      <c r="A50" t="s">
        <v>51</v>
      </c>
      <c r="B50" t="s">
        <v>25</v>
      </c>
      <c r="C50" t="s">
        <v>25</v>
      </c>
      <c r="D50" t="s">
        <v>25</v>
      </c>
      <c r="E50" t="s">
        <v>25</v>
      </c>
      <c r="F50" t="s">
        <v>25</v>
      </c>
      <c r="G50" t="s">
        <v>25</v>
      </c>
      <c r="H50" t="s">
        <v>25</v>
      </c>
      <c r="I50" t="s">
        <v>25</v>
      </c>
      <c r="J50">
        <v>5.5</v>
      </c>
      <c r="K50" t="s">
        <v>25</v>
      </c>
      <c r="L50" t="s">
        <v>25</v>
      </c>
      <c r="M50" t="s">
        <v>25</v>
      </c>
      <c r="N50" t="s">
        <v>25</v>
      </c>
      <c r="O50" t="s">
        <v>25</v>
      </c>
      <c r="P50" t="s">
        <v>25</v>
      </c>
      <c r="Q50" t="s">
        <v>25</v>
      </c>
      <c r="R50" t="s">
        <v>25</v>
      </c>
      <c r="S50" t="s">
        <v>25</v>
      </c>
      <c r="T50" t="s">
        <v>25</v>
      </c>
      <c r="U50" t="s">
        <v>25</v>
      </c>
      <c r="V50" t="s">
        <v>25</v>
      </c>
      <c r="W50" t="s">
        <v>25</v>
      </c>
      <c r="X50" t="s">
        <v>25</v>
      </c>
      <c r="Y50" t="s">
        <v>25</v>
      </c>
      <c r="Z50" t="s">
        <v>25</v>
      </c>
      <c r="AA50" t="s">
        <v>25</v>
      </c>
      <c r="AB50" t="s">
        <v>25</v>
      </c>
      <c r="AC50" t="s">
        <v>25</v>
      </c>
      <c r="AD50" t="s">
        <v>25</v>
      </c>
      <c r="AE50" t="s">
        <v>25</v>
      </c>
      <c r="AF50" t="s">
        <v>25</v>
      </c>
      <c r="AG50" t="s">
        <v>25</v>
      </c>
      <c r="AH50" t="s">
        <v>25</v>
      </c>
      <c r="AI50" t="s">
        <v>25</v>
      </c>
      <c r="AJ50" t="s">
        <v>25</v>
      </c>
      <c r="AK50" t="s">
        <v>25</v>
      </c>
      <c r="AL50" t="s">
        <v>25</v>
      </c>
      <c r="AM50" t="s">
        <v>25</v>
      </c>
      <c r="AN50" t="s">
        <v>25</v>
      </c>
      <c r="AO50" t="s">
        <v>25</v>
      </c>
      <c r="AP50" t="s">
        <v>25</v>
      </c>
      <c r="AQ50" t="s">
        <v>25</v>
      </c>
      <c r="AR50" t="s">
        <v>25</v>
      </c>
      <c r="AS50" t="s">
        <v>25</v>
      </c>
      <c r="AT50" t="s">
        <v>25</v>
      </c>
      <c r="AU50" t="s">
        <v>25</v>
      </c>
      <c r="AV50" t="s">
        <v>25</v>
      </c>
      <c r="AW50" t="s">
        <v>25</v>
      </c>
      <c r="AX50" t="s">
        <v>25</v>
      </c>
      <c r="AY50" t="s">
        <v>25</v>
      </c>
      <c r="AZ50" t="s">
        <v>25</v>
      </c>
      <c r="BA50" t="s">
        <v>25</v>
      </c>
      <c r="BB50" t="s">
        <v>25</v>
      </c>
      <c r="BC50" t="s">
        <v>25</v>
      </c>
      <c r="BD50" t="s">
        <v>25</v>
      </c>
      <c r="BE50" t="s">
        <v>25</v>
      </c>
      <c r="BF50" t="s">
        <v>25</v>
      </c>
      <c r="BG50" t="s">
        <v>25</v>
      </c>
      <c r="BH50" t="s">
        <v>25</v>
      </c>
      <c r="BI50" t="s">
        <v>25</v>
      </c>
      <c r="BJ50" t="s">
        <v>25</v>
      </c>
      <c r="BK50" t="s">
        <v>25</v>
      </c>
      <c r="BL50" t="s">
        <v>25</v>
      </c>
      <c r="BM50" t="s">
        <v>25</v>
      </c>
      <c r="BN50" t="s">
        <v>25</v>
      </c>
      <c r="BO50" t="s">
        <v>25</v>
      </c>
      <c r="BP50" t="s">
        <v>25</v>
      </c>
      <c r="BQ50" t="s">
        <v>25</v>
      </c>
      <c r="BR50" t="s">
        <v>25</v>
      </c>
      <c r="BS50" t="s">
        <v>25</v>
      </c>
      <c r="BT50" t="s">
        <v>25</v>
      </c>
      <c r="BU50">
        <v>5.5</v>
      </c>
      <c r="BV50" t="s">
        <v>25</v>
      </c>
      <c r="BW50" t="s">
        <v>25</v>
      </c>
      <c r="BX50" t="s">
        <v>25</v>
      </c>
      <c r="BY50" t="s">
        <v>25</v>
      </c>
      <c r="BZ50" t="s">
        <v>25</v>
      </c>
      <c r="CA50" t="s">
        <v>25</v>
      </c>
      <c r="CB50" t="s">
        <v>25</v>
      </c>
      <c r="CG50">
        <v>6</v>
      </c>
      <c r="CV50">
        <v>5.5</v>
      </c>
      <c r="DL50">
        <f t="shared" si="2"/>
        <v>4</v>
      </c>
      <c r="DM50" s="18">
        <f t="shared" si="3"/>
        <v>5.625</v>
      </c>
      <c r="DN50">
        <f t="shared" si="4"/>
        <v>0.25</v>
      </c>
      <c r="DO50">
        <v>0</v>
      </c>
      <c r="DP50">
        <f t="shared" si="5"/>
        <v>0</v>
      </c>
      <c r="DQ50">
        <f t="shared" si="6"/>
        <v>0</v>
      </c>
    </row>
    <row r="51" spans="1:121" x14ac:dyDescent="0.35">
      <c r="A51" t="s">
        <v>60</v>
      </c>
      <c r="B51" t="s">
        <v>25</v>
      </c>
      <c r="C51" t="s">
        <v>25</v>
      </c>
      <c r="D51" t="s">
        <v>25</v>
      </c>
      <c r="E51" t="s">
        <v>25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25</v>
      </c>
      <c r="L51" t="s">
        <v>25</v>
      </c>
      <c r="M51" t="s">
        <v>25</v>
      </c>
      <c r="N51" t="s">
        <v>25</v>
      </c>
      <c r="O51" t="s">
        <v>25</v>
      </c>
      <c r="P51" t="s">
        <v>25</v>
      </c>
      <c r="Q51" t="s">
        <v>25</v>
      </c>
      <c r="R51">
        <v>7</v>
      </c>
      <c r="S51">
        <v>5</v>
      </c>
      <c r="T51">
        <v>5</v>
      </c>
      <c r="U51" t="s">
        <v>25</v>
      </c>
      <c r="V51" t="s">
        <v>25</v>
      </c>
      <c r="W51">
        <v>5.5</v>
      </c>
      <c r="X51" t="s">
        <v>25</v>
      </c>
      <c r="Y51" t="s">
        <v>25</v>
      </c>
      <c r="Z51" t="s">
        <v>25</v>
      </c>
      <c r="AA51" t="s">
        <v>25</v>
      </c>
      <c r="AB51" t="s">
        <v>25</v>
      </c>
      <c r="AC51" t="s">
        <v>25</v>
      </c>
      <c r="AD51" t="s">
        <v>25</v>
      </c>
      <c r="AE51" t="s">
        <v>25</v>
      </c>
      <c r="AF51" t="s">
        <v>25</v>
      </c>
      <c r="AG51" t="s">
        <v>25</v>
      </c>
      <c r="AH51" t="s">
        <v>25</v>
      </c>
      <c r="AI51" t="s">
        <v>25</v>
      </c>
      <c r="AJ51" t="s">
        <v>25</v>
      </c>
      <c r="AK51" t="s">
        <v>25</v>
      </c>
      <c r="AL51" t="s">
        <v>25</v>
      </c>
      <c r="AM51" t="s">
        <v>25</v>
      </c>
      <c r="AN51" t="s">
        <v>25</v>
      </c>
      <c r="AO51" t="s">
        <v>25</v>
      </c>
      <c r="AP51" t="s">
        <v>25</v>
      </c>
      <c r="AQ51" t="s">
        <v>25</v>
      </c>
      <c r="AR51" t="s">
        <v>25</v>
      </c>
      <c r="AS51" t="s">
        <v>25</v>
      </c>
      <c r="AT51" t="s">
        <v>25</v>
      </c>
      <c r="AU51" t="s">
        <v>25</v>
      </c>
      <c r="AV51" t="s">
        <v>25</v>
      </c>
      <c r="AW51" t="s">
        <v>25</v>
      </c>
      <c r="AX51" t="s">
        <v>25</v>
      </c>
      <c r="AY51" t="s">
        <v>25</v>
      </c>
      <c r="AZ51" t="s">
        <v>25</v>
      </c>
      <c r="BA51" t="s">
        <v>25</v>
      </c>
      <c r="BB51" t="s">
        <v>25</v>
      </c>
      <c r="BC51" t="s">
        <v>25</v>
      </c>
      <c r="BD51" t="s">
        <v>25</v>
      </c>
      <c r="BE51" t="s">
        <v>25</v>
      </c>
      <c r="BF51" t="s">
        <v>25</v>
      </c>
      <c r="BG51" t="s">
        <v>25</v>
      </c>
      <c r="BH51" t="s">
        <v>25</v>
      </c>
      <c r="BI51" t="s">
        <v>25</v>
      </c>
      <c r="BJ51" t="s">
        <v>25</v>
      </c>
      <c r="BK51" t="s">
        <v>25</v>
      </c>
      <c r="BL51" t="s">
        <v>25</v>
      </c>
      <c r="BM51" t="s">
        <v>25</v>
      </c>
      <c r="BN51" t="s">
        <v>25</v>
      </c>
      <c r="BO51" t="s">
        <v>25</v>
      </c>
      <c r="BP51" t="s">
        <v>25</v>
      </c>
      <c r="BQ51" t="s">
        <v>25</v>
      </c>
      <c r="BR51" t="s">
        <v>25</v>
      </c>
      <c r="BS51" t="s">
        <v>25</v>
      </c>
      <c r="BT51" t="s">
        <v>25</v>
      </c>
      <c r="BU51" t="s">
        <v>25</v>
      </c>
      <c r="BV51" t="s">
        <v>25</v>
      </c>
      <c r="BW51" t="s">
        <v>25</v>
      </c>
      <c r="BX51" t="s">
        <v>25</v>
      </c>
      <c r="BY51" t="s">
        <v>25</v>
      </c>
      <c r="BZ51" t="s">
        <v>25</v>
      </c>
      <c r="CA51" t="s">
        <v>25</v>
      </c>
      <c r="CB51" t="s">
        <v>25</v>
      </c>
      <c r="DL51">
        <f t="shared" si="2"/>
        <v>4</v>
      </c>
      <c r="DM51" s="18">
        <f t="shared" si="3"/>
        <v>5.625</v>
      </c>
      <c r="DN51">
        <f t="shared" si="4"/>
        <v>0.9464847243000456</v>
      </c>
      <c r="DO51">
        <v>0</v>
      </c>
      <c r="DP51">
        <f t="shared" si="5"/>
        <v>0</v>
      </c>
      <c r="DQ51">
        <f t="shared" si="6"/>
        <v>0</v>
      </c>
    </row>
    <row r="52" spans="1:121" x14ac:dyDescent="0.35">
      <c r="A52" t="s">
        <v>20</v>
      </c>
      <c r="B52" t="s">
        <v>25</v>
      </c>
      <c r="C52" t="s">
        <v>25</v>
      </c>
      <c r="D52">
        <v>1.5</v>
      </c>
      <c r="E52" t="s">
        <v>25</v>
      </c>
      <c r="F52" t="s">
        <v>25</v>
      </c>
      <c r="G52">
        <v>0</v>
      </c>
      <c r="H52" t="s">
        <v>25</v>
      </c>
      <c r="I52" t="s">
        <v>25</v>
      </c>
      <c r="J52" t="s">
        <v>25</v>
      </c>
      <c r="K52" t="s">
        <v>25</v>
      </c>
      <c r="L52" t="s">
        <v>25</v>
      </c>
      <c r="M52" t="s">
        <v>25</v>
      </c>
      <c r="N52" t="s">
        <v>25</v>
      </c>
      <c r="O52" t="s">
        <v>25</v>
      </c>
      <c r="P52" t="s">
        <v>25</v>
      </c>
      <c r="Q52" t="s">
        <v>25</v>
      </c>
      <c r="R52" t="s">
        <v>25</v>
      </c>
      <c r="S52" t="s">
        <v>25</v>
      </c>
      <c r="T52" t="s">
        <v>25</v>
      </c>
      <c r="U52" t="s">
        <v>25</v>
      </c>
      <c r="V52" t="s">
        <v>25</v>
      </c>
      <c r="W52" t="s">
        <v>25</v>
      </c>
      <c r="X52" t="s">
        <v>25</v>
      </c>
      <c r="Y52" t="s">
        <v>25</v>
      </c>
      <c r="Z52" t="s">
        <v>25</v>
      </c>
      <c r="AA52" t="s">
        <v>25</v>
      </c>
      <c r="AB52" t="s">
        <v>25</v>
      </c>
      <c r="AC52" t="s">
        <v>25</v>
      </c>
      <c r="AD52" t="s">
        <v>25</v>
      </c>
      <c r="AE52">
        <v>0</v>
      </c>
      <c r="AF52" t="s">
        <v>25</v>
      </c>
      <c r="AG52" t="s">
        <v>25</v>
      </c>
      <c r="AH52" t="s">
        <v>25</v>
      </c>
      <c r="AI52" t="s">
        <v>25</v>
      </c>
      <c r="AJ52" t="s">
        <v>25</v>
      </c>
      <c r="AK52" t="s">
        <v>25</v>
      </c>
      <c r="AL52" t="s">
        <v>25</v>
      </c>
      <c r="AM52" t="s">
        <v>25</v>
      </c>
      <c r="AN52" t="s">
        <v>25</v>
      </c>
      <c r="AO52" t="s">
        <v>25</v>
      </c>
      <c r="AP52" t="s">
        <v>25</v>
      </c>
      <c r="AQ52" t="s">
        <v>25</v>
      </c>
      <c r="AR52" t="s">
        <v>25</v>
      </c>
      <c r="AS52" t="s">
        <v>25</v>
      </c>
      <c r="AT52" t="s">
        <v>25</v>
      </c>
      <c r="AU52">
        <v>4</v>
      </c>
      <c r="AV52" t="s">
        <v>25</v>
      </c>
      <c r="AW52" t="s">
        <v>25</v>
      </c>
      <c r="AX52" t="s">
        <v>25</v>
      </c>
      <c r="AY52" t="s">
        <v>25</v>
      </c>
      <c r="AZ52" t="s">
        <v>25</v>
      </c>
      <c r="BA52" t="s">
        <v>25</v>
      </c>
      <c r="BB52" t="s">
        <v>25</v>
      </c>
      <c r="BC52" t="s">
        <v>25</v>
      </c>
      <c r="BD52" t="s">
        <v>25</v>
      </c>
      <c r="BE52" t="s">
        <v>25</v>
      </c>
      <c r="BF52" t="s">
        <v>25</v>
      </c>
      <c r="BG52" t="s">
        <v>25</v>
      </c>
      <c r="BH52" t="s">
        <v>25</v>
      </c>
      <c r="BI52" t="s">
        <v>25</v>
      </c>
      <c r="BJ52" t="s">
        <v>25</v>
      </c>
      <c r="BK52" t="s">
        <v>25</v>
      </c>
      <c r="BL52" t="s">
        <v>25</v>
      </c>
      <c r="BM52" t="s">
        <v>25</v>
      </c>
      <c r="BN52" t="s">
        <v>25</v>
      </c>
      <c r="BO52" t="s">
        <v>25</v>
      </c>
      <c r="BP52" t="s">
        <v>25</v>
      </c>
      <c r="BQ52" t="s">
        <v>25</v>
      </c>
      <c r="BR52" t="s">
        <v>25</v>
      </c>
      <c r="BS52" t="s">
        <v>25</v>
      </c>
      <c r="BT52" t="s">
        <v>25</v>
      </c>
      <c r="BU52" t="s">
        <v>25</v>
      </c>
      <c r="BV52" t="s">
        <v>25</v>
      </c>
      <c r="BW52" t="s">
        <v>25</v>
      </c>
      <c r="BX52" t="s">
        <v>25</v>
      </c>
      <c r="BY52" t="s">
        <v>25</v>
      </c>
      <c r="BZ52" t="s">
        <v>25</v>
      </c>
      <c r="CA52" t="s">
        <v>25</v>
      </c>
      <c r="CB52" t="s">
        <v>25</v>
      </c>
      <c r="DL52">
        <f t="shared" si="2"/>
        <v>4</v>
      </c>
      <c r="DM52" s="18">
        <f t="shared" si="3"/>
        <v>1.375</v>
      </c>
      <c r="DN52">
        <f t="shared" si="4"/>
        <v>1.8874586088176875</v>
      </c>
      <c r="DO52">
        <v>0</v>
      </c>
      <c r="DP52">
        <f t="shared" si="5"/>
        <v>0</v>
      </c>
      <c r="DQ52">
        <f t="shared" si="6"/>
        <v>0</v>
      </c>
    </row>
    <row r="53" spans="1:121" x14ac:dyDescent="0.35">
      <c r="A53" t="s">
        <v>98</v>
      </c>
      <c r="B53" t="s">
        <v>25</v>
      </c>
      <c r="C53" t="s">
        <v>25</v>
      </c>
      <c r="D53" t="s">
        <v>25</v>
      </c>
      <c r="E53" t="s">
        <v>25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25</v>
      </c>
      <c r="L53" t="s">
        <v>25</v>
      </c>
      <c r="M53" t="s">
        <v>25</v>
      </c>
      <c r="N53" t="s">
        <v>25</v>
      </c>
      <c r="O53" t="s">
        <v>25</v>
      </c>
      <c r="P53" t="s">
        <v>25</v>
      </c>
      <c r="Q53" t="s">
        <v>25</v>
      </c>
      <c r="R53" t="s">
        <v>25</v>
      </c>
      <c r="S53" t="s">
        <v>25</v>
      </c>
      <c r="T53" t="s">
        <v>25</v>
      </c>
      <c r="U53" t="s">
        <v>25</v>
      </c>
      <c r="V53" t="s">
        <v>25</v>
      </c>
      <c r="W53" t="s">
        <v>25</v>
      </c>
      <c r="X53" t="s">
        <v>25</v>
      </c>
      <c r="Y53" t="s">
        <v>25</v>
      </c>
      <c r="Z53" t="s">
        <v>25</v>
      </c>
      <c r="AA53" t="s">
        <v>25</v>
      </c>
      <c r="AB53" t="s">
        <v>25</v>
      </c>
      <c r="AC53" t="s">
        <v>25</v>
      </c>
      <c r="AD53" t="s">
        <v>25</v>
      </c>
      <c r="AE53" t="s">
        <v>25</v>
      </c>
      <c r="AF53" t="s">
        <v>25</v>
      </c>
      <c r="AG53" t="s">
        <v>25</v>
      </c>
      <c r="AH53" t="s">
        <v>25</v>
      </c>
      <c r="AI53" t="s">
        <v>25</v>
      </c>
      <c r="AJ53">
        <v>5</v>
      </c>
      <c r="AK53" t="s">
        <v>25</v>
      </c>
      <c r="AL53" t="s">
        <v>25</v>
      </c>
      <c r="AM53" t="s">
        <v>25</v>
      </c>
      <c r="AN53" t="s">
        <v>25</v>
      </c>
      <c r="AO53" t="s">
        <v>25</v>
      </c>
      <c r="AP53" t="s">
        <v>25</v>
      </c>
      <c r="AQ53">
        <v>3.5</v>
      </c>
      <c r="AR53">
        <v>3.5</v>
      </c>
      <c r="AS53" t="s">
        <v>25</v>
      </c>
      <c r="AT53" t="s">
        <v>25</v>
      </c>
      <c r="AU53" t="s">
        <v>25</v>
      </c>
      <c r="AV53" t="s">
        <v>25</v>
      </c>
      <c r="AW53" t="s">
        <v>25</v>
      </c>
      <c r="AX53" t="s">
        <v>25</v>
      </c>
      <c r="AY53">
        <v>6.5</v>
      </c>
      <c r="AZ53" t="s">
        <v>25</v>
      </c>
      <c r="BA53" t="s">
        <v>25</v>
      </c>
      <c r="BB53" t="s">
        <v>25</v>
      </c>
      <c r="BC53" t="s">
        <v>25</v>
      </c>
      <c r="BD53" t="s">
        <v>25</v>
      </c>
      <c r="BE53" t="s">
        <v>25</v>
      </c>
      <c r="BF53" t="s">
        <v>25</v>
      </c>
      <c r="BG53" t="s">
        <v>25</v>
      </c>
      <c r="BH53" t="s">
        <v>25</v>
      </c>
      <c r="BI53" t="s">
        <v>25</v>
      </c>
      <c r="BJ53" t="s">
        <v>25</v>
      </c>
      <c r="BK53" t="s">
        <v>25</v>
      </c>
      <c r="BL53" t="s">
        <v>25</v>
      </c>
      <c r="BM53" t="s">
        <v>25</v>
      </c>
      <c r="BN53" t="s">
        <v>25</v>
      </c>
      <c r="BO53" t="s">
        <v>25</v>
      </c>
      <c r="BP53" t="s">
        <v>25</v>
      </c>
      <c r="BQ53" t="s">
        <v>25</v>
      </c>
      <c r="BR53" t="s">
        <v>25</v>
      </c>
      <c r="BS53" t="s">
        <v>25</v>
      </c>
      <c r="BT53" t="s">
        <v>25</v>
      </c>
      <c r="BU53" t="s">
        <v>25</v>
      </c>
      <c r="BV53" t="s">
        <v>25</v>
      </c>
      <c r="BW53" t="s">
        <v>25</v>
      </c>
      <c r="BX53" t="s">
        <v>25</v>
      </c>
      <c r="BY53" t="s">
        <v>25</v>
      </c>
      <c r="BZ53" t="s">
        <v>25</v>
      </c>
      <c r="CA53" t="s">
        <v>25</v>
      </c>
      <c r="CB53" t="s">
        <v>25</v>
      </c>
      <c r="DL53">
        <f t="shared" si="2"/>
        <v>4</v>
      </c>
      <c r="DM53" s="18">
        <f t="shared" si="3"/>
        <v>4.625</v>
      </c>
      <c r="DN53">
        <f t="shared" si="4"/>
        <v>1.4361406616345072</v>
      </c>
      <c r="DO53">
        <v>0</v>
      </c>
      <c r="DP53">
        <f t="shared" si="5"/>
        <v>0</v>
      </c>
      <c r="DQ53">
        <f t="shared" si="6"/>
        <v>0</v>
      </c>
    </row>
    <row r="54" spans="1:121" x14ac:dyDescent="0.35">
      <c r="A54" t="s">
        <v>112</v>
      </c>
      <c r="B54" t="s">
        <v>25</v>
      </c>
      <c r="C54" t="s">
        <v>25</v>
      </c>
      <c r="D54" t="s">
        <v>25</v>
      </c>
      <c r="E54" t="s">
        <v>25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25</v>
      </c>
      <c r="L54" t="s">
        <v>25</v>
      </c>
      <c r="M54" t="s">
        <v>25</v>
      </c>
      <c r="N54" t="s">
        <v>25</v>
      </c>
      <c r="O54" t="s">
        <v>25</v>
      </c>
      <c r="P54" t="s">
        <v>25</v>
      </c>
      <c r="Q54" t="s">
        <v>25</v>
      </c>
      <c r="R54" t="s">
        <v>25</v>
      </c>
      <c r="S54" t="s">
        <v>25</v>
      </c>
      <c r="T54" t="s">
        <v>25</v>
      </c>
      <c r="U54" t="s">
        <v>25</v>
      </c>
      <c r="V54" t="s">
        <v>25</v>
      </c>
      <c r="W54" t="s">
        <v>25</v>
      </c>
      <c r="X54" t="s">
        <v>25</v>
      </c>
      <c r="Y54" t="s">
        <v>25</v>
      </c>
      <c r="Z54" t="s">
        <v>25</v>
      </c>
      <c r="AA54" t="s">
        <v>25</v>
      </c>
      <c r="AB54" t="s">
        <v>25</v>
      </c>
      <c r="AC54" t="s">
        <v>25</v>
      </c>
      <c r="AD54" t="s">
        <v>25</v>
      </c>
      <c r="AE54" t="s">
        <v>25</v>
      </c>
      <c r="AF54" t="s">
        <v>25</v>
      </c>
      <c r="AG54" t="s">
        <v>25</v>
      </c>
      <c r="AH54" t="s">
        <v>25</v>
      </c>
      <c r="AI54" t="s">
        <v>25</v>
      </c>
      <c r="AJ54" t="s">
        <v>25</v>
      </c>
      <c r="AK54" t="s">
        <v>25</v>
      </c>
      <c r="AL54" t="s">
        <v>25</v>
      </c>
      <c r="AM54" t="s">
        <v>25</v>
      </c>
      <c r="AN54" t="s">
        <v>25</v>
      </c>
      <c r="AO54" t="s">
        <v>25</v>
      </c>
      <c r="AP54" t="s">
        <v>25</v>
      </c>
      <c r="AQ54" t="s">
        <v>25</v>
      </c>
      <c r="AR54" t="s">
        <v>25</v>
      </c>
      <c r="AS54" t="s">
        <v>25</v>
      </c>
      <c r="AT54" t="s">
        <v>25</v>
      </c>
      <c r="AU54" t="s">
        <v>25</v>
      </c>
      <c r="AV54" t="s">
        <v>25</v>
      </c>
      <c r="AW54">
        <v>5.5</v>
      </c>
      <c r="AX54" t="s">
        <v>25</v>
      </c>
      <c r="AY54" t="s">
        <v>25</v>
      </c>
      <c r="AZ54" t="s">
        <v>25</v>
      </c>
      <c r="BA54" t="s">
        <v>25</v>
      </c>
      <c r="BB54" t="s">
        <v>25</v>
      </c>
      <c r="BC54" t="s">
        <v>25</v>
      </c>
      <c r="BD54" t="s">
        <v>25</v>
      </c>
      <c r="BE54" t="s">
        <v>25</v>
      </c>
      <c r="BF54">
        <v>5.5</v>
      </c>
      <c r="BG54" t="s">
        <v>25</v>
      </c>
      <c r="BH54" t="s">
        <v>25</v>
      </c>
      <c r="BI54" t="s">
        <v>25</v>
      </c>
      <c r="BJ54" t="s">
        <v>25</v>
      </c>
      <c r="BK54" t="s">
        <v>25</v>
      </c>
      <c r="BL54" t="s">
        <v>25</v>
      </c>
      <c r="BM54" t="s">
        <v>25</v>
      </c>
      <c r="BN54">
        <v>7</v>
      </c>
      <c r="BO54" t="s">
        <v>25</v>
      </c>
      <c r="BP54" t="s">
        <v>25</v>
      </c>
      <c r="BQ54" t="s">
        <v>25</v>
      </c>
      <c r="BR54" t="s">
        <v>25</v>
      </c>
      <c r="BS54" t="s">
        <v>25</v>
      </c>
      <c r="BT54" t="s">
        <v>25</v>
      </c>
      <c r="BU54" t="s">
        <v>25</v>
      </c>
      <c r="BV54" t="s">
        <v>25</v>
      </c>
      <c r="BW54" t="s">
        <v>25</v>
      </c>
      <c r="BX54" t="s">
        <v>25</v>
      </c>
      <c r="BY54">
        <v>7</v>
      </c>
      <c r="BZ54" t="s">
        <v>25</v>
      </c>
      <c r="CA54" t="s">
        <v>25</v>
      </c>
      <c r="CB54" t="s">
        <v>25</v>
      </c>
      <c r="DL54">
        <f t="shared" si="2"/>
        <v>4</v>
      </c>
      <c r="DM54" s="18">
        <f t="shared" si="3"/>
        <v>6.25</v>
      </c>
      <c r="DN54">
        <f t="shared" si="4"/>
        <v>0.8660254037844386</v>
      </c>
      <c r="DO54">
        <v>0</v>
      </c>
      <c r="DP54">
        <f t="shared" si="5"/>
        <v>0</v>
      </c>
      <c r="DQ54">
        <f t="shared" si="6"/>
        <v>0</v>
      </c>
    </row>
    <row r="55" spans="1:121" x14ac:dyDescent="0.35">
      <c r="A55" t="s">
        <v>42</v>
      </c>
      <c r="B55" t="s">
        <v>25</v>
      </c>
      <c r="C55">
        <v>0</v>
      </c>
      <c r="D55" t="s">
        <v>25</v>
      </c>
      <c r="E55" t="s">
        <v>25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25</v>
      </c>
      <c r="L55" t="s">
        <v>25</v>
      </c>
      <c r="M55" t="s">
        <v>25</v>
      </c>
      <c r="N55" t="s">
        <v>25</v>
      </c>
      <c r="O55" t="s">
        <v>25</v>
      </c>
      <c r="P55" t="s">
        <v>25</v>
      </c>
      <c r="Q55" t="s">
        <v>25</v>
      </c>
      <c r="R55">
        <v>1</v>
      </c>
      <c r="S55" t="s">
        <v>25</v>
      </c>
      <c r="T55" t="s">
        <v>25</v>
      </c>
      <c r="U55" t="s">
        <v>25</v>
      </c>
      <c r="V55" t="s">
        <v>25</v>
      </c>
      <c r="W55" t="s">
        <v>25</v>
      </c>
      <c r="X55" t="s">
        <v>25</v>
      </c>
      <c r="Y55" t="s">
        <v>25</v>
      </c>
      <c r="Z55" t="s">
        <v>25</v>
      </c>
      <c r="AA55" t="s">
        <v>25</v>
      </c>
      <c r="AB55" t="s">
        <v>25</v>
      </c>
      <c r="AC55" t="s">
        <v>25</v>
      </c>
      <c r="AD55" t="s">
        <v>25</v>
      </c>
      <c r="AE55" t="s">
        <v>25</v>
      </c>
      <c r="AF55" t="s">
        <v>25</v>
      </c>
      <c r="AG55" t="s">
        <v>25</v>
      </c>
      <c r="AH55" t="s">
        <v>25</v>
      </c>
      <c r="AI55" t="s">
        <v>25</v>
      </c>
      <c r="AJ55" t="s">
        <v>25</v>
      </c>
      <c r="AK55" t="s">
        <v>25</v>
      </c>
      <c r="AL55" t="s">
        <v>25</v>
      </c>
      <c r="AM55" t="s">
        <v>25</v>
      </c>
      <c r="AN55" t="s">
        <v>25</v>
      </c>
      <c r="AO55" t="s">
        <v>25</v>
      </c>
      <c r="AP55" t="s">
        <v>25</v>
      </c>
      <c r="AQ55" t="s">
        <v>25</v>
      </c>
      <c r="AR55" t="s">
        <v>25</v>
      </c>
      <c r="AS55" t="s">
        <v>25</v>
      </c>
      <c r="AT55" t="s">
        <v>25</v>
      </c>
      <c r="AU55" t="s">
        <v>25</v>
      </c>
      <c r="AV55" t="s">
        <v>25</v>
      </c>
      <c r="AW55" t="s">
        <v>25</v>
      </c>
      <c r="AX55" t="s">
        <v>25</v>
      </c>
      <c r="AY55" t="s">
        <v>25</v>
      </c>
      <c r="AZ55" t="s">
        <v>25</v>
      </c>
      <c r="BA55" t="s">
        <v>25</v>
      </c>
      <c r="BB55" t="s">
        <v>25</v>
      </c>
      <c r="BC55" t="s">
        <v>25</v>
      </c>
      <c r="BD55" t="s">
        <v>25</v>
      </c>
      <c r="BE55" t="s">
        <v>25</v>
      </c>
      <c r="BF55" t="s">
        <v>25</v>
      </c>
      <c r="BG55" t="s">
        <v>25</v>
      </c>
      <c r="BH55" t="s">
        <v>25</v>
      </c>
      <c r="BI55" t="s">
        <v>25</v>
      </c>
      <c r="BJ55">
        <v>5.5</v>
      </c>
      <c r="BK55" t="s">
        <v>25</v>
      </c>
      <c r="BL55" t="s">
        <v>25</v>
      </c>
      <c r="BM55" t="s">
        <v>25</v>
      </c>
      <c r="BN55" t="s">
        <v>25</v>
      </c>
      <c r="BO55" t="s">
        <v>25</v>
      </c>
      <c r="BP55" t="s">
        <v>25</v>
      </c>
      <c r="BQ55" t="s">
        <v>25</v>
      </c>
      <c r="BR55" t="s">
        <v>25</v>
      </c>
      <c r="BS55" t="s">
        <v>25</v>
      </c>
      <c r="BT55">
        <v>5</v>
      </c>
      <c r="BU55" t="s">
        <v>25</v>
      </c>
      <c r="BV55" t="s">
        <v>25</v>
      </c>
      <c r="BW55" t="s">
        <v>25</v>
      </c>
      <c r="BX55" t="s">
        <v>25</v>
      </c>
      <c r="BY55" t="s">
        <v>25</v>
      </c>
      <c r="BZ55" t="s">
        <v>25</v>
      </c>
      <c r="CA55" t="s">
        <v>25</v>
      </c>
      <c r="CB55" t="s">
        <v>25</v>
      </c>
      <c r="DL55">
        <f t="shared" si="2"/>
        <v>4</v>
      </c>
      <c r="DM55" s="18">
        <f t="shared" si="3"/>
        <v>2.875</v>
      </c>
      <c r="DN55">
        <f t="shared" si="4"/>
        <v>2.7801378862687129</v>
      </c>
      <c r="DO55">
        <v>0</v>
      </c>
      <c r="DP55">
        <f t="shared" si="5"/>
        <v>0</v>
      </c>
      <c r="DQ55">
        <f t="shared" si="6"/>
        <v>0</v>
      </c>
    </row>
    <row r="56" spans="1:121" x14ac:dyDescent="0.35">
      <c r="A56" t="s">
        <v>17</v>
      </c>
      <c r="B56" t="s">
        <v>25</v>
      </c>
      <c r="C56">
        <v>3</v>
      </c>
      <c r="D56" t="s">
        <v>25</v>
      </c>
      <c r="E56" t="s">
        <v>25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25</v>
      </c>
      <c r="L56" t="s">
        <v>25</v>
      </c>
      <c r="M56" t="s">
        <v>25</v>
      </c>
      <c r="N56" t="s">
        <v>25</v>
      </c>
      <c r="O56" t="s">
        <v>25</v>
      </c>
      <c r="P56" t="s">
        <v>25</v>
      </c>
      <c r="Q56">
        <v>5.5</v>
      </c>
      <c r="R56">
        <v>5.5</v>
      </c>
      <c r="S56" t="s">
        <v>25</v>
      </c>
      <c r="T56" t="s">
        <v>25</v>
      </c>
      <c r="U56" t="s">
        <v>25</v>
      </c>
      <c r="V56" t="s">
        <v>25</v>
      </c>
      <c r="W56" t="s">
        <v>25</v>
      </c>
      <c r="X56" t="s">
        <v>25</v>
      </c>
      <c r="Y56" t="s">
        <v>25</v>
      </c>
      <c r="Z56" t="s">
        <v>25</v>
      </c>
      <c r="AA56" t="s">
        <v>25</v>
      </c>
      <c r="AB56" t="s">
        <v>25</v>
      </c>
      <c r="AC56" t="s">
        <v>25</v>
      </c>
      <c r="AD56" t="s">
        <v>25</v>
      </c>
      <c r="AE56" t="s">
        <v>25</v>
      </c>
      <c r="AF56" t="s">
        <v>25</v>
      </c>
      <c r="AG56" t="s">
        <v>25</v>
      </c>
      <c r="AH56" t="s">
        <v>25</v>
      </c>
      <c r="AI56" t="s">
        <v>25</v>
      </c>
      <c r="AJ56" t="s">
        <v>25</v>
      </c>
      <c r="AK56" t="s">
        <v>25</v>
      </c>
      <c r="AL56" t="s">
        <v>25</v>
      </c>
      <c r="AM56" t="s">
        <v>25</v>
      </c>
      <c r="AN56" t="s">
        <v>25</v>
      </c>
      <c r="AO56" t="s">
        <v>25</v>
      </c>
      <c r="AP56" t="s">
        <v>25</v>
      </c>
      <c r="AQ56" t="s">
        <v>25</v>
      </c>
      <c r="AR56" t="s">
        <v>25</v>
      </c>
      <c r="AS56" t="s">
        <v>25</v>
      </c>
      <c r="AT56" t="s">
        <v>25</v>
      </c>
      <c r="AU56" t="s">
        <v>25</v>
      </c>
      <c r="AV56" t="s">
        <v>25</v>
      </c>
      <c r="AW56" t="s">
        <v>25</v>
      </c>
      <c r="AX56" t="s">
        <v>25</v>
      </c>
      <c r="AY56" t="s">
        <v>25</v>
      </c>
      <c r="AZ56" t="s">
        <v>25</v>
      </c>
      <c r="BA56" t="s">
        <v>25</v>
      </c>
      <c r="BB56" t="s">
        <v>25</v>
      </c>
      <c r="BC56" t="s">
        <v>25</v>
      </c>
      <c r="BD56" t="s">
        <v>25</v>
      </c>
      <c r="BE56" t="s">
        <v>25</v>
      </c>
      <c r="BF56" t="s">
        <v>25</v>
      </c>
      <c r="BG56" t="s">
        <v>25</v>
      </c>
      <c r="BH56" t="s">
        <v>25</v>
      </c>
      <c r="BI56" t="s">
        <v>25</v>
      </c>
      <c r="BJ56" t="s">
        <v>25</v>
      </c>
      <c r="BK56" t="s">
        <v>25</v>
      </c>
      <c r="BL56" t="s">
        <v>25</v>
      </c>
      <c r="BM56" t="s">
        <v>25</v>
      </c>
      <c r="BN56" t="s">
        <v>25</v>
      </c>
      <c r="BO56" t="s">
        <v>25</v>
      </c>
      <c r="BP56" t="s">
        <v>25</v>
      </c>
      <c r="BQ56" t="s">
        <v>25</v>
      </c>
      <c r="BR56" t="s">
        <v>25</v>
      </c>
      <c r="BS56" t="s">
        <v>25</v>
      </c>
      <c r="BT56" t="s">
        <v>25</v>
      </c>
      <c r="BU56" t="s">
        <v>25</v>
      </c>
      <c r="BV56" t="s">
        <v>25</v>
      </c>
      <c r="BW56" t="s">
        <v>25</v>
      </c>
      <c r="BX56" t="s">
        <v>25</v>
      </c>
      <c r="BY56" t="s">
        <v>25</v>
      </c>
      <c r="BZ56" t="s">
        <v>25</v>
      </c>
      <c r="CA56" t="s">
        <v>25</v>
      </c>
      <c r="CB56" t="s">
        <v>25</v>
      </c>
      <c r="DL56">
        <f t="shared" si="2"/>
        <v>3</v>
      </c>
      <c r="DM56" s="18">
        <f t="shared" si="3"/>
        <v>4.666666666666667</v>
      </c>
      <c r="DN56">
        <f t="shared" si="4"/>
        <v>1.4433756729740652</v>
      </c>
      <c r="DO56">
        <v>0</v>
      </c>
      <c r="DP56">
        <f t="shared" si="5"/>
        <v>0</v>
      </c>
      <c r="DQ56">
        <f t="shared" si="6"/>
        <v>0</v>
      </c>
    </row>
    <row r="57" spans="1:121" x14ac:dyDescent="0.35">
      <c r="A57" t="s">
        <v>84</v>
      </c>
      <c r="B57" t="s">
        <v>25</v>
      </c>
      <c r="C57" t="s">
        <v>25</v>
      </c>
      <c r="D57" t="s">
        <v>25</v>
      </c>
      <c r="E57" t="s">
        <v>25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25</v>
      </c>
      <c r="L57" t="s">
        <v>25</v>
      </c>
      <c r="M57" t="s">
        <v>25</v>
      </c>
      <c r="N57" t="s">
        <v>25</v>
      </c>
      <c r="O57" t="s">
        <v>25</v>
      </c>
      <c r="P57" t="s">
        <v>25</v>
      </c>
      <c r="Q57" t="s">
        <v>25</v>
      </c>
      <c r="R57" t="s">
        <v>25</v>
      </c>
      <c r="S57" t="s">
        <v>25</v>
      </c>
      <c r="T57" t="s">
        <v>25</v>
      </c>
      <c r="U57" t="s">
        <v>25</v>
      </c>
      <c r="V57" t="s">
        <v>25</v>
      </c>
      <c r="W57" t="s">
        <v>25</v>
      </c>
      <c r="X57" t="s">
        <v>25</v>
      </c>
      <c r="Y57" t="s">
        <v>25</v>
      </c>
      <c r="Z57" t="s">
        <v>25</v>
      </c>
      <c r="AA57" t="s">
        <v>25</v>
      </c>
      <c r="AB57" t="s">
        <v>25</v>
      </c>
      <c r="AC57" t="s">
        <v>25</v>
      </c>
      <c r="AD57">
        <v>7</v>
      </c>
      <c r="AE57">
        <v>8.5</v>
      </c>
      <c r="AF57">
        <v>10</v>
      </c>
      <c r="AG57" t="s">
        <v>25</v>
      </c>
      <c r="AH57" t="s">
        <v>25</v>
      </c>
      <c r="AI57" t="s">
        <v>25</v>
      </c>
      <c r="AJ57" t="s">
        <v>25</v>
      </c>
      <c r="AK57" t="s">
        <v>25</v>
      </c>
      <c r="AL57" t="s">
        <v>25</v>
      </c>
      <c r="AM57" t="s">
        <v>25</v>
      </c>
      <c r="AN57" t="s">
        <v>25</v>
      </c>
      <c r="AO57" t="s">
        <v>25</v>
      </c>
      <c r="AP57" t="s">
        <v>25</v>
      </c>
      <c r="AQ57" t="s">
        <v>25</v>
      </c>
      <c r="AR57" t="s">
        <v>25</v>
      </c>
      <c r="AS57" t="s">
        <v>25</v>
      </c>
      <c r="AT57" t="s">
        <v>25</v>
      </c>
      <c r="AU57" t="s">
        <v>25</v>
      </c>
      <c r="AV57" t="s">
        <v>25</v>
      </c>
      <c r="AW57" t="s">
        <v>25</v>
      </c>
      <c r="AX57" t="s">
        <v>25</v>
      </c>
      <c r="AY57" t="s">
        <v>25</v>
      </c>
      <c r="AZ57" t="s">
        <v>25</v>
      </c>
      <c r="BA57" t="s">
        <v>25</v>
      </c>
      <c r="BB57" t="s">
        <v>25</v>
      </c>
      <c r="BC57" t="s">
        <v>25</v>
      </c>
      <c r="BD57" t="s">
        <v>25</v>
      </c>
      <c r="BE57" t="s">
        <v>25</v>
      </c>
      <c r="BF57" t="s">
        <v>25</v>
      </c>
      <c r="BG57" t="s">
        <v>25</v>
      </c>
      <c r="BH57" t="s">
        <v>25</v>
      </c>
      <c r="BI57" t="s">
        <v>25</v>
      </c>
      <c r="BJ57" t="s">
        <v>25</v>
      </c>
      <c r="BK57" t="s">
        <v>25</v>
      </c>
      <c r="BL57" t="s">
        <v>25</v>
      </c>
      <c r="BM57" t="s">
        <v>25</v>
      </c>
      <c r="BN57" t="s">
        <v>25</v>
      </c>
      <c r="BO57" t="s">
        <v>25</v>
      </c>
      <c r="BP57" t="s">
        <v>25</v>
      </c>
      <c r="BQ57" t="s">
        <v>25</v>
      </c>
      <c r="BR57" t="s">
        <v>25</v>
      </c>
      <c r="BS57" t="s">
        <v>25</v>
      </c>
      <c r="BT57" t="s">
        <v>25</v>
      </c>
      <c r="BU57" t="s">
        <v>25</v>
      </c>
      <c r="BV57" t="s">
        <v>25</v>
      </c>
      <c r="BW57" t="s">
        <v>25</v>
      </c>
      <c r="BX57" t="s">
        <v>25</v>
      </c>
      <c r="BY57" t="s">
        <v>25</v>
      </c>
      <c r="BZ57" t="s">
        <v>25</v>
      </c>
      <c r="CA57" t="s">
        <v>25</v>
      </c>
      <c r="CB57" t="s">
        <v>25</v>
      </c>
      <c r="DI57">
        <v>6</v>
      </c>
      <c r="DJ57">
        <v>7</v>
      </c>
      <c r="DL57">
        <f t="shared" si="2"/>
        <v>4</v>
      </c>
      <c r="DM57" s="18">
        <f t="shared" si="3"/>
        <v>7.875</v>
      </c>
      <c r="DN57">
        <f t="shared" si="4"/>
        <v>1.75</v>
      </c>
      <c r="DO57">
        <v>0</v>
      </c>
      <c r="DP57">
        <f t="shared" si="5"/>
        <v>0</v>
      </c>
      <c r="DQ57">
        <f t="shared" si="6"/>
        <v>0</v>
      </c>
    </row>
    <row r="58" spans="1:121" x14ac:dyDescent="0.35">
      <c r="A58" t="s">
        <v>48</v>
      </c>
      <c r="B58" t="s">
        <v>25</v>
      </c>
      <c r="C58" t="s">
        <v>25</v>
      </c>
      <c r="D58" t="s">
        <v>25</v>
      </c>
      <c r="E58" t="s">
        <v>25</v>
      </c>
      <c r="F58" t="s">
        <v>25</v>
      </c>
      <c r="G58" t="s">
        <v>25</v>
      </c>
      <c r="H58" t="s">
        <v>25</v>
      </c>
      <c r="I58">
        <v>5</v>
      </c>
      <c r="J58" t="s">
        <v>25</v>
      </c>
      <c r="K58" t="s">
        <v>25</v>
      </c>
      <c r="L58" t="s">
        <v>25</v>
      </c>
      <c r="M58" t="s">
        <v>25</v>
      </c>
      <c r="N58" t="s">
        <v>25</v>
      </c>
      <c r="O58" t="s">
        <v>25</v>
      </c>
      <c r="P58" t="s">
        <v>25</v>
      </c>
      <c r="Q58" t="s">
        <v>25</v>
      </c>
      <c r="R58" t="s">
        <v>25</v>
      </c>
      <c r="S58" t="s">
        <v>25</v>
      </c>
      <c r="T58" t="s">
        <v>25</v>
      </c>
      <c r="U58" t="s">
        <v>25</v>
      </c>
      <c r="V58" t="s">
        <v>25</v>
      </c>
      <c r="W58" t="s">
        <v>25</v>
      </c>
      <c r="X58" t="s">
        <v>25</v>
      </c>
      <c r="Y58" t="s">
        <v>25</v>
      </c>
      <c r="Z58">
        <v>5</v>
      </c>
      <c r="AA58" t="s">
        <v>25</v>
      </c>
      <c r="AB58" t="s">
        <v>25</v>
      </c>
      <c r="AC58" t="s">
        <v>25</v>
      </c>
      <c r="AD58" t="s">
        <v>25</v>
      </c>
      <c r="AE58" t="s">
        <v>25</v>
      </c>
      <c r="AF58" t="s">
        <v>25</v>
      </c>
      <c r="AG58">
        <v>2</v>
      </c>
      <c r="AH58" t="s">
        <v>25</v>
      </c>
      <c r="AI58" t="s">
        <v>25</v>
      </c>
      <c r="AJ58" t="s">
        <v>25</v>
      </c>
      <c r="AK58" t="s">
        <v>25</v>
      </c>
      <c r="AL58" t="s">
        <v>25</v>
      </c>
      <c r="AM58" t="s">
        <v>25</v>
      </c>
      <c r="AN58" t="s">
        <v>25</v>
      </c>
      <c r="AO58" t="s">
        <v>25</v>
      </c>
      <c r="AP58" t="s">
        <v>25</v>
      </c>
      <c r="AQ58" t="s">
        <v>25</v>
      </c>
      <c r="AR58" t="s">
        <v>25</v>
      </c>
      <c r="AS58" t="s">
        <v>25</v>
      </c>
      <c r="AT58" t="s">
        <v>25</v>
      </c>
      <c r="AU58" t="s">
        <v>25</v>
      </c>
      <c r="AV58" t="s">
        <v>25</v>
      </c>
      <c r="AW58" t="s">
        <v>25</v>
      </c>
      <c r="AX58" t="s">
        <v>25</v>
      </c>
      <c r="AY58" t="s">
        <v>25</v>
      </c>
      <c r="AZ58" t="s">
        <v>25</v>
      </c>
      <c r="BA58" t="s">
        <v>25</v>
      </c>
      <c r="BB58" t="s">
        <v>25</v>
      </c>
      <c r="BC58" t="s">
        <v>25</v>
      </c>
      <c r="BD58" t="s">
        <v>25</v>
      </c>
      <c r="BE58" t="s">
        <v>25</v>
      </c>
      <c r="BF58" t="s">
        <v>25</v>
      </c>
      <c r="BG58" t="s">
        <v>25</v>
      </c>
      <c r="BH58" t="s">
        <v>25</v>
      </c>
      <c r="BI58" t="s">
        <v>25</v>
      </c>
      <c r="BJ58" t="s">
        <v>25</v>
      </c>
      <c r="BK58" t="s">
        <v>25</v>
      </c>
      <c r="BL58" t="s">
        <v>25</v>
      </c>
      <c r="BM58" t="s">
        <v>25</v>
      </c>
      <c r="BN58" t="s">
        <v>25</v>
      </c>
      <c r="BO58" t="s">
        <v>25</v>
      </c>
      <c r="BP58" t="s">
        <v>25</v>
      </c>
      <c r="BQ58" t="s">
        <v>25</v>
      </c>
      <c r="BR58" t="s">
        <v>25</v>
      </c>
      <c r="BS58" t="s">
        <v>25</v>
      </c>
      <c r="BT58" t="s">
        <v>25</v>
      </c>
      <c r="BU58" t="s">
        <v>25</v>
      </c>
      <c r="BV58" t="s">
        <v>25</v>
      </c>
      <c r="BW58" t="s">
        <v>25</v>
      </c>
      <c r="BX58" t="s">
        <v>25</v>
      </c>
      <c r="BY58" t="s">
        <v>25</v>
      </c>
      <c r="BZ58" t="s">
        <v>25</v>
      </c>
      <c r="CA58" t="s">
        <v>25</v>
      </c>
      <c r="CB58" t="s">
        <v>25</v>
      </c>
      <c r="DL58">
        <f t="shared" si="2"/>
        <v>3</v>
      </c>
      <c r="DM58" s="18">
        <f t="shared" si="3"/>
        <v>4</v>
      </c>
      <c r="DN58">
        <f t="shared" si="4"/>
        <v>1.7320508075688772</v>
      </c>
      <c r="DO58">
        <v>0</v>
      </c>
      <c r="DP58">
        <f t="shared" si="5"/>
        <v>0</v>
      </c>
      <c r="DQ58">
        <f t="shared" si="6"/>
        <v>0</v>
      </c>
    </row>
    <row r="59" spans="1:121" x14ac:dyDescent="0.35">
      <c r="A59" t="s">
        <v>119</v>
      </c>
      <c r="B59" t="s">
        <v>25</v>
      </c>
      <c r="C59" t="s">
        <v>25</v>
      </c>
      <c r="D59" t="s">
        <v>25</v>
      </c>
      <c r="E59" t="s">
        <v>25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25</v>
      </c>
      <c r="L59" t="s">
        <v>25</v>
      </c>
      <c r="M59" t="s">
        <v>25</v>
      </c>
      <c r="N59" t="s">
        <v>25</v>
      </c>
      <c r="O59" t="s">
        <v>25</v>
      </c>
      <c r="P59" t="s">
        <v>25</v>
      </c>
      <c r="Q59" t="s">
        <v>25</v>
      </c>
      <c r="R59" t="s">
        <v>25</v>
      </c>
      <c r="S59" t="s">
        <v>25</v>
      </c>
      <c r="T59" t="s">
        <v>25</v>
      </c>
      <c r="U59" t="s">
        <v>25</v>
      </c>
      <c r="V59" t="s">
        <v>25</v>
      </c>
      <c r="W59" t="s">
        <v>25</v>
      </c>
      <c r="X59" t="s">
        <v>25</v>
      </c>
      <c r="Y59" t="s">
        <v>25</v>
      </c>
      <c r="Z59" t="s">
        <v>25</v>
      </c>
      <c r="AA59" t="s">
        <v>25</v>
      </c>
      <c r="AB59" t="s">
        <v>25</v>
      </c>
      <c r="AC59" t="s">
        <v>25</v>
      </c>
      <c r="AD59" t="s">
        <v>25</v>
      </c>
      <c r="AE59" t="s">
        <v>25</v>
      </c>
      <c r="AF59" t="s">
        <v>25</v>
      </c>
      <c r="AG59" t="s">
        <v>25</v>
      </c>
      <c r="AH59" t="s">
        <v>25</v>
      </c>
      <c r="AI59" t="s">
        <v>25</v>
      </c>
      <c r="AJ59" t="s">
        <v>25</v>
      </c>
      <c r="AK59" t="s">
        <v>25</v>
      </c>
      <c r="AL59" t="s">
        <v>25</v>
      </c>
      <c r="AM59" t="s">
        <v>25</v>
      </c>
      <c r="AN59" t="s">
        <v>25</v>
      </c>
      <c r="AO59" t="s">
        <v>25</v>
      </c>
      <c r="AP59" t="s">
        <v>25</v>
      </c>
      <c r="AQ59" t="s">
        <v>25</v>
      </c>
      <c r="AR59" t="s">
        <v>25</v>
      </c>
      <c r="AS59" t="s">
        <v>25</v>
      </c>
      <c r="AT59" t="s">
        <v>25</v>
      </c>
      <c r="AU59" t="s">
        <v>25</v>
      </c>
      <c r="AV59" t="s">
        <v>25</v>
      </c>
      <c r="AW59" t="s">
        <v>25</v>
      </c>
      <c r="AX59" t="s">
        <v>25</v>
      </c>
      <c r="AY59" t="s">
        <v>25</v>
      </c>
      <c r="AZ59" t="s">
        <v>25</v>
      </c>
      <c r="BA59" t="s">
        <v>25</v>
      </c>
      <c r="BB59" t="s">
        <v>25</v>
      </c>
      <c r="BC59" t="s">
        <v>25</v>
      </c>
      <c r="BD59" t="s">
        <v>25</v>
      </c>
      <c r="BE59" t="s">
        <v>25</v>
      </c>
      <c r="BF59">
        <v>9.5</v>
      </c>
      <c r="BG59" t="s">
        <v>25</v>
      </c>
      <c r="BH59" t="s">
        <v>25</v>
      </c>
      <c r="BI59" t="s">
        <v>25</v>
      </c>
      <c r="BJ59" t="s">
        <v>25</v>
      </c>
      <c r="BK59" t="s">
        <v>25</v>
      </c>
      <c r="BL59" t="s">
        <v>25</v>
      </c>
      <c r="BM59" t="s">
        <v>25</v>
      </c>
      <c r="BN59" t="s">
        <v>25</v>
      </c>
      <c r="BO59" t="s">
        <v>25</v>
      </c>
      <c r="BP59" t="s">
        <v>25</v>
      </c>
      <c r="BQ59" t="s">
        <v>25</v>
      </c>
      <c r="BR59" t="s">
        <v>25</v>
      </c>
      <c r="BS59" t="s">
        <v>25</v>
      </c>
      <c r="BT59" t="s">
        <v>25</v>
      </c>
      <c r="BU59">
        <v>10</v>
      </c>
      <c r="BV59" t="s">
        <v>25</v>
      </c>
      <c r="BW59" t="s">
        <v>25</v>
      </c>
      <c r="BX59" t="s">
        <v>25</v>
      </c>
      <c r="BY59" t="s">
        <v>25</v>
      </c>
      <c r="BZ59" t="s">
        <v>25</v>
      </c>
      <c r="CA59" t="s">
        <v>25</v>
      </c>
      <c r="CB59" t="s">
        <v>25</v>
      </c>
      <c r="CG59">
        <v>6</v>
      </c>
      <c r="DL59">
        <f t="shared" si="2"/>
        <v>3</v>
      </c>
      <c r="DM59" s="18">
        <f t="shared" si="3"/>
        <v>8.5</v>
      </c>
      <c r="DN59">
        <f t="shared" si="4"/>
        <v>2.179449471770337</v>
      </c>
      <c r="DO59">
        <v>0</v>
      </c>
      <c r="DP59">
        <f t="shared" si="5"/>
        <v>0</v>
      </c>
      <c r="DQ59">
        <f t="shared" si="6"/>
        <v>0</v>
      </c>
    </row>
    <row r="60" spans="1:121" x14ac:dyDescent="0.35">
      <c r="A60" t="s">
        <v>52</v>
      </c>
      <c r="B60" t="s">
        <v>25</v>
      </c>
      <c r="C60" t="s">
        <v>25</v>
      </c>
      <c r="D60" t="s">
        <v>25</v>
      </c>
      <c r="E60" t="s">
        <v>25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25</v>
      </c>
      <c r="L60">
        <v>5</v>
      </c>
      <c r="M60" t="s">
        <v>25</v>
      </c>
      <c r="N60" t="s">
        <v>25</v>
      </c>
      <c r="O60" t="s">
        <v>25</v>
      </c>
      <c r="P60" t="s">
        <v>25</v>
      </c>
      <c r="Q60" t="s">
        <v>25</v>
      </c>
      <c r="R60" t="s">
        <v>25</v>
      </c>
      <c r="S60" t="s">
        <v>25</v>
      </c>
      <c r="T60" t="s">
        <v>25</v>
      </c>
      <c r="U60" t="s">
        <v>25</v>
      </c>
      <c r="V60" t="s">
        <v>25</v>
      </c>
      <c r="W60" t="s">
        <v>25</v>
      </c>
      <c r="X60" t="s">
        <v>25</v>
      </c>
      <c r="Y60" t="s">
        <v>25</v>
      </c>
      <c r="Z60" t="s">
        <v>25</v>
      </c>
      <c r="AA60" t="s">
        <v>25</v>
      </c>
      <c r="AB60" t="s">
        <v>25</v>
      </c>
      <c r="AC60" t="s">
        <v>25</v>
      </c>
      <c r="AD60" t="s">
        <v>25</v>
      </c>
      <c r="AE60" t="s">
        <v>25</v>
      </c>
      <c r="AF60" t="s">
        <v>25</v>
      </c>
      <c r="AG60">
        <v>5.5</v>
      </c>
      <c r="AH60" t="s">
        <v>25</v>
      </c>
      <c r="AI60" t="s">
        <v>25</v>
      </c>
      <c r="AJ60" t="s">
        <v>25</v>
      </c>
      <c r="AK60" t="s">
        <v>25</v>
      </c>
      <c r="AL60" t="s">
        <v>25</v>
      </c>
      <c r="AM60" t="s">
        <v>25</v>
      </c>
      <c r="AN60" t="s">
        <v>25</v>
      </c>
      <c r="AO60" t="s">
        <v>25</v>
      </c>
      <c r="AP60" t="s">
        <v>25</v>
      </c>
      <c r="AQ60" t="s">
        <v>25</v>
      </c>
      <c r="AR60" t="s">
        <v>25</v>
      </c>
      <c r="AS60" t="s">
        <v>25</v>
      </c>
      <c r="AT60" t="s">
        <v>25</v>
      </c>
      <c r="AU60" t="s">
        <v>25</v>
      </c>
      <c r="AV60" t="s">
        <v>25</v>
      </c>
      <c r="AW60" t="s">
        <v>25</v>
      </c>
      <c r="AX60" t="s">
        <v>25</v>
      </c>
      <c r="AY60" t="s">
        <v>25</v>
      </c>
      <c r="AZ60" t="s">
        <v>25</v>
      </c>
      <c r="BA60" t="s">
        <v>25</v>
      </c>
      <c r="BB60" t="s">
        <v>25</v>
      </c>
      <c r="BC60" t="s">
        <v>25</v>
      </c>
      <c r="BD60" t="s">
        <v>25</v>
      </c>
      <c r="BE60" t="s">
        <v>25</v>
      </c>
      <c r="BF60" t="s">
        <v>25</v>
      </c>
      <c r="BG60" t="s">
        <v>25</v>
      </c>
      <c r="BH60" t="s">
        <v>25</v>
      </c>
      <c r="BI60" t="s">
        <v>25</v>
      </c>
      <c r="BJ60" t="s">
        <v>25</v>
      </c>
      <c r="BK60" t="s">
        <v>25</v>
      </c>
      <c r="BL60" t="s">
        <v>25</v>
      </c>
      <c r="BM60" t="s">
        <v>25</v>
      </c>
      <c r="BN60" t="s">
        <v>25</v>
      </c>
      <c r="BO60" t="s">
        <v>25</v>
      </c>
      <c r="BP60" t="s">
        <v>25</v>
      </c>
      <c r="BQ60" t="s">
        <v>25</v>
      </c>
      <c r="BR60" t="s">
        <v>25</v>
      </c>
      <c r="BS60" t="s">
        <v>25</v>
      </c>
      <c r="BT60" t="s">
        <v>25</v>
      </c>
      <c r="BU60" t="s">
        <v>25</v>
      </c>
      <c r="BV60" t="s">
        <v>25</v>
      </c>
      <c r="BW60" t="s">
        <v>25</v>
      </c>
      <c r="BX60" t="s">
        <v>25</v>
      </c>
      <c r="BY60" t="s">
        <v>25</v>
      </c>
      <c r="BZ60" t="s">
        <v>25</v>
      </c>
      <c r="CA60" t="s">
        <v>25</v>
      </c>
      <c r="CB60" t="s">
        <v>25</v>
      </c>
      <c r="CS60">
        <v>5.5</v>
      </c>
      <c r="DL60">
        <f t="shared" si="2"/>
        <v>3</v>
      </c>
      <c r="DM60" s="18">
        <f t="shared" si="3"/>
        <v>5.333333333333333</v>
      </c>
      <c r="DN60">
        <f t="shared" si="4"/>
        <v>0.28867513459481287</v>
      </c>
      <c r="DO60">
        <v>0</v>
      </c>
      <c r="DP60">
        <f t="shared" si="5"/>
        <v>0</v>
      </c>
      <c r="DQ60">
        <f t="shared" si="6"/>
        <v>0</v>
      </c>
    </row>
    <row r="61" spans="1:121" x14ac:dyDescent="0.35">
      <c r="A61" t="s">
        <v>138</v>
      </c>
      <c r="B61" t="s">
        <v>25</v>
      </c>
      <c r="C61" t="s">
        <v>25</v>
      </c>
      <c r="D61" t="s">
        <v>25</v>
      </c>
      <c r="E61" t="s">
        <v>25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25</v>
      </c>
      <c r="L61" t="s">
        <v>25</v>
      </c>
      <c r="M61" t="s">
        <v>25</v>
      </c>
      <c r="N61" t="s">
        <v>25</v>
      </c>
      <c r="O61" t="s">
        <v>25</v>
      </c>
      <c r="P61" t="s">
        <v>25</v>
      </c>
      <c r="Q61" t="s">
        <v>25</v>
      </c>
      <c r="R61" t="s">
        <v>25</v>
      </c>
      <c r="S61" t="s">
        <v>25</v>
      </c>
      <c r="T61" t="s">
        <v>25</v>
      </c>
      <c r="U61" t="s">
        <v>25</v>
      </c>
      <c r="V61" t="s">
        <v>25</v>
      </c>
      <c r="W61" t="s">
        <v>25</v>
      </c>
      <c r="X61" t="s">
        <v>25</v>
      </c>
      <c r="Y61" t="s">
        <v>25</v>
      </c>
      <c r="Z61" t="s">
        <v>25</v>
      </c>
      <c r="AA61" t="s">
        <v>25</v>
      </c>
      <c r="AB61" t="s">
        <v>25</v>
      </c>
      <c r="AC61" t="s">
        <v>25</v>
      </c>
      <c r="AD61" t="s">
        <v>25</v>
      </c>
      <c r="AE61" t="s">
        <v>25</v>
      </c>
      <c r="AF61" t="s">
        <v>25</v>
      </c>
      <c r="AG61" t="s">
        <v>25</v>
      </c>
      <c r="AH61" t="s">
        <v>25</v>
      </c>
      <c r="AI61" t="s">
        <v>25</v>
      </c>
      <c r="AJ61" t="s">
        <v>25</v>
      </c>
      <c r="AK61" t="s">
        <v>25</v>
      </c>
      <c r="AL61" t="s">
        <v>25</v>
      </c>
      <c r="AM61" t="s">
        <v>25</v>
      </c>
      <c r="AN61" t="s">
        <v>25</v>
      </c>
      <c r="AO61" t="s">
        <v>25</v>
      </c>
      <c r="AP61" t="s">
        <v>25</v>
      </c>
      <c r="AQ61" t="s">
        <v>25</v>
      </c>
      <c r="AR61" t="s">
        <v>25</v>
      </c>
      <c r="AS61" t="s">
        <v>25</v>
      </c>
      <c r="AT61" t="s">
        <v>25</v>
      </c>
      <c r="AU61" t="s">
        <v>25</v>
      </c>
      <c r="AV61" t="s">
        <v>25</v>
      </c>
      <c r="AW61" t="s">
        <v>25</v>
      </c>
      <c r="AX61" t="s">
        <v>25</v>
      </c>
      <c r="AY61" t="s">
        <v>25</v>
      </c>
      <c r="AZ61" t="s">
        <v>25</v>
      </c>
      <c r="BA61" t="s">
        <v>25</v>
      </c>
      <c r="BB61" t="s">
        <v>25</v>
      </c>
      <c r="BC61" t="s">
        <v>25</v>
      </c>
      <c r="BD61" t="s">
        <v>25</v>
      </c>
      <c r="BE61" t="s">
        <v>25</v>
      </c>
      <c r="BF61" t="s">
        <v>25</v>
      </c>
      <c r="BG61" t="s">
        <v>25</v>
      </c>
      <c r="BH61" t="s">
        <v>25</v>
      </c>
      <c r="BI61" t="s">
        <v>25</v>
      </c>
      <c r="BJ61" t="s">
        <v>25</v>
      </c>
      <c r="BK61" t="s">
        <v>25</v>
      </c>
      <c r="BL61" t="s">
        <v>25</v>
      </c>
      <c r="BM61" t="s">
        <v>25</v>
      </c>
      <c r="BN61" t="s">
        <v>25</v>
      </c>
      <c r="BO61" t="s">
        <v>25</v>
      </c>
      <c r="BP61" t="s">
        <v>25</v>
      </c>
      <c r="BQ61" t="s">
        <v>25</v>
      </c>
      <c r="BR61" t="s">
        <v>25</v>
      </c>
      <c r="BS61" t="s">
        <v>25</v>
      </c>
      <c r="BT61" t="s">
        <v>25</v>
      </c>
      <c r="BU61" t="s">
        <v>25</v>
      </c>
      <c r="BV61" t="s">
        <v>25</v>
      </c>
      <c r="BW61" t="s">
        <v>25</v>
      </c>
      <c r="BX61" t="s">
        <v>25</v>
      </c>
      <c r="BY61" t="s">
        <v>25</v>
      </c>
      <c r="BZ61" t="s">
        <v>25</v>
      </c>
      <c r="CA61" t="s">
        <v>25</v>
      </c>
      <c r="CB61" t="s">
        <v>25</v>
      </c>
      <c r="CG61">
        <v>7</v>
      </c>
      <c r="CH61">
        <v>6</v>
      </c>
      <c r="CJ61">
        <v>7</v>
      </c>
      <c r="DL61">
        <f t="shared" si="2"/>
        <v>3</v>
      </c>
      <c r="DM61" s="18">
        <f t="shared" si="3"/>
        <v>6.666666666666667</v>
      </c>
      <c r="DN61">
        <f t="shared" si="4"/>
        <v>0.57735026918962584</v>
      </c>
      <c r="DO61">
        <v>0</v>
      </c>
      <c r="DP61">
        <f t="shared" si="5"/>
        <v>0</v>
      </c>
      <c r="DQ61">
        <f t="shared" si="6"/>
        <v>0</v>
      </c>
    </row>
    <row r="62" spans="1:121" x14ac:dyDescent="0.35">
      <c r="A62" t="s">
        <v>130</v>
      </c>
      <c r="B62" t="s">
        <v>25</v>
      </c>
      <c r="C62" t="s">
        <v>25</v>
      </c>
      <c r="D62" t="s">
        <v>25</v>
      </c>
      <c r="E62" t="s">
        <v>25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25</v>
      </c>
      <c r="L62" t="s">
        <v>25</v>
      </c>
      <c r="M62" t="s">
        <v>25</v>
      </c>
      <c r="N62" t="s">
        <v>25</v>
      </c>
      <c r="O62" t="s">
        <v>25</v>
      </c>
      <c r="P62" t="s">
        <v>25</v>
      </c>
      <c r="Q62" t="s">
        <v>25</v>
      </c>
      <c r="R62" t="s">
        <v>25</v>
      </c>
      <c r="S62" t="s">
        <v>25</v>
      </c>
      <c r="T62" t="s">
        <v>25</v>
      </c>
      <c r="U62" t="s">
        <v>25</v>
      </c>
      <c r="V62" t="s">
        <v>25</v>
      </c>
      <c r="W62" t="s">
        <v>25</v>
      </c>
      <c r="X62" t="s">
        <v>25</v>
      </c>
      <c r="Y62" t="s">
        <v>25</v>
      </c>
      <c r="Z62" t="s">
        <v>25</v>
      </c>
      <c r="AA62" t="s">
        <v>25</v>
      </c>
      <c r="AB62" t="s">
        <v>25</v>
      </c>
      <c r="AC62" t="s">
        <v>25</v>
      </c>
      <c r="AD62" t="s">
        <v>25</v>
      </c>
      <c r="AE62" t="s">
        <v>25</v>
      </c>
      <c r="AF62" t="s">
        <v>25</v>
      </c>
      <c r="AG62" t="s">
        <v>25</v>
      </c>
      <c r="AH62" t="s">
        <v>25</v>
      </c>
      <c r="AI62" t="s">
        <v>25</v>
      </c>
      <c r="AJ62" t="s">
        <v>25</v>
      </c>
      <c r="AK62" t="s">
        <v>25</v>
      </c>
      <c r="AL62" t="s">
        <v>25</v>
      </c>
      <c r="AM62" t="s">
        <v>25</v>
      </c>
      <c r="AN62" t="s">
        <v>25</v>
      </c>
      <c r="AO62" t="s">
        <v>25</v>
      </c>
      <c r="AP62" t="s">
        <v>25</v>
      </c>
      <c r="AQ62" t="s">
        <v>25</v>
      </c>
      <c r="AR62" t="s">
        <v>25</v>
      </c>
      <c r="AS62" t="s">
        <v>25</v>
      </c>
      <c r="AT62" t="s">
        <v>25</v>
      </c>
      <c r="AU62" t="s">
        <v>25</v>
      </c>
      <c r="AV62" t="s">
        <v>25</v>
      </c>
      <c r="AW62" t="s">
        <v>25</v>
      </c>
      <c r="AX62" t="s">
        <v>25</v>
      </c>
      <c r="AY62" t="s">
        <v>25</v>
      </c>
      <c r="AZ62" t="s">
        <v>25</v>
      </c>
      <c r="BA62" t="s">
        <v>25</v>
      </c>
      <c r="BB62" t="s">
        <v>25</v>
      </c>
      <c r="BC62" t="s">
        <v>25</v>
      </c>
      <c r="BD62" t="s">
        <v>25</v>
      </c>
      <c r="BE62" t="s">
        <v>25</v>
      </c>
      <c r="BF62" t="s">
        <v>25</v>
      </c>
      <c r="BG62" t="s">
        <v>25</v>
      </c>
      <c r="BH62" t="s">
        <v>25</v>
      </c>
      <c r="BI62" t="s">
        <v>25</v>
      </c>
      <c r="BJ62" t="s">
        <v>25</v>
      </c>
      <c r="BK62" t="s">
        <v>25</v>
      </c>
      <c r="BL62" t="s">
        <v>25</v>
      </c>
      <c r="BM62" t="s">
        <v>25</v>
      </c>
      <c r="BN62" t="s">
        <v>25</v>
      </c>
      <c r="BO62" t="s">
        <v>25</v>
      </c>
      <c r="BP62" t="s">
        <v>25</v>
      </c>
      <c r="BQ62" t="s">
        <v>25</v>
      </c>
      <c r="BR62" t="s">
        <v>25</v>
      </c>
      <c r="BS62" t="s">
        <v>25</v>
      </c>
      <c r="BT62" t="s">
        <v>25</v>
      </c>
      <c r="BU62" t="s">
        <v>25</v>
      </c>
      <c r="BV62" t="s">
        <v>25</v>
      </c>
      <c r="BW62" t="s">
        <v>25</v>
      </c>
      <c r="BX62" t="s">
        <v>25</v>
      </c>
      <c r="BY62">
        <v>5.5</v>
      </c>
      <c r="BZ62">
        <v>5.5</v>
      </c>
      <c r="CA62" t="s">
        <v>25</v>
      </c>
      <c r="CB62" t="s">
        <v>25</v>
      </c>
      <c r="DF62">
        <v>5</v>
      </c>
      <c r="DL62">
        <f t="shared" si="2"/>
        <v>3</v>
      </c>
      <c r="DM62" s="18">
        <f t="shared" si="3"/>
        <v>5.333333333333333</v>
      </c>
      <c r="DN62">
        <f t="shared" si="4"/>
        <v>0.28867513459481287</v>
      </c>
      <c r="DO62">
        <v>0</v>
      </c>
      <c r="DP62">
        <f t="shared" si="5"/>
        <v>1</v>
      </c>
      <c r="DQ62">
        <f t="shared" si="6"/>
        <v>1</v>
      </c>
    </row>
    <row r="63" spans="1:121" x14ac:dyDescent="0.35">
      <c r="A63" t="s">
        <v>113</v>
      </c>
      <c r="B63" t="s">
        <v>25</v>
      </c>
      <c r="C63" t="s">
        <v>25</v>
      </c>
      <c r="D63" t="s">
        <v>25</v>
      </c>
      <c r="E63" t="s">
        <v>25</v>
      </c>
      <c r="F63" t="s">
        <v>25</v>
      </c>
      <c r="G63" t="s">
        <v>25</v>
      </c>
      <c r="H63" t="s">
        <v>25</v>
      </c>
      <c r="I63" t="s">
        <v>25</v>
      </c>
      <c r="J63" t="s">
        <v>25</v>
      </c>
      <c r="K63" t="s">
        <v>25</v>
      </c>
      <c r="L63" t="s">
        <v>25</v>
      </c>
      <c r="M63" t="s">
        <v>25</v>
      </c>
      <c r="N63" t="s">
        <v>25</v>
      </c>
      <c r="O63" t="s">
        <v>25</v>
      </c>
      <c r="P63" t="s">
        <v>25</v>
      </c>
      <c r="Q63" t="s">
        <v>25</v>
      </c>
      <c r="R63" t="s">
        <v>25</v>
      </c>
      <c r="S63" t="s">
        <v>25</v>
      </c>
      <c r="T63" t="s">
        <v>25</v>
      </c>
      <c r="U63" t="s">
        <v>25</v>
      </c>
      <c r="V63" t="s">
        <v>25</v>
      </c>
      <c r="W63" t="s">
        <v>25</v>
      </c>
      <c r="X63" t="s">
        <v>25</v>
      </c>
      <c r="Y63" t="s">
        <v>25</v>
      </c>
      <c r="Z63" t="s">
        <v>25</v>
      </c>
      <c r="AA63" t="s">
        <v>25</v>
      </c>
      <c r="AB63" t="s">
        <v>25</v>
      </c>
      <c r="AC63" t="s">
        <v>25</v>
      </c>
      <c r="AD63" t="s">
        <v>25</v>
      </c>
      <c r="AE63" t="s">
        <v>25</v>
      </c>
      <c r="AF63" t="s">
        <v>25</v>
      </c>
      <c r="AG63" t="s">
        <v>25</v>
      </c>
      <c r="AH63" t="s">
        <v>25</v>
      </c>
      <c r="AI63" t="s">
        <v>25</v>
      </c>
      <c r="AJ63" t="s">
        <v>25</v>
      </c>
      <c r="AK63" t="s">
        <v>25</v>
      </c>
      <c r="AL63" t="s">
        <v>25</v>
      </c>
      <c r="AM63" t="s">
        <v>25</v>
      </c>
      <c r="AN63" t="s">
        <v>25</v>
      </c>
      <c r="AO63" t="s">
        <v>25</v>
      </c>
      <c r="AP63" t="s">
        <v>25</v>
      </c>
      <c r="AQ63" t="s">
        <v>25</v>
      </c>
      <c r="AR63" t="s">
        <v>25</v>
      </c>
      <c r="AS63" t="s">
        <v>25</v>
      </c>
      <c r="AT63" t="s">
        <v>25</v>
      </c>
      <c r="AU63" t="s">
        <v>25</v>
      </c>
      <c r="AV63" t="s">
        <v>25</v>
      </c>
      <c r="AW63">
        <v>5</v>
      </c>
      <c r="AX63" t="s">
        <v>25</v>
      </c>
      <c r="AY63" t="s">
        <v>25</v>
      </c>
      <c r="AZ63" t="s">
        <v>25</v>
      </c>
      <c r="BA63" t="s">
        <v>25</v>
      </c>
      <c r="BB63" t="s">
        <v>25</v>
      </c>
      <c r="BC63" t="s">
        <v>25</v>
      </c>
      <c r="BD63" t="s">
        <v>25</v>
      </c>
      <c r="BE63" t="s">
        <v>25</v>
      </c>
      <c r="BF63" t="s">
        <v>25</v>
      </c>
      <c r="BG63" t="s">
        <v>25</v>
      </c>
      <c r="BH63" t="s">
        <v>25</v>
      </c>
      <c r="BI63" t="s">
        <v>25</v>
      </c>
      <c r="BJ63" t="s">
        <v>25</v>
      </c>
      <c r="BK63" t="s">
        <v>25</v>
      </c>
      <c r="BL63" t="s">
        <v>25</v>
      </c>
      <c r="BM63" t="s">
        <v>25</v>
      </c>
      <c r="BN63" t="s">
        <v>25</v>
      </c>
      <c r="BO63" t="s">
        <v>25</v>
      </c>
      <c r="BP63" t="s">
        <v>25</v>
      </c>
      <c r="BQ63" t="s">
        <v>25</v>
      </c>
      <c r="BR63" t="s">
        <v>25</v>
      </c>
      <c r="BS63" t="s">
        <v>25</v>
      </c>
      <c r="BT63" t="s">
        <v>25</v>
      </c>
      <c r="BU63" t="s">
        <v>25</v>
      </c>
      <c r="BV63" t="s">
        <v>25</v>
      </c>
      <c r="BW63" t="s">
        <v>25</v>
      </c>
      <c r="BX63" t="s">
        <v>25</v>
      </c>
      <c r="BY63" t="s">
        <v>25</v>
      </c>
      <c r="BZ63" t="s">
        <v>25</v>
      </c>
      <c r="CA63" t="s">
        <v>25</v>
      </c>
      <c r="CB63" t="s">
        <v>25</v>
      </c>
      <c r="CD63">
        <v>5.5</v>
      </c>
      <c r="DL63">
        <f t="shared" si="2"/>
        <v>2</v>
      </c>
      <c r="DM63" s="18">
        <f t="shared" si="3"/>
        <v>5.25</v>
      </c>
      <c r="DN63">
        <f t="shared" si="4"/>
        <v>0.35355339059327379</v>
      </c>
      <c r="DO63">
        <v>0</v>
      </c>
      <c r="DP63">
        <f t="shared" si="5"/>
        <v>0</v>
      </c>
      <c r="DQ63">
        <f t="shared" si="6"/>
        <v>0</v>
      </c>
    </row>
    <row r="64" spans="1:121" x14ac:dyDescent="0.35">
      <c r="A64" t="s">
        <v>94</v>
      </c>
      <c r="B64" t="s">
        <v>25</v>
      </c>
      <c r="C64" t="s">
        <v>25</v>
      </c>
      <c r="D64" t="s">
        <v>25</v>
      </c>
      <c r="E64" t="s">
        <v>25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25</v>
      </c>
      <c r="L64" t="s">
        <v>25</v>
      </c>
      <c r="M64" t="s">
        <v>25</v>
      </c>
      <c r="N64" t="s">
        <v>25</v>
      </c>
      <c r="O64" t="s">
        <v>25</v>
      </c>
      <c r="P64" t="s">
        <v>25</v>
      </c>
      <c r="Q64" t="s">
        <v>25</v>
      </c>
      <c r="R64" t="s">
        <v>25</v>
      </c>
      <c r="S64" t="s">
        <v>25</v>
      </c>
      <c r="T64" t="s">
        <v>25</v>
      </c>
      <c r="U64" t="s">
        <v>25</v>
      </c>
      <c r="V64" t="s">
        <v>25</v>
      </c>
      <c r="W64" t="s">
        <v>25</v>
      </c>
      <c r="X64" t="s">
        <v>25</v>
      </c>
      <c r="Y64" t="s">
        <v>25</v>
      </c>
      <c r="Z64" t="s">
        <v>25</v>
      </c>
      <c r="AA64" t="s">
        <v>25</v>
      </c>
      <c r="AB64" t="s">
        <v>25</v>
      </c>
      <c r="AC64" t="s">
        <v>25</v>
      </c>
      <c r="AD64" t="s">
        <v>25</v>
      </c>
      <c r="AE64" t="s">
        <v>25</v>
      </c>
      <c r="AF64" t="s">
        <v>25</v>
      </c>
      <c r="AG64" t="s">
        <v>25</v>
      </c>
      <c r="AH64" t="s">
        <v>25</v>
      </c>
      <c r="AI64" t="s">
        <v>25</v>
      </c>
      <c r="AJ64">
        <v>8.5</v>
      </c>
      <c r="AK64" t="s">
        <v>25</v>
      </c>
      <c r="AL64" t="s">
        <v>25</v>
      </c>
      <c r="AM64" t="s">
        <v>25</v>
      </c>
      <c r="AN64" t="s">
        <v>25</v>
      </c>
      <c r="AO64" t="s">
        <v>25</v>
      </c>
      <c r="AP64" t="s">
        <v>25</v>
      </c>
      <c r="AQ64" t="s">
        <v>25</v>
      </c>
      <c r="AR64" t="s">
        <v>25</v>
      </c>
      <c r="AS64" t="s">
        <v>25</v>
      </c>
      <c r="AT64" t="s">
        <v>25</v>
      </c>
      <c r="AU64" t="s">
        <v>25</v>
      </c>
      <c r="AV64" t="s">
        <v>25</v>
      </c>
      <c r="AW64">
        <v>5</v>
      </c>
      <c r="AX64" t="s">
        <v>25</v>
      </c>
      <c r="AY64" t="s">
        <v>25</v>
      </c>
      <c r="AZ64" t="s">
        <v>25</v>
      </c>
      <c r="BA64" t="s">
        <v>25</v>
      </c>
      <c r="BB64" t="s">
        <v>25</v>
      </c>
      <c r="BC64" t="s">
        <v>25</v>
      </c>
      <c r="BD64" t="s">
        <v>25</v>
      </c>
      <c r="BE64" t="s">
        <v>25</v>
      </c>
      <c r="BF64" t="s">
        <v>25</v>
      </c>
      <c r="BG64" t="s">
        <v>25</v>
      </c>
      <c r="BH64" t="s">
        <v>25</v>
      </c>
      <c r="BI64" t="s">
        <v>25</v>
      </c>
      <c r="BJ64" t="s">
        <v>25</v>
      </c>
      <c r="BK64" t="s">
        <v>25</v>
      </c>
      <c r="BL64" t="s">
        <v>25</v>
      </c>
      <c r="BM64" t="s">
        <v>25</v>
      </c>
      <c r="BN64" t="s">
        <v>25</v>
      </c>
      <c r="BO64" t="s">
        <v>25</v>
      </c>
      <c r="BP64" t="s">
        <v>25</v>
      </c>
      <c r="BQ64" t="s">
        <v>25</v>
      </c>
      <c r="BR64" t="s">
        <v>25</v>
      </c>
      <c r="BS64" t="s">
        <v>25</v>
      </c>
      <c r="BT64" t="s">
        <v>25</v>
      </c>
      <c r="BU64" t="s">
        <v>25</v>
      </c>
      <c r="BV64" t="s">
        <v>25</v>
      </c>
      <c r="BW64" t="s">
        <v>25</v>
      </c>
      <c r="BX64" t="s">
        <v>25</v>
      </c>
      <c r="BY64" t="s">
        <v>25</v>
      </c>
      <c r="BZ64" t="s">
        <v>25</v>
      </c>
      <c r="CA64" t="s">
        <v>25</v>
      </c>
      <c r="CB64" t="s">
        <v>25</v>
      </c>
      <c r="DL64">
        <f t="shared" si="2"/>
        <v>2</v>
      </c>
      <c r="DM64" s="18">
        <f t="shared" si="3"/>
        <v>6.75</v>
      </c>
      <c r="DN64">
        <f t="shared" si="4"/>
        <v>2.4748737341529163</v>
      </c>
      <c r="DO64">
        <v>0</v>
      </c>
      <c r="DP64">
        <f t="shared" si="5"/>
        <v>0</v>
      </c>
      <c r="DQ64">
        <f t="shared" si="6"/>
        <v>0</v>
      </c>
    </row>
    <row r="65" spans="1:121" x14ac:dyDescent="0.35">
      <c r="A65" t="s">
        <v>120</v>
      </c>
      <c r="B65" t="s">
        <v>25</v>
      </c>
      <c r="C65" t="s">
        <v>25</v>
      </c>
      <c r="D65" t="s">
        <v>25</v>
      </c>
      <c r="E65" t="s">
        <v>25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25</v>
      </c>
      <c r="L65" t="s">
        <v>25</v>
      </c>
      <c r="M65" t="s">
        <v>25</v>
      </c>
      <c r="N65" t="s">
        <v>25</v>
      </c>
      <c r="O65" t="s">
        <v>25</v>
      </c>
      <c r="P65" t="s">
        <v>25</v>
      </c>
      <c r="Q65" t="s">
        <v>25</v>
      </c>
      <c r="R65" t="s">
        <v>25</v>
      </c>
      <c r="S65" t="s">
        <v>25</v>
      </c>
      <c r="T65" t="s">
        <v>25</v>
      </c>
      <c r="U65" t="s">
        <v>25</v>
      </c>
      <c r="V65" t="s">
        <v>25</v>
      </c>
      <c r="W65" t="s">
        <v>25</v>
      </c>
      <c r="X65" t="s">
        <v>25</v>
      </c>
      <c r="Y65" t="s">
        <v>25</v>
      </c>
      <c r="Z65" t="s">
        <v>25</v>
      </c>
      <c r="AA65" t="s">
        <v>25</v>
      </c>
      <c r="AB65" t="s">
        <v>25</v>
      </c>
      <c r="AC65" t="s">
        <v>25</v>
      </c>
      <c r="AD65" t="s">
        <v>25</v>
      </c>
      <c r="AE65" t="s">
        <v>25</v>
      </c>
      <c r="AF65" t="s">
        <v>25</v>
      </c>
      <c r="AG65" t="s">
        <v>25</v>
      </c>
      <c r="AH65" t="s">
        <v>25</v>
      </c>
      <c r="AI65" t="s">
        <v>25</v>
      </c>
      <c r="AJ65" t="s">
        <v>25</v>
      </c>
      <c r="AK65" t="s">
        <v>25</v>
      </c>
      <c r="AL65" t="s">
        <v>25</v>
      </c>
      <c r="AM65" t="s">
        <v>25</v>
      </c>
      <c r="AN65" t="s">
        <v>25</v>
      </c>
      <c r="AO65" t="s">
        <v>25</v>
      </c>
      <c r="AP65" t="s">
        <v>25</v>
      </c>
      <c r="AQ65" t="s">
        <v>25</v>
      </c>
      <c r="AR65" t="s">
        <v>25</v>
      </c>
      <c r="AS65" t="s">
        <v>25</v>
      </c>
      <c r="AT65" t="s">
        <v>25</v>
      </c>
      <c r="AU65" t="s">
        <v>25</v>
      </c>
      <c r="AV65" t="s">
        <v>25</v>
      </c>
      <c r="AW65" t="s">
        <v>25</v>
      </c>
      <c r="AX65" t="s">
        <v>25</v>
      </c>
      <c r="AY65" t="s">
        <v>25</v>
      </c>
      <c r="AZ65" t="s">
        <v>25</v>
      </c>
      <c r="BA65" t="s">
        <v>25</v>
      </c>
      <c r="BB65" t="s">
        <v>25</v>
      </c>
      <c r="BC65" t="s">
        <v>25</v>
      </c>
      <c r="BD65" t="s">
        <v>25</v>
      </c>
      <c r="BE65" t="s">
        <v>25</v>
      </c>
      <c r="BF65" t="s">
        <v>25</v>
      </c>
      <c r="BG65">
        <v>6.5</v>
      </c>
      <c r="BH65">
        <v>5</v>
      </c>
      <c r="BI65" t="s">
        <v>25</v>
      </c>
      <c r="BJ65" t="s">
        <v>25</v>
      </c>
      <c r="BK65" t="s">
        <v>25</v>
      </c>
      <c r="BL65" t="s">
        <v>25</v>
      </c>
      <c r="BM65" t="s">
        <v>25</v>
      </c>
      <c r="BN65" t="s">
        <v>25</v>
      </c>
      <c r="BO65" t="s">
        <v>25</v>
      </c>
      <c r="BP65" t="s">
        <v>25</v>
      </c>
      <c r="BQ65" t="s">
        <v>25</v>
      </c>
      <c r="BR65" t="s">
        <v>25</v>
      </c>
      <c r="BS65" t="s">
        <v>25</v>
      </c>
      <c r="BT65" t="s">
        <v>25</v>
      </c>
      <c r="BU65" t="s">
        <v>25</v>
      </c>
      <c r="BV65" t="s">
        <v>25</v>
      </c>
      <c r="BW65" t="s">
        <v>25</v>
      </c>
      <c r="BX65" t="s">
        <v>25</v>
      </c>
      <c r="BY65" t="s">
        <v>25</v>
      </c>
      <c r="BZ65" t="s">
        <v>25</v>
      </c>
      <c r="CA65" t="s">
        <v>25</v>
      </c>
      <c r="CB65" t="s">
        <v>25</v>
      </c>
      <c r="DL65">
        <f t="shared" si="2"/>
        <v>2</v>
      </c>
      <c r="DM65" s="18">
        <f t="shared" si="3"/>
        <v>5.75</v>
      </c>
      <c r="DN65">
        <f t="shared" si="4"/>
        <v>1.0606601717798212</v>
      </c>
      <c r="DO65">
        <v>0</v>
      </c>
      <c r="DP65">
        <f t="shared" si="5"/>
        <v>0</v>
      </c>
      <c r="DQ65">
        <f t="shared" si="6"/>
        <v>0</v>
      </c>
    </row>
    <row r="66" spans="1:121" x14ac:dyDescent="0.35">
      <c r="A66" t="s">
        <v>139</v>
      </c>
      <c r="B66" t="s">
        <v>25</v>
      </c>
      <c r="C66" t="s">
        <v>25</v>
      </c>
      <c r="D66" t="s">
        <v>25</v>
      </c>
      <c r="E66" t="s">
        <v>25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25</v>
      </c>
      <c r="L66" t="s">
        <v>25</v>
      </c>
      <c r="M66" t="s">
        <v>25</v>
      </c>
      <c r="N66" t="s">
        <v>25</v>
      </c>
      <c r="O66" t="s">
        <v>25</v>
      </c>
      <c r="P66" t="s">
        <v>25</v>
      </c>
      <c r="Q66" t="s">
        <v>25</v>
      </c>
      <c r="R66" t="s">
        <v>25</v>
      </c>
      <c r="S66" t="s">
        <v>25</v>
      </c>
      <c r="T66" t="s">
        <v>25</v>
      </c>
      <c r="U66" t="s">
        <v>25</v>
      </c>
      <c r="V66" t="s">
        <v>25</v>
      </c>
      <c r="W66" t="s">
        <v>25</v>
      </c>
      <c r="X66" t="s">
        <v>25</v>
      </c>
      <c r="Y66" t="s">
        <v>25</v>
      </c>
      <c r="Z66">
        <v>3.5</v>
      </c>
      <c r="AA66" t="s">
        <v>25</v>
      </c>
      <c r="AB66" t="s">
        <v>25</v>
      </c>
      <c r="AC66" t="s">
        <v>25</v>
      </c>
      <c r="AD66" t="s">
        <v>25</v>
      </c>
      <c r="AE66" t="s">
        <v>25</v>
      </c>
      <c r="AF66" t="s">
        <v>25</v>
      </c>
      <c r="AG66" t="s">
        <v>25</v>
      </c>
      <c r="AH66" t="s">
        <v>25</v>
      </c>
      <c r="AI66" t="s">
        <v>25</v>
      </c>
      <c r="AJ66" t="s">
        <v>25</v>
      </c>
      <c r="AK66" t="s">
        <v>25</v>
      </c>
      <c r="AL66" t="s">
        <v>25</v>
      </c>
      <c r="AM66" t="s">
        <v>25</v>
      </c>
      <c r="AN66" t="s">
        <v>25</v>
      </c>
      <c r="AO66" t="s">
        <v>25</v>
      </c>
      <c r="AP66" t="s">
        <v>25</v>
      </c>
      <c r="AQ66" t="s">
        <v>25</v>
      </c>
      <c r="AR66" t="s">
        <v>25</v>
      </c>
      <c r="AS66" t="s">
        <v>25</v>
      </c>
      <c r="AT66" t="s">
        <v>25</v>
      </c>
      <c r="AU66" t="s">
        <v>25</v>
      </c>
      <c r="AV66" t="s">
        <v>25</v>
      </c>
      <c r="AW66" t="s">
        <v>25</v>
      </c>
      <c r="AX66" t="s">
        <v>25</v>
      </c>
      <c r="AY66" t="s">
        <v>25</v>
      </c>
      <c r="AZ66" t="s">
        <v>25</v>
      </c>
      <c r="BA66" t="s">
        <v>25</v>
      </c>
      <c r="BB66" t="s">
        <v>25</v>
      </c>
      <c r="BC66" t="s">
        <v>25</v>
      </c>
      <c r="BD66" t="s">
        <v>25</v>
      </c>
      <c r="BE66" t="s">
        <v>25</v>
      </c>
      <c r="BF66" t="s">
        <v>25</v>
      </c>
      <c r="BG66" t="s">
        <v>25</v>
      </c>
      <c r="BH66" t="s">
        <v>25</v>
      </c>
      <c r="BI66" t="s">
        <v>25</v>
      </c>
      <c r="BJ66" t="s">
        <v>25</v>
      </c>
      <c r="BK66" t="s">
        <v>25</v>
      </c>
      <c r="BL66" t="s">
        <v>25</v>
      </c>
      <c r="BM66" t="s">
        <v>25</v>
      </c>
      <c r="BN66" t="s">
        <v>25</v>
      </c>
      <c r="BO66" t="s">
        <v>25</v>
      </c>
      <c r="BP66" t="s">
        <v>25</v>
      </c>
      <c r="BQ66" t="s">
        <v>25</v>
      </c>
      <c r="BR66" t="s">
        <v>25</v>
      </c>
      <c r="BS66" t="s">
        <v>25</v>
      </c>
      <c r="BT66" t="s">
        <v>25</v>
      </c>
      <c r="BU66" t="s">
        <v>25</v>
      </c>
      <c r="BV66" t="s">
        <v>25</v>
      </c>
      <c r="BW66" t="s">
        <v>25</v>
      </c>
      <c r="BX66" t="s">
        <v>25</v>
      </c>
      <c r="BY66" t="s">
        <v>25</v>
      </c>
      <c r="BZ66" t="s">
        <v>25</v>
      </c>
      <c r="CA66" t="s">
        <v>25</v>
      </c>
      <c r="CB66" t="s">
        <v>25</v>
      </c>
      <c r="CH66">
        <v>5</v>
      </c>
      <c r="DL66">
        <f t="shared" si="2"/>
        <v>2</v>
      </c>
      <c r="DM66" s="18">
        <f t="shared" si="3"/>
        <v>4.25</v>
      </c>
      <c r="DN66">
        <f t="shared" si="4"/>
        <v>1.0606601717798212</v>
      </c>
      <c r="DO66">
        <v>0</v>
      </c>
      <c r="DP66">
        <f t="shared" ref="DP66:DP89" si="7">COUNT(DF66:DH66)</f>
        <v>0</v>
      </c>
      <c r="DQ66">
        <f t="shared" ref="DQ66:DQ89" si="8">IF(DO66=0,DP66,0)</f>
        <v>0</v>
      </c>
    </row>
    <row r="67" spans="1:121" x14ac:dyDescent="0.35">
      <c r="A67" t="s">
        <v>146</v>
      </c>
      <c r="CU67">
        <v>7.5</v>
      </c>
      <c r="DA67">
        <v>7</v>
      </c>
      <c r="DL67">
        <f t="shared" ref="DL67:DL102" si="9">COUNT(B67:DI67)</f>
        <v>2</v>
      </c>
      <c r="DM67" s="18">
        <f t="shared" ref="DM67:DM102" si="10">AVERAGE(B67:DI67)</f>
        <v>7.25</v>
      </c>
      <c r="DN67">
        <f t="shared" ref="DN67:DN102" si="11">IF(DL67&gt;1,_xlfn.STDEV.S(B67:DI67),"")</f>
        <v>0.35355339059327379</v>
      </c>
      <c r="DO67">
        <v>0</v>
      </c>
      <c r="DP67">
        <f t="shared" si="7"/>
        <v>0</v>
      </c>
      <c r="DQ67">
        <f t="shared" si="8"/>
        <v>0</v>
      </c>
    </row>
    <row r="68" spans="1:121" x14ac:dyDescent="0.35">
      <c r="A68" t="s">
        <v>147</v>
      </c>
      <c r="CV68">
        <v>6</v>
      </c>
      <c r="DL68">
        <f t="shared" si="9"/>
        <v>1</v>
      </c>
      <c r="DM68" s="18">
        <f t="shared" si="10"/>
        <v>6</v>
      </c>
      <c r="DN68" t="str">
        <f t="shared" si="11"/>
        <v/>
      </c>
      <c r="DO68">
        <v>0</v>
      </c>
      <c r="DP68">
        <f t="shared" si="7"/>
        <v>0</v>
      </c>
      <c r="DQ68">
        <f t="shared" si="8"/>
        <v>0</v>
      </c>
    </row>
    <row r="69" spans="1:121" x14ac:dyDescent="0.35">
      <c r="A69" t="s">
        <v>85</v>
      </c>
      <c r="B69" t="s">
        <v>25</v>
      </c>
      <c r="C69" t="s">
        <v>25</v>
      </c>
      <c r="D69" t="s">
        <v>25</v>
      </c>
      <c r="E69" t="s">
        <v>25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25</v>
      </c>
      <c r="L69" t="s">
        <v>25</v>
      </c>
      <c r="M69" t="s">
        <v>25</v>
      </c>
      <c r="N69" t="s">
        <v>25</v>
      </c>
      <c r="O69" t="s">
        <v>25</v>
      </c>
      <c r="P69" t="s">
        <v>25</v>
      </c>
      <c r="Q69" t="s">
        <v>25</v>
      </c>
      <c r="R69" t="s">
        <v>25</v>
      </c>
      <c r="S69" t="s">
        <v>25</v>
      </c>
      <c r="T69" t="s">
        <v>25</v>
      </c>
      <c r="U69" t="s">
        <v>25</v>
      </c>
      <c r="V69" t="s">
        <v>25</v>
      </c>
      <c r="W69" t="s">
        <v>25</v>
      </c>
      <c r="X69" t="s">
        <v>25</v>
      </c>
      <c r="Y69" t="s">
        <v>25</v>
      </c>
      <c r="Z69" t="s">
        <v>25</v>
      </c>
      <c r="AA69" t="s">
        <v>25</v>
      </c>
      <c r="AB69" t="s">
        <v>25</v>
      </c>
      <c r="AC69" t="s">
        <v>25</v>
      </c>
      <c r="AD69">
        <v>10</v>
      </c>
      <c r="AE69" t="s">
        <v>25</v>
      </c>
      <c r="AF69" t="s">
        <v>25</v>
      </c>
      <c r="AG69" t="s">
        <v>25</v>
      </c>
      <c r="AH69" t="s">
        <v>25</v>
      </c>
      <c r="AI69" t="s">
        <v>25</v>
      </c>
      <c r="AJ69" t="s">
        <v>25</v>
      </c>
      <c r="AK69" t="s">
        <v>25</v>
      </c>
      <c r="AL69" t="s">
        <v>25</v>
      </c>
      <c r="AM69" t="s">
        <v>25</v>
      </c>
      <c r="AN69" t="s">
        <v>25</v>
      </c>
      <c r="AO69" t="s">
        <v>25</v>
      </c>
      <c r="AP69" t="s">
        <v>25</v>
      </c>
      <c r="AQ69" t="s">
        <v>25</v>
      </c>
      <c r="AR69" t="s">
        <v>25</v>
      </c>
      <c r="AS69" t="s">
        <v>25</v>
      </c>
      <c r="AT69" t="s">
        <v>25</v>
      </c>
      <c r="AU69" t="s">
        <v>25</v>
      </c>
      <c r="AV69" t="s">
        <v>25</v>
      </c>
      <c r="AW69" t="s">
        <v>25</v>
      </c>
      <c r="AX69" t="s">
        <v>25</v>
      </c>
      <c r="AY69" t="s">
        <v>25</v>
      </c>
      <c r="AZ69" t="s">
        <v>25</v>
      </c>
      <c r="BA69" t="s">
        <v>25</v>
      </c>
      <c r="BB69" t="s">
        <v>25</v>
      </c>
      <c r="BC69" t="s">
        <v>25</v>
      </c>
      <c r="BD69" t="s">
        <v>25</v>
      </c>
      <c r="BE69" t="s">
        <v>25</v>
      </c>
      <c r="BF69" t="s">
        <v>25</v>
      </c>
      <c r="BG69" t="s">
        <v>25</v>
      </c>
      <c r="BH69" t="s">
        <v>25</v>
      </c>
      <c r="BI69" t="s">
        <v>25</v>
      </c>
      <c r="BJ69" t="s">
        <v>25</v>
      </c>
      <c r="BK69" t="s">
        <v>25</v>
      </c>
      <c r="BL69" t="s">
        <v>25</v>
      </c>
      <c r="BM69" t="s">
        <v>25</v>
      </c>
      <c r="BN69" t="s">
        <v>25</v>
      </c>
      <c r="BO69" t="s">
        <v>25</v>
      </c>
      <c r="BP69" t="s">
        <v>25</v>
      </c>
      <c r="BQ69" t="s">
        <v>25</v>
      </c>
      <c r="BR69" t="s">
        <v>25</v>
      </c>
      <c r="BS69" t="s">
        <v>25</v>
      </c>
      <c r="BT69" t="s">
        <v>25</v>
      </c>
      <c r="BU69" t="s">
        <v>25</v>
      </c>
      <c r="BV69" t="s">
        <v>25</v>
      </c>
      <c r="BW69" t="s">
        <v>25</v>
      </c>
      <c r="BX69" t="s">
        <v>25</v>
      </c>
      <c r="BY69" t="s">
        <v>25</v>
      </c>
      <c r="BZ69" t="s">
        <v>25</v>
      </c>
      <c r="CA69" t="s">
        <v>25</v>
      </c>
      <c r="CB69" t="s">
        <v>25</v>
      </c>
      <c r="DL69">
        <f t="shared" si="9"/>
        <v>1</v>
      </c>
      <c r="DM69" s="18">
        <f t="shared" si="10"/>
        <v>10</v>
      </c>
      <c r="DN69" t="str">
        <f t="shared" si="11"/>
        <v/>
      </c>
      <c r="DO69">
        <v>0</v>
      </c>
      <c r="DP69">
        <f t="shared" si="7"/>
        <v>0</v>
      </c>
      <c r="DQ69">
        <f t="shared" si="8"/>
        <v>0</v>
      </c>
    </row>
    <row r="70" spans="1:121" x14ac:dyDescent="0.35">
      <c r="A70" t="s">
        <v>76</v>
      </c>
      <c r="B70" t="s">
        <v>25</v>
      </c>
      <c r="C70" t="s">
        <v>25</v>
      </c>
      <c r="D70" t="s">
        <v>25</v>
      </c>
      <c r="E70" t="s">
        <v>25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25</v>
      </c>
      <c r="L70" t="s">
        <v>25</v>
      </c>
      <c r="M70" t="s">
        <v>25</v>
      </c>
      <c r="N70" t="s">
        <v>25</v>
      </c>
      <c r="O70" t="s">
        <v>25</v>
      </c>
      <c r="P70" t="s">
        <v>25</v>
      </c>
      <c r="Q70" t="s">
        <v>25</v>
      </c>
      <c r="R70" t="s">
        <v>25</v>
      </c>
      <c r="S70" t="s">
        <v>25</v>
      </c>
      <c r="T70" t="s">
        <v>25</v>
      </c>
      <c r="U70" t="s">
        <v>25</v>
      </c>
      <c r="V70" t="s">
        <v>25</v>
      </c>
      <c r="W70" t="s">
        <v>25</v>
      </c>
      <c r="X70" t="s">
        <v>25</v>
      </c>
      <c r="Y70" t="s">
        <v>25</v>
      </c>
      <c r="Z70">
        <v>7</v>
      </c>
      <c r="AA70" t="s">
        <v>25</v>
      </c>
      <c r="AB70" t="s">
        <v>25</v>
      </c>
      <c r="AC70" t="s">
        <v>25</v>
      </c>
      <c r="AD70" t="s">
        <v>25</v>
      </c>
      <c r="AE70" t="s">
        <v>25</v>
      </c>
      <c r="AF70" t="s">
        <v>25</v>
      </c>
      <c r="AG70" t="s">
        <v>25</v>
      </c>
      <c r="AH70" t="s">
        <v>25</v>
      </c>
      <c r="AI70" t="s">
        <v>25</v>
      </c>
      <c r="AJ70" t="s">
        <v>25</v>
      </c>
      <c r="AK70" t="s">
        <v>25</v>
      </c>
      <c r="AL70" t="s">
        <v>25</v>
      </c>
      <c r="AM70" t="s">
        <v>25</v>
      </c>
      <c r="AN70" t="s">
        <v>25</v>
      </c>
      <c r="AO70" t="s">
        <v>25</v>
      </c>
      <c r="AP70" t="s">
        <v>25</v>
      </c>
      <c r="AQ70" t="s">
        <v>25</v>
      </c>
      <c r="AR70" t="s">
        <v>25</v>
      </c>
      <c r="AS70" t="s">
        <v>25</v>
      </c>
      <c r="AT70" t="s">
        <v>25</v>
      </c>
      <c r="AU70" t="s">
        <v>25</v>
      </c>
      <c r="AV70" t="s">
        <v>25</v>
      </c>
      <c r="AW70" t="s">
        <v>25</v>
      </c>
      <c r="AX70" t="s">
        <v>25</v>
      </c>
      <c r="AY70" t="s">
        <v>25</v>
      </c>
      <c r="AZ70" t="s">
        <v>25</v>
      </c>
      <c r="BA70" t="s">
        <v>25</v>
      </c>
      <c r="BB70" t="s">
        <v>25</v>
      </c>
      <c r="BC70" t="s">
        <v>25</v>
      </c>
      <c r="BD70" t="s">
        <v>25</v>
      </c>
      <c r="BE70" t="s">
        <v>25</v>
      </c>
      <c r="BF70" t="s">
        <v>25</v>
      </c>
      <c r="BG70" t="s">
        <v>25</v>
      </c>
      <c r="BH70" t="s">
        <v>25</v>
      </c>
      <c r="BI70" t="s">
        <v>25</v>
      </c>
      <c r="BJ70" t="s">
        <v>25</v>
      </c>
      <c r="BK70" t="s">
        <v>25</v>
      </c>
      <c r="BL70" t="s">
        <v>25</v>
      </c>
      <c r="BM70" t="s">
        <v>25</v>
      </c>
      <c r="BN70" t="s">
        <v>25</v>
      </c>
      <c r="BO70" t="s">
        <v>25</v>
      </c>
      <c r="BP70" t="s">
        <v>25</v>
      </c>
      <c r="BQ70" t="s">
        <v>25</v>
      </c>
      <c r="BR70" t="s">
        <v>25</v>
      </c>
      <c r="BS70" t="s">
        <v>25</v>
      </c>
      <c r="BT70" t="s">
        <v>25</v>
      </c>
      <c r="BU70" t="s">
        <v>25</v>
      </c>
      <c r="BV70" t="s">
        <v>25</v>
      </c>
      <c r="BW70" t="s">
        <v>25</v>
      </c>
      <c r="BX70" t="s">
        <v>25</v>
      </c>
      <c r="BY70" t="s">
        <v>25</v>
      </c>
      <c r="BZ70" t="s">
        <v>25</v>
      </c>
      <c r="CA70" t="s">
        <v>25</v>
      </c>
      <c r="CB70" t="s">
        <v>25</v>
      </c>
      <c r="DL70">
        <f t="shared" si="9"/>
        <v>1</v>
      </c>
      <c r="DM70" s="18">
        <f t="shared" si="10"/>
        <v>7</v>
      </c>
      <c r="DN70" t="str">
        <f t="shared" si="11"/>
        <v/>
      </c>
      <c r="DO70">
        <v>0</v>
      </c>
      <c r="DP70">
        <f t="shared" si="7"/>
        <v>0</v>
      </c>
      <c r="DQ70">
        <f t="shared" si="8"/>
        <v>0</v>
      </c>
    </row>
    <row r="71" spans="1:121" x14ac:dyDescent="0.35">
      <c r="A71" t="s">
        <v>107</v>
      </c>
      <c r="B71" t="s">
        <v>25</v>
      </c>
      <c r="C71" t="s">
        <v>25</v>
      </c>
      <c r="D71" t="s">
        <v>25</v>
      </c>
      <c r="E71" t="s">
        <v>25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25</v>
      </c>
      <c r="L71" t="s">
        <v>25</v>
      </c>
      <c r="M71" t="s">
        <v>25</v>
      </c>
      <c r="N71" t="s">
        <v>25</v>
      </c>
      <c r="O71" t="s">
        <v>25</v>
      </c>
      <c r="P71" t="s">
        <v>25</v>
      </c>
      <c r="Q71" t="s">
        <v>25</v>
      </c>
      <c r="R71" t="s">
        <v>25</v>
      </c>
      <c r="S71" t="s">
        <v>25</v>
      </c>
      <c r="T71" t="s">
        <v>25</v>
      </c>
      <c r="U71" t="s">
        <v>25</v>
      </c>
      <c r="V71" t="s">
        <v>25</v>
      </c>
      <c r="W71" t="s">
        <v>25</v>
      </c>
      <c r="X71" t="s">
        <v>25</v>
      </c>
      <c r="Y71" t="s">
        <v>25</v>
      </c>
      <c r="Z71">
        <v>7</v>
      </c>
      <c r="AA71" t="s">
        <v>25</v>
      </c>
      <c r="AB71" t="s">
        <v>25</v>
      </c>
      <c r="AC71" t="s">
        <v>25</v>
      </c>
      <c r="AD71" t="s">
        <v>25</v>
      </c>
      <c r="AE71" t="s">
        <v>25</v>
      </c>
      <c r="AF71" t="s">
        <v>25</v>
      </c>
      <c r="AG71" t="s">
        <v>25</v>
      </c>
      <c r="AH71" t="s">
        <v>25</v>
      </c>
      <c r="AI71" t="s">
        <v>25</v>
      </c>
      <c r="AJ71" t="s">
        <v>25</v>
      </c>
      <c r="AK71" t="s">
        <v>25</v>
      </c>
      <c r="AL71" t="s">
        <v>25</v>
      </c>
      <c r="AM71" t="s">
        <v>25</v>
      </c>
      <c r="AN71" t="s">
        <v>25</v>
      </c>
      <c r="AO71" t="s">
        <v>25</v>
      </c>
      <c r="AP71" t="s">
        <v>25</v>
      </c>
      <c r="AQ71" t="s">
        <v>25</v>
      </c>
      <c r="AR71" t="s">
        <v>25</v>
      </c>
      <c r="AS71" t="s">
        <v>25</v>
      </c>
      <c r="AT71" t="s">
        <v>25</v>
      </c>
      <c r="AU71" t="s">
        <v>25</v>
      </c>
      <c r="AV71" t="s">
        <v>25</v>
      </c>
      <c r="AW71" t="s">
        <v>25</v>
      </c>
      <c r="AX71" t="s">
        <v>25</v>
      </c>
      <c r="AY71" t="s">
        <v>25</v>
      </c>
      <c r="AZ71" t="s">
        <v>25</v>
      </c>
      <c r="BA71" t="s">
        <v>25</v>
      </c>
      <c r="BB71" t="s">
        <v>25</v>
      </c>
      <c r="BC71" t="s">
        <v>25</v>
      </c>
      <c r="BD71" t="s">
        <v>25</v>
      </c>
      <c r="BE71" t="s">
        <v>25</v>
      </c>
      <c r="BF71" t="s">
        <v>25</v>
      </c>
      <c r="BG71" t="s">
        <v>25</v>
      </c>
      <c r="BH71" t="s">
        <v>25</v>
      </c>
      <c r="BI71" t="s">
        <v>25</v>
      </c>
      <c r="BJ71" t="s">
        <v>25</v>
      </c>
      <c r="BK71" t="s">
        <v>25</v>
      </c>
      <c r="BL71" t="s">
        <v>25</v>
      </c>
      <c r="BM71" t="s">
        <v>25</v>
      </c>
      <c r="BN71" t="s">
        <v>25</v>
      </c>
      <c r="BO71" t="s">
        <v>25</v>
      </c>
      <c r="BP71" t="s">
        <v>25</v>
      </c>
      <c r="BQ71" t="s">
        <v>25</v>
      </c>
      <c r="BR71" t="s">
        <v>25</v>
      </c>
      <c r="BS71" t="s">
        <v>25</v>
      </c>
      <c r="BT71" t="s">
        <v>25</v>
      </c>
      <c r="BU71" t="s">
        <v>25</v>
      </c>
      <c r="BV71" t="s">
        <v>25</v>
      </c>
      <c r="BW71" t="s">
        <v>25</v>
      </c>
      <c r="BX71" t="s">
        <v>25</v>
      </c>
      <c r="BY71" t="s">
        <v>25</v>
      </c>
      <c r="BZ71" t="s">
        <v>25</v>
      </c>
      <c r="CA71" t="s">
        <v>25</v>
      </c>
      <c r="CB71" t="s">
        <v>25</v>
      </c>
      <c r="DL71">
        <f t="shared" si="9"/>
        <v>1</v>
      </c>
      <c r="DM71" s="18">
        <f t="shared" si="10"/>
        <v>7</v>
      </c>
      <c r="DN71" t="str">
        <f t="shared" si="11"/>
        <v/>
      </c>
      <c r="DO71">
        <v>0</v>
      </c>
      <c r="DP71">
        <f t="shared" si="7"/>
        <v>0</v>
      </c>
      <c r="DQ71">
        <f t="shared" si="8"/>
        <v>0</v>
      </c>
    </row>
    <row r="72" spans="1:121" x14ac:dyDescent="0.35">
      <c r="A72" t="s">
        <v>79</v>
      </c>
      <c r="B72" t="s">
        <v>25</v>
      </c>
      <c r="C72" t="s">
        <v>25</v>
      </c>
      <c r="D72" t="s">
        <v>25</v>
      </c>
      <c r="E72" t="s">
        <v>25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25</v>
      </c>
      <c r="L72" t="s">
        <v>25</v>
      </c>
      <c r="M72" t="s">
        <v>25</v>
      </c>
      <c r="N72" t="s">
        <v>25</v>
      </c>
      <c r="O72" t="s">
        <v>25</v>
      </c>
      <c r="P72" t="s">
        <v>25</v>
      </c>
      <c r="Q72" t="s">
        <v>25</v>
      </c>
      <c r="R72" t="s">
        <v>25</v>
      </c>
      <c r="S72" t="s">
        <v>25</v>
      </c>
      <c r="T72" t="s">
        <v>25</v>
      </c>
      <c r="U72" t="s">
        <v>25</v>
      </c>
      <c r="V72" t="s">
        <v>25</v>
      </c>
      <c r="W72" t="s">
        <v>25</v>
      </c>
      <c r="X72" t="s">
        <v>25</v>
      </c>
      <c r="Y72">
        <v>7</v>
      </c>
      <c r="Z72" t="s">
        <v>25</v>
      </c>
      <c r="AA72" t="s">
        <v>25</v>
      </c>
      <c r="AB72" t="s">
        <v>25</v>
      </c>
      <c r="AC72" t="s">
        <v>25</v>
      </c>
      <c r="AD72" t="s">
        <v>25</v>
      </c>
      <c r="AE72" t="s">
        <v>25</v>
      </c>
      <c r="AF72" t="s">
        <v>25</v>
      </c>
      <c r="AG72" t="s">
        <v>25</v>
      </c>
      <c r="AH72" t="s">
        <v>25</v>
      </c>
      <c r="AI72" t="s">
        <v>25</v>
      </c>
      <c r="AJ72" t="s">
        <v>25</v>
      </c>
      <c r="AK72" t="s">
        <v>25</v>
      </c>
      <c r="AL72" t="s">
        <v>25</v>
      </c>
      <c r="AM72" t="s">
        <v>25</v>
      </c>
      <c r="AN72" t="s">
        <v>25</v>
      </c>
      <c r="AO72" t="s">
        <v>25</v>
      </c>
      <c r="AP72" t="s">
        <v>25</v>
      </c>
      <c r="AQ72" t="s">
        <v>25</v>
      </c>
      <c r="AR72" t="s">
        <v>25</v>
      </c>
      <c r="AS72" t="s">
        <v>25</v>
      </c>
      <c r="AT72" t="s">
        <v>25</v>
      </c>
      <c r="AU72" t="s">
        <v>25</v>
      </c>
      <c r="AV72" t="s">
        <v>25</v>
      </c>
      <c r="AW72" t="s">
        <v>25</v>
      </c>
      <c r="AX72" t="s">
        <v>25</v>
      </c>
      <c r="AY72" t="s">
        <v>25</v>
      </c>
      <c r="AZ72" t="s">
        <v>25</v>
      </c>
      <c r="BA72" t="s">
        <v>25</v>
      </c>
      <c r="BB72" t="s">
        <v>25</v>
      </c>
      <c r="BC72" t="s">
        <v>25</v>
      </c>
      <c r="BD72" t="s">
        <v>25</v>
      </c>
      <c r="BE72" t="s">
        <v>25</v>
      </c>
      <c r="BF72" t="s">
        <v>25</v>
      </c>
      <c r="BG72" t="s">
        <v>25</v>
      </c>
      <c r="BH72" t="s">
        <v>25</v>
      </c>
      <c r="BI72" t="s">
        <v>25</v>
      </c>
      <c r="BJ72" t="s">
        <v>25</v>
      </c>
      <c r="BK72" t="s">
        <v>25</v>
      </c>
      <c r="BL72" t="s">
        <v>25</v>
      </c>
      <c r="BM72" t="s">
        <v>25</v>
      </c>
      <c r="BN72" t="s">
        <v>25</v>
      </c>
      <c r="BO72" t="s">
        <v>25</v>
      </c>
      <c r="BP72" t="s">
        <v>25</v>
      </c>
      <c r="BQ72" t="s">
        <v>25</v>
      </c>
      <c r="BR72" t="s">
        <v>25</v>
      </c>
      <c r="BS72" t="s">
        <v>25</v>
      </c>
      <c r="BT72" t="s">
        <v>25</v>
      </c>
      <c r="BU72" t="s">
        <v>25</v>
      </c>
      <c r="BV72" t="s">
        <v>25</v>
      </c>
      <c r="BW72" t="s">
        <v>25</v>
      </c>
      <c r="BX72" t="s">
        <v>25</v>
      </c>
      <c r="BY72" t="s">
        <v>25</v>
      </c>
      <c r="BZ72" t="s">
        <v>25</v>
      </c>
      <c r="CA72" t="s">
        <v>25</v>
      </c>
      <c r="CB72" t="s">
        <v>25</v>
      </c>
      <c r="DL72">
        <f t="shared" si="9"/>
        <v>1</v>
      </c>
      <c r="DM72" s="18">
        <f t="shared" si="10"/>
        <v>7</v>
      </c>
      <c r="DN72" t="str">
        <f t="shared" si="11"/>
        <v/>
      </c>
      <c r="DO72">
        <v>0</v>
      </c>
      <c r="DP72">
        <f t="shared" si="7"/>
        <v>0</v>
      </c>
      <c r="DQ72">
        <f t="shared" si="8"/>
        <v>0</v>
      </c>
    </row>
    <row r="73" spans="1:121" x14ac:dyDescent="0.35">
      <c r="A73" t="s">
        <v>46</v>
      </c>
      <c r="B73" t="s">
        <v>25</v>
      </c>
      <c r="C73" t="s">
        <v>25</v>
      </c>
      <c r="D73" t="s">
        <v>25</v>
      </c>
      <c r="E73" t="s">
        <v>25</v>
      </c>
      <c r="F73" t="s">
        <v>25</v>
      </c>
      <c r="G73" t="s">
        <v>25</v>
      </c>
      <c r="H73" t="s">
        <v>25</v>
      </c>
      <c r="I73">
        <v>3.5</v>
      </c>
      <c r="J73" t="s">
        <v>25</v>
      </c>
      <c r="K73" t="s">
        <v>25</v>
      </c>
      <c r="L73" t="s">
        <v>25</v>
      </c>
      <c r="M73" t="s">
        <v>25</v>
      </c>
      <c r="N73" t="s">
        <v>25</v>
      </c>
      <c r="O73" t="s">
        <v>25</v>
      </c>
      <c r="P73" t="s">
        <v>25</v>
      </c>
      <c r="Q73" t="s">
        <v>25</v>
      </c>
      <c r="R73" t="s">
        <v>25</v>
      </c>
      <c r="S73" t="s">
        <v>25</v>
      </c>
      <c r="T73" t="s">
        <v>25</v>
      </c>
      <c r="U73" t="s">
        <v>25</v>
      </c>
      <c r="V73" t="s">
        <v>25</v>
      </c>
      <c r="W73" t="s">
        <v>25</v>
      </c>
      <c r="X73" t="s">
        <v>25</v>
      </c>
      <c r="Y73" t="s">
        <v>25</v>
      </c>
      <c r="Z73" t="s">
        <v>25</v>
      </c>
      <c r="AA73" t="s">
        <v>25</v>
      </c>
      <c r="AB73" t="s">
        <v>25</v>
      </c>
      <c r="AC73" t="s">
        <v>25</v>
      </c>
      <c r="AD73" t="s">
        <v>25</v>
      </c>
      <c r="AE73" t="s">
        <v>25</v>
      </c>
      <c r="AF73" t="s">
        <v>25</v>
      </c>
      <c r="AG73" t="s">
        <v>25</v>
      </c>
      <c r="AH73" t="s">
        <v>25</v>
      </c>
      <c r="AI73" t="s">
        <v>25</v>
      </c>
      <c r="AJ73" t="s">
        <v>25</v>
      </c>
      <c r="AK73" t="s">
        <v>25</v>
      </c>
      <c r="AL73" t="s">
        <v>25</v>
      </c>
      <c r="AM73" t="s">
        <v>25</v>
      </c>
      <c r="AN73" t="s">
        <v>25</v>
      </c>
      <c r="AO73" t="s">
        <v>25</v>
      </c>
      <c r="AP73" t="s">
        <v>25</v>
      </c>
      <c r="AQ73" t="s">
        <v>25</v>
      </c>
      <c r="AR73" t="s">
        <v>25</v>
      </c>
      <c r="AS73" t="s">
        <v>25</v>
      </c>
      <c r="AT73" t="s">
        <v>25</v>
      </c>
      <c r="AU73" t="s">
        <v>25</v>
      </c>
      <c r="AV73" t="s">
        <v>25</v>
      </c>
      <c r="AW73" t="s">
        <v>25</v>
      </c>
      <c r="AX73" t="s">
        <v>25</v>
      </c>
      <c r="AY73" t="s">
        <v>25</v>
      </c>
      <c r="AZ73" t="s">
        <v>25</v>
      </c>
      <c r="BA73" t="s">
        <v>25</v>
      </c>
      <c r="BB73" t="s">
        <v>25</v>
      </c>
      <c r="BC73" t="s">
        <v>25</v>
      </c>
      <c r="BD73" t="s">
        <v>25</v>
      </c>
      <c r="BE73" t="s">
        <v>25</v>
      </c>
      <c r="BF73" t="s">
        <v>25</v>
      </c>
      <c r="BG73" t="s">
        <v>25</v>
      </c>
      <c r="BH73" t="s">
        <v>25</v>
      </c>
      <c r="BI73" t="s">
        <v>25</v>
      </c>
      <c r="BJ73" t="s">
        <v>25</v>
      </c>
      <c r="BK73" t="s">
        <v>25</v>
      </c>
      <c r="BL73" t="s">
        <v>25</v>
      </c>
      <c r="BM73" t="s">
        <v>25</v>
      </c>
      <c r="BN73" t="s">
        <v>25</v>
      </c>
      <c r="BO73" t="s">
        <v>25</v>
      </c>
      <c r="BP73" t="s">
        <v>25</v>
      </c>
      <c r="BQ73" t="s">
        <v>25</v>
      </c>
      <c r="BR73" t="s">
        <v>25</v>
      </c>
      <c r="BS73" t="s">
        <v>25</v>
      </c>
      <c r="BT73" t="s">
        <v>25</v>
      </c>
      <c r="BU73" t="s">
        <v>25</v>
      </c>
      <c r="BV73" t="s">
        <v>25</v>
      </c>
      <c r="BW73" t="s">
        <v>25</v>
      </c>
      <c r="BX73" t="s">
        <v>25</v>
      </c>
      <c r="BY73" t="s">
        <v>25</v>
      </c>
      <c r="BZ73" t="s">
        <v>25</v>
      </c>
      <c r="CA73" t="s">
        <v>25</v>
      </c>
      <c r="CB73" t="s">
        <v>25</v>
      </c>
      <c r="DL73">
        <f t="shared" si="9"/>
        <v>1</v>
      </c>
      <c r="DM73" s="18">
        <f t="shared" si="10"/>
        <v>3.5</v>
      </c>
      <c r="DN73" t="str">
        <f t="shared" si="11"/>
        <v/>
      </c>
      <c r="DO73">
        <v>0</v>
      </c>
      <c r="DP73">
        <f t="shared" si="7"/>
        <v>0</v>
      </c>
      <c r="DQ73">
        <f t="shared" si="8"/>
        <v>0</v>
      </c>
    </row>
    <row r="74" spans="1:121" x14ac:dyDescent="0.35">
      <c r="A74" t="s">
        <v>82</v>
      </c>
      <c r="B74" t="s">
        <v>25</v>
      </c>
      <c r="C74" t="s">
        <v>25</v>
      </c>
      <c r="D74" t="s">
        <v>25</v>
      </c>
      <c r="E74" t="s">
        <v>25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25</v>
      </c>
      <c r="L74" t="s">
        <v>25</v>
      </c>
      <c r="M74" t="s">
        <v>25</v>
      </c>
      <c r="N74" t="s">
        <v>25</v>
      </c>
      <c r="O74" t="s">
        <v>25</v>
      </c>
      <c r="P74" t="s">
        <v>25</v>
      </c>
      <c r="Q74" t="s">
        <v>25</v>
      </c>
      <c r="R74" t="s">
        <v>25</v>
      </c>
      <c r="S74" t="s">
        <v>25</v>
      </c>
      <c r="T74" t="s">
        <v>25</v>
      </c>
      <c r="U74" t="s">
        <v>25</v>
      </c>
      <c r="V74" t="s">
        <v>25</v>
      </c>
      <c r="W74" t="s">
        <v>25</v>
      </c>
      <c r="X74" t="s">
        <v>25</v>
      </c>
      <c r="Y74" t="s">
        <v>25</v>
      </c>
      <c r="Z74" t="s">
        <v>25</v>
      </c>
      <c r="AA74" t="s">
        <v>25</v>
      </c>
      <c r="AB74">
        <v>3</v>
      </c>
      <c r="AC74" t="s">
        <v>25</v>
      </c>
      <c r="AD74" t="s">
        <v>25</v>
      </c>
      <c r="AE74" t="s">
        <v>25</v>
      </c>
      <c r="AF74" t="s">
        <v>25</v>
      </c>
      <c r="AG74" t="s">
        <v>25</v>
      </c>
      <c r="AH74" t="s">
        <v>25</v>
      </c>
      <c r="AI74" t="s">
        <v>25</v>
      </c>
      <c r="AJ74" t="s">
        <v>25</v>
      </c>
      <c r="AK74" t="s">
        <v>25</v>
      </c>
      <c r="AL74" t="s">
        <v>25</v>
      </c>
      <c r="AM74" t="s">
        <v>25</v>
      </c>
      <c r="AN74" t="s">
        <v>25</v>
      </c>
      <c r="AO74" t="s">
        <v>25</v>
      </c>
      <c r="AP74" t="s">
        <v>25</v>
      </c>
      <c r="AQ74" t="s">
        <v>25</v>
      </c>
      <c r="AR74" t="s">
        <v>25</v>
      </c>
      <c r="AS74" t="s">
        <v>25</v>
      </c>
      <c r="AT74" t="s">
        <v>25</v>
      </c>
      <c r="AU74" t="s">
        <v>25</v>
      </c>
      <c r="AV74" t="s">
        <v>25</v>
      </c>
      <c r="AW74" t="s">
        <v>25</v>
      </c>
      <c r="AX74" t="s">
        <v>25</v>
      </c>
      <c r="AY74" t="s">
        <v>25</v>
      </c>
      <c r="AZ74" t="s">
        <v>25</v>
      </c>
      <c r="BA74" t="s">
        <v>25</v>
      </c>
      <c r="BB74" t="s">
        <v>25</v>
      </c>
      <c r="BC74" t="s">
        <v>25</v>
      </c>
      <c r="BD74" t="s">
        <v>25</v>
      </c>
      <c r="BE74" t="s">
        <v>25</v>
      </c>
      <c r="BF74" t="s">
        <v>25</v>
      </c>
      <c r="BG74" t="s">
        <v>25</v>
      </c>
      <c r="BH74" t="s">
        <v>25</v>
      </c>
      <c r="BI74" t="s">
        <v>25</v>
      </c>
      <c r="BJ74" t="s">
        <v>25</v>
      </c>
      <c r="BK74" t="s">
        <v>25</v>
      </c>
      <c r="BL74" t="s">
        <v>25</v>
      </c>
      <c r="BM74" t="s">
        <v>25</v>
      </c>
      <c r="BN74" t="s">
        <v>25</v>
      </c>
      <c r="BO74" t="s">
        <v>25</v>
      </c>
      <c r="BP74" t="s">
        <v>25</v>
      </c>
      <c r="BQ74" t="s">
        <v>25</v>
      </c>
      <c r="BR74" t="s">
        <v>25</v>
      </c>
      <c r="BS74" t="s">
        <v>25</v>
      </c>
      <c r="BT74" t="s">
        <v>25</v>
      </c>
      <c r="BU74" t="s">
        <v>25</v>
      </c>
      <c r="BV74" t="s">
        <v>25</v>
      </c>
      <c r="BW74" t="s">
        <v>25</v>
      </c>
      <c r="BX74" t="s">
        <v>25</v>
      </c>
      <c r="BY74" t="s">
        <v>25</v>
      </c>
      <c r="BZ74" t="s">
        <v>25</v>
      </c>
      <c r="CA74" t="s">
        <v>25</v>
      </c>
      <c r="CB74" t="s">
        <v>25</v>
      </c>
      <c r="DL74">
        <f t="shared" si="9"/>
        <v>1</v>
      </c>
      <c r="DM74" s="18">
        <f t="shared" si="10"/>
        <v>3</v>
      </c>
      <c r="DN74" t="str">
        <f t="shared" si="11"/>
        <v/>
      </c>
      <c r="DO74">
        <v>0</v>
      </c>
      <c r="DP74">
        <f t="shared" si="7"/>
        <v>0</v>
      </c>
      <c r="DQ74">
        <f t="shared" si="8"/>
        <v>0</v>
      </c>
    </row>
    <row r="75" spans="1:121" x14ac:dyDescent="0.35">
      <c r="A75" t="s">
        <v>101</v>
      </c>
      <c r="B75" t="s">
        <v>25</v>
      </c>
      <c r="C75" t="s">
        <v>25</v>
      </c>
      <c r="D75" t="s">
        <v>25</v>
      </c>
      <c r="E75" t="s">
        <v>25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25</v>
      </c>
      <c r="L75" t="s">
        <v>25</v>
      </c>
      <c r="M75" t="s">
        <v>25</v>
      </c>
      <c r="N75" t="s">
        <v>25</v>
      </c>
      <c r="O75" t="s">
        <v>25</v>
      </c>
      <c r="P75" t="s">
        <v>25</v>
      </c>
      <c r="Q75" t="s">
        <v>25</v>
      </c>
      <c r="R75" t="s">
        <v>25</v>
      </c>
      <c r="S75" t="s">
        <v>25</v>
      </c>
      <c r="T75" t="s">
        <v>25</v>
      </c>
      <c r="U75" t="s">
        <v>25</v>
      </c>
      <c r="V75" t="s">
        <v>25</v>
      </c>
      <c r="W75" t="s">
        <v>25</v>
      </c>
      <c r="X75" t="s">
        <v>25</v>
      </c>
      <c r="Y75" t="s">
        <v>25</v>
      </c>
      <c r="Z75" t="s">
        <v>25</v>
      </c>
      <c r="AA75" t="s">
        <v>25</v>
      </c>
      <c r="AB75" t="s">
        <v>25</v>
      </c>
      <c r="AC75" t="s">
        <v>25</v>
      </c>
      <c r="AD75" t="s">
        <v>25</v>
      </c>
      <c r="AE75" t="s">
        <v>25</v>
      </c>
      <c r="AF75" t="s">
        <v>25</v>
      </c>
      <c r="AG75" t="s">
        <v>25</v>
      </c>
      <c r="AH75" t="s">
        <v>25</v>
      </c>
      <c r="AI75" t="s">
        <v>25</v>
      </c>
      <c r="AJ75" t="s">
        <v>25</v>
      </c>
      <c r="AK75" t="s">
        <v>25</v>
      </c>
      <c r="AL75" t="s">
        <v>25</v>
      </c>
      <c r="AM75" t="s">
        <v>25</v>
      </c>
      <c r="AN75" t="s">
        <v>25</v>
      </c>
      <c r="AO75" t="s">
        <v>25</v>
      </c>
      <c r="AP75">
        <v>6.5</v>
      </c>
      <c r="AQ75" t="s">
        <v>25</v>
      </c>
      <c r="AR75" t="s">
        <v>25</v>
      </c>
      <c r="AS75" t="s">
        <v>25</v>
      </c>
      <c r="AT75" t="s">
        <v>25</v>
      </c>
      <c r="AU75" t="s">
        <v>25</v>
      </c>
      <c r="AV75" t="s">
        <v>25</v>
      </c>
      <c r="AW75" t="s">
        <v>25</v>
      </c>
      <c r="AX75" t="s">
        <v>25</v>
      </c>
      <c r="AY75" t="s">
        <v>25</v>
      </c>
      <c r="AZ75" t="s">
        <v>25</v>
      </c>
      <c r="BA75" t="s">
        <v>25</v>
      </c>
      <c r="BB75" t="s">
        <v>25</v>
      </c>
      <c r="BC75" t="s">
        <v>25</v>
      </c>
      <c r="BD75" t="s">
        <v>25</v>
      </c>
      <c r="BE75" t="s">
        <v>25</v>
      </c>
      <c r="BF75" t="s">
        <v>25</v>
      </c>
      <c r="BG75" t="s">
        <v>25</v>
      </c>
      <c r="BH75" t="s">
        <v>25</v>
      </c>
      <c r="BI75" t="s">
        <v>25</v>
      </c>
      <c r="BJ75" t="s">
        <v>25</v>
      </c>
      <c r="BK75" t="s">
        <v>25</v>
      </c>
      <c r="BL75" t="s">
        <v>25</v>
      </c>
      <c r="BM75" t="s">
        <v>25</v>
      </c>
      <c r="BN75" t="s">
        <v>25</v>
      </c>
      <c r="BO75" t="s">
        <v>25</v>
      </c>
      <c r="BP75" t="s">
        <v>25</v>
      </c>
      <c r="BQ75" t="s">
        <v>25</v>
      </c>
      <c r="BR75" t="s">
        <v>25</v>
      </c>
      <c r="BS75" t="s">
        <v>25</v>
      </c>
      <c r="BT75" t="s">
        <v>25</v>
      </c>
      <c r="BU75" t="s">
        <v>25</v>
      </c>
      <c r="BV75" t="s">
        <v>25</v>
      </c>
      <c r="BW75" t="s">
        <v>25</v>
      </c>
      <c r="BX75" t="s">
        <v>25</v>
      </c>
      <c r="BY75" t="s">
        <v>25</v>
      </c>
      <c r="BZ75" t="s">
        <v>25</v>
      </c>
      <c r="CA75" t="s">
        <v>25</v>
      </c>
      <c r="CB75" t="s">
        <v>25</v>
      </c>
      <c r="DL75">
        <f t="shared" si="9"/>
        <v>1</v>
      </c>
      <c r="DM75" s="18">
        <f t="shared" si="10"/>
        <v>6.5</v>
      </c>
      <c r="DN75" t="str">
        <f t="shared" si="11"/>
        <v/>
      </c>
      <c r="DO75">
        <v>0</v>
      </c>
      <c r="DP75">
        <f t="shared" si="7"/>
        <v>0</v>
      </c>
      <c r="DQ75">
        <f t="shared" si="8"/>
        <v>0</v>
      </c>
    </row>
    <row r="76" spans="1:121" x14ac:dyDescent="0.35">
      <c r="A76" t="s">
        <v>104</v>
      </c>
      <c r="B76" t="s">
        <v>25</v>
      </c>
      <c r="C76" t="s">
        <v>25</v>
      </c>
      <c r="D76" t="s">
        <v>25</v>
      </c>
      <c r="E76" t="s">
        <v>25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25</v>
      </c>
      <c r="L76" t="s">
        <v>25</v>
      </c>
      <c r="M76" t="s">
        <v>25</v>
      </c>
      <c r="N76" t="s">
        <v>25</v>
      </c>
      <c r="O76" t="s">
        <v>25</v>
      </c>
      <c r="P76" t="s">
        <v>25</v>
      </c>
      <c r="Q76" t="s">
        <v>25</v>
      </c>
      <c r="R76" t="s">
        <v>25</v>
      </c>
      <c r="S76" t="s">
        <v>25</v>
      </c>
      <c r="T76" t="s">
        <v>25</v>
      </c>
      <c r="U76" t="s">
        <v>25</v>
      </c>
      <c r="V76" t="s">
        <v>25</v>
      </c>
      <c r="W76" t="s">
        <v>25</v>
      </c>
      <c r="X76" t="s">
        <v>25</v>
      </c>
      <c r="Y76" t="s">
        <v>25</v>
      </c>
      <c r="Z76" t="s">
        <v>25</v>
      </c>
      <c r="AA76" t="s">
        <v>25</v>
      </c>
      <c r="AB76" t="s">
        <v>25</v>
      </c>
      <c r="AC76" t="s">
        <v>25</v>
      </c>
      <c r="AD76" t="s">
        <v>25</v>
      </c>
      <c r="AE76" t="s">
        <v>25</v>
      </c>
      <c r="AF76" t="s">
        <v>25</v>
      </c>
      <c r="AG76" t="s">
        <v>25</v>
      </c>
      <c r="AH76" t="s">
        <v>25</v>
      </c>
      <c r="AI76" t="s">
        <v>25</v>
      </c>
      <c r="AJ76" t="s">
        <v>25</v>
      </c>
      <c r="AK76" t="s">
        <v>25</v>
      </c>
      <c r="AL76" t="s">
        <v>25</v>
      </c>
      <c r="AM76" t="s">
        <v>25</v>
      </c>
      <c r="AN76" t="s">
        <v>25</v>
      </c>
      <c r="AO76" t="s">
        <v>25</v>
      </c>
      <c r="AP76" t="s">
        <v>25</v>
      </c>
      <c r="AQ76" t="s">
        <v>25</v>
      </c>
      <c r="AR76">
        <v>4</v>
      </c>
      <c r="AS76" t="s">
        <v>25</v>
      </c>
      <c r="AT76" t="s">
        <v>25</v>
      </c>
      <c r="AU76" t="s">
        <v>25</v>
      </c>
      <c r="AV76" t="s">
        <v>25</v>
      </c>
      <c r="AW76" t="s">
        <v>25</v>
      </c>
      <c r="AX76" t="s">
        <v>25</v>
      </c>
      <c r="AY76" t="s">
        <v>25</v>
      </c>
      <c r="AZ76" t="s">
        <v>25</v>
      </c>
      <c r="BA76" t="s">
        <v>25</v>
      </c>
      <c r="BB76" t="s">
        <v>25</v>
      </c>
      <c r="BC76" t="s">
        <v>25</v>
      </c>
      <c r="BD76" t="s">
        <v>25</v>
      </c>
      <c r="BE76" t="s">
        <v>25</v>
      </c>
      <c r="BF76" t="s">
        <v>25</v>
      </c>
      <c r="BG76" t="s">
        <v>25</v>
      </c>
      <c r="BH76" t="s">
        <v>25</v>
      </c>
      <c r="BI76" t="s">
        <v>25</v>
      </c>
      <c r="BJ76" t="s">
        <v>25</v>
      </c>
      <c r="BK76" t="s">
        <v>25</v>
      </c>
      <c r="BL76" t="s">
        <v>25</v>
      </c>
      <c r="BM76" t="s">
        <v>25</v>
      </c>
      <c r="BN76" t="s">
        <v>25</v>
      </c>
      <c r="BO76" t="s">
        <v>25</v>
      </c>
      <c r="BP76" t="s">
        <v>25</v>
      </c>
      <c r="BQ76" t="s">
        <v>25</v>
      </c>
      <c r="BR76" t="s">
        <v>25</v>
      </c>
      <c r="BS76" t="s">
        <v>25</v>
      </c>
      <c r="BT76" t="s">
        <v>25</v>
      </c>
      <c r="BU76" t="s">
        <v>25</v>
      </c>
      <c r="BV76" t="s">
        <v>25</v>
      </c>
      <c r="BW76" t="s">
        <v>25</v>
      </c>
      <c r="BX76" t="s">
        <v>25</v>
      </c>
      <c r="BY76" t="s">
        <v>25</v>
      </c>
      <c r="BZ76" t="s">
        <v>25</v>
      </c>
      <c r="CA76" t="s">
        <v>25</v>
      </c>
      <c r="CB76" t="s">
        <v>25</v>
      </c>
      <c r="DL76">
        <f t="shared" si="9"/>
        <v>1</v>
      </c>
      <c r="DM76" s="18">
        <f t="shared" si="10"/>
        <v>4</v>
      </c>
      <c r="DN76" t="str">
        <f t="shared" si="11"/>
        <v/>
      </c>
      <c r="DO76">
        <v>0</v>
      </c>
      <c r="DP76">
        <f t="shared" si="7"/>
        <v>0</v>
      </c>
      <c r="DQ76">
        <f t="shared" si="8"/>
        <v>0</v>
      </c>
    </row>
    <row r="77" spans="1:121" x14ac:dyDescent="0.35">
      <c r="A77" t="s">
        <v>105</v>
      </c>
      <c r="B77" t="s">
        <v>25</v>
      </c>
      <c r="C77" t="s">
        <v>25</v>
      </c>
      <c r="D77" t="s">
        <v>25</v>
      </c>
      <c r="E77" t="s">
        <v>25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25</v>
      </c>
      <c r="L77" t="s">
        <v>25</v>
      </c>
      <c r="M77" t="s">
        <v>25</v>
      </c>
      <c r="N77" t="s">
        <v>25</v>
      </c>
      <c r="O77" t="s">
        <v>25</v>
      </c>
      <c r="P77" t="s">
        <v>25</v>
      </c>
      <c r="Q77" t="s">
        <v>25</v>
      </c>
      <c r="R77" t="s">
        <v>25</v>
      </c>
      <c r="S77" t="s">
        <v>25</v>
      </c>
      <c r="T77" t="s">
        <v>25</v>
      </c>
      <c r="U77" t="s">
        <v>25</v>
      </c>
      <c r="V77" t="s">
        <v>25</v>
      </c>
      <c r="W77" t="s">
        <v>25</v>
      </c>
      <c r="X77" t="s">
        <v>25</v>
      </c>
      <c r="Y77" t="s">
        <v>25</v>
      </c>
      <c r="Z77" t="s">
        <v>25</v>
      </c>
      <c r="AA77" t="s">
        <v>25</v>
      </c>
      <c r="AB77" t="s">
        <v>25</v>
      </c>
      <c r="AC77" t="s">
        <v>25</v>
      </c>
      <c r="AD77" t="s">
        <v>25</v>
      </c>
      <c r="AE77" t="s">
        <v>25</v>
      </c>
      <c r="AF77" t="s">
        <v>25</v>
      </c>
      <c r="AG77" t="s">
        <v>25</v>
      </c>
      <c r="AH77" t="s">
        <v>25</v>
      </c>
      <c r="AI77" t="s">
        <v>25</v>
      </c>
      <c r="AJ77" t="s">
        <v>25</v>
      </c>
      <c r="AK77" t="s">
        <v>25</v>
      </c>
      <c r="AL77" t="s">
        <v>25</v>
      </c>
      <c r="AM77" t="s">
        <v>25</v>
      </c>
      <c r="AN77" t="s">
        <v>25</v>
      </c>
      <c r="AO77" t="s">
        <v>25</v>
      </c>
      <c r="AP77" t="s">
        <v>25</v>
      </c>
      <c r="AQ77" t="s">
        <v>25</v>
      </c>
      <c r="AR77" t="s">
        <v>25</v>
      </c>
      <c r="AS77">
        <v>6.5</v>
      </c>
      <c r="AT77" t="s">
        <v>25</v>
      </c>
      <c r="AU77" t="s">
        <v>25</v>
      </c>
      <c r="AV77" t="s">
        <v>25</v>
      </c>
      <c r="AW77" t="s">
        <v>25</v>
      </c>
      <c r="AX77" t="s">
        <v>25</v>
      </c>
      <c r="AY77" t="s">
        <v>25</v>
      </c>
      <c r="AZ77" t="s">
        <v>25</v>
      </c>
      <c r="BA77" t="s">
        <v>25</v>
      </c>
      <c r="BB77" t="s">
        <v>25</v>
      </c>
      <c r="BC77" t="s">
        <v>25</v>
      </c>
      <c r="BD77" t="s">
        <v>25</v>
      </c>
      <c r="BE77" t="s">
        <v>25</v>
      </c>
      <c r="BF77" t="s">
        <v>25</v>
      </c>
      <c r="BG77" t="s">
        <v>25</v>
      </c>
      <c r="BH77" t="s">
        <v>25</v>
      </c>
      <c r="BI77" t="s">
        <v>25</v>
      </c>
      <c r="BJ77" t="s">
        <v>25</v>
      </c>
      <c r="BK77" t="s">
        <v>25</v>
      </c>
      <c r="BL77" t="s">
        <v>25</v>
      </c>
      <c r="BM77" t="s">
        <v>25</v>
      </c>
      <c r="BN77" t="s">
        <v>25</v>
      </c>
      <c r="BO77" t="s">
        <v>25</v>
      </c>
      <c r="BP77" t="s">
        <v>25</v>
      </c>
      <c r="BQ77" t="s">
        <v>25</v>
      </c>
      <c r="BR77" t="s">
        <v>25</v>
      </c>
      <c r="BS77" t="s">
        <v>25</v>
      </c>
      <c r="BT77" t="s">
        <v>25</v>
      </c>
      <c r="BU77" t="s">
        <v>25</v>
      </c>
      <c r="BV77" t="s">
        <v>25</v>
      </c>
      <c r="BW77" t="s">
        <v>25</v>
      </c>
      <c r="BX77" t="s">
        <v>25</v>
      </c>
      <c r="BY77" t="s">
        <v>25</v>
      </c>
      <c r="BZ77" t="s">
        <v>25</v>
      </c>
      <c r="CA77" t="s">
        <v>25</v>
      </c>
      <c r="CB77" t="s">
        <v>25</v>
      </c>
      <c r="DL77">
        <f t="shared" si="9"/>
        <v>1</v>
      </c>
      <c r="DM77" s="18">
        <f t="shared" si="10"/>
        <v>6.5</v>
      </c>
      <c r="DN77" t="str">
        <f t="shared" si="11"/>
        <v/>
      </c>
      <c r="DO77">
        <v>0</v>
      </c>
      <c r="DP77">
        <f t="shared" si="7"/>
        <v>0</v>
      </c>
      <c r="DQ77">
        <f t="shared" si="8"/>
        <v>0</v>
      </c>
    </row>
    <row r="78" spans="1:121" x14ac:dyDescent="0.35">
      <c r="A78" t="s">
        <v>106</v>
      </c>
      <c r="B78" t="s">
        <v>25</v>
      </c>
      <c r="C78" t="s">
        <v>25</v>
      </c>
      <c r="D78" t="s">
        <v>25</v>
      </c>
      <c r="E78" t="s">
        <v>25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25</v>
      </c>
      <c r="L78" t="s">
        <v>25</v>
      </c>
      <c r="M78" t="s">
        <v>25</v>
      </c>
      <c r="N78" t="s">
        <v>25</v>
      </c>
      <c r="O78" t="s">
        <v>25</v>
      </c>
      <c r="P78" t="s">
        <v>25</v>
      </c>
      <c r="Q78" t="s">
        <v>25</v>
      </c>
      <c r="R78" t="s">
        <v>25</v>
      </c>
      <c r="S78" t="s">
        <v>25</v>
      </c>
      <c r="T78" t="s">
        <v>25</v>
      </c>
      <c r="U78" t="s">
        <v>25</v>
      </c>
      <c r="V78" t="s">
        <v>25</v>
      </c>
      <c r="W78" t="s">
        <v>25</v>
      </c>
      <c r="X78" t="s">
        <v>25</v>
      </c>
      <c r="Y78" t="s">
        <v>25</v>
      </c>
      <c r="Z78" t="s">
        <v>25</v>
      </c>
      <c r="AA78" t="s">
        <v>25</v>
      </c>
      <c r="AB78" t="s">
        <v>25</v>
      </c>
      <c r="AC78" t="s">
        <v>25</v>
      </c>
      <c r="AD78" t="s">
        <v>25</v>
      </c>
      <c r="AE78" t="s">
        <v>25</v>
      </c>
      <c r="AF78" t="s">
        <v>25</v>
      </c>
      <c r="AG78" t="s">
        <v>25</v>
      </c>
      <c r="AH78" t="s">
        <v>25</v>
      </c>
      <c r="AI78" t="s">
        <v>25</v>
      </c>
      <c r="AJ78" t="s">
        <v>25</v>
      </c>
      <c r="AK78" t="s">
        <v>25</v>
      </c>
      <c r="AL78" t="s">
        <v>25</v>
      </c>
      <c r="AM78" t="s">
        <v>25</v>
      </c>
      <c r="AN78" t="s">
        <v>25</v>
      </c>
      <c r="AO78" t="s">
        <v>25</v>
      </c>
      <c r="AP78" t="s">
        <v>25</v>
      </c>
      <c r="AQ78" t="s">
        <v>25</v>
      </c>
      <c r="AR78" t="s">
        <v>25</v>
      </c>
      <c r="AS78">
        <v>5</v>
      </c>
      <c r="AT78" t="s">
        <v>25</v>
      </c>
      <c r="AU78" t="s">
        <v>25</v>
      </c>
      <c r="AV78" t="s">
        <v>25</v>
      </c>
      <c r="AW78" t="s">
        <v>25</v>
      </c>
      <c r="AX78" t="s">
        <v>25</v>
      </c>
      <c r="AY78" t="s">
        <v>25</v>
      </c>
      <c r="AZ78" t="s">
        <v>25</v>
      </c>
      <c r="BA78" t="s">
        <v>25</v>
      </c>
      <c r="BB78" t="s">
        <v>25</v>
      </c>
      <c r="BC78" t="s">
        <v>25</v>
      </c>
      <c r="BD78" t="s">
        <v>25</v>
      </c>
      <c r="BE78" t="s">
        <v>25</v>
      </c>
      <c r="BF78" t="s">
        <v>25</v>
      </c>
      <c r="BG78" t="s">
        <v>25</v>
      </c>
      <c r="BH78" t="s">
        <v>25</v>
      </c>
      <c r="BI78" t="s">
        <v>25</v>
      </c>
      <c r="BJ78" t="s">
        <v>25</v>
      </c>
      <c r="BK78" t="s">
        <v>25</v>
      </c>
      <c r="BL78" t="s">
        <v>25</v>
      </c>
      <c r="BM78" t="s">
        <v>25</v>
      </c>
      <c r="BN78" t="s">
        <v>25</v>
      </c>
      <c r="BO78" t="s">
        <v>25</v>
      </c>
      <c r="BP78" t="s">
        <v>25</v>
      </c>
      <c r="BQ78" t="s">
        <v>25</v>
      </c>
      <c r="BR78" t="s">
        <v>25</v>
      </c>
      <c r="BS78" t="s">
        <v>25</v>
      </c>
      <c r="BT78" t="s">
        <v>25</v>
      </c>
      <c r="BU78" t="s">
        <v>25</v>
      </c>
      <c r="BV78" t="s">
        <v>25</v>
      </c>
      <c r="BW78" t="s">
        <v>25</v>
      </c>
      <c r="BX78" t="s">
        <v>25</v>
      </c>
      <c r="BY78" t="s">
        <v>25</v>
      </c>
      <c r="BZ78" t="s">
        <v>25</v>
      </c>
      <c r="CA78" t="s">
        <v>25</v>
      </c>
      <c r="CB78" t="s">
        <v>25</v>
      </c>
      <c r="DL78">
        <f t="shared" si="9"/>
        <v>1</v>
      </c>
      <c r="DM78" s="18">
        <f t="shared" si="10"/>
        <v>5</v>
      </c>
      <c r="DN78" t="str">
        <f t="shared" si="11"/>
        <v/>
      </c>
      <c r="DO78">
        <v>0</v>
      </c>
      <c r="DP78">
        <f t="shared" si="7"/>
        <v>0</v>
      </c>
      <c r="DQ78">
        <f t="shared" si="8"/>
        <v>0</v>
      </c>
    </row>
    <row r="79" spans="1:121" x14ac:dyDescent="0.35">
      <c r="A79" t="s">
        <v>108</v>
      </c>
      <c r="B79" t="s">
        <v>25</v>
      </c>
      <c r="C79" t="s">
        <v>25</v>
      </c>
      <c r="D79" t="s">
        <v>25</v>
      </c>
      <c r="E79" t="s">
        <v>25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25</v>
      </c>
      <c r="L79" t="s">
        <v>25</v>
      </c>
      <c r="M79" t="s">
        <v>25</v>
      </c>
      <c r="N79" t="s">
        <v>25</v>
      </c>
      <c r="O79" t="s">
        <v>25</v>
      </c>
      <c r="P79" t="s">
        <v>25</v>
      </c>
      <c r="Q79" t="s">
        <v>25</v>
      </c>
      <c r="R79" t="s">
        <v>25</v>
      </c>
      <c r="S79" t="s">
        <v>25</v>
      </c>
      <c r="T79" t="s">
        <v>25</v>
      </c>
      <c r="U79" t="s">
        <v>25</v>
      </c>
      <c r="V79" t="s">
        <v>25</v>
      </c>
      <c r="W79" t="s">
        <v>25</v>
      </c>
      <c r="X79" t="s">
        <v>25</v>
      </c>
      <c r="Y79" t="s">
        <v>25</v>
      </c>
      <c r="Z79" t="s">
        <v>25</v>
      </c>
      <c r="AA79" t="s">
        <v>25</v>
      </c>
      <c r="AB79" t="s">
        <v>25</v>
      </c>
      <c r="AC79" t="s">
        <v>25</v>
      </c>
      <c r="AD79" t="s">
        <v>25</v>
      </c>
      <c r="AE79" t="s">
        <v>25</v>
      </c>
      <c r="AF79" t="s">
        <v>25</v>
      </c>
      <c r="AG79" t="s">
        <v>25</v>
      </c>
      <c r="AH79" t="s">
        <v>25</v>
      </c>
      <c r="AI79" t="s">
        <v>25</v>
      </c>
      <c r="AJ79" t="s">
        <v>25</v>
      </c>
      <c r="AK79" t="s">
        <v>25</v>
      </c>
      <c r="AL79" t="s">
        <v>25</v>
      </c>
      <c r="AM79" t="s">
        <v>25</v>
      </c>
      <c r="AN79" t="s">
        <v>25</v>
      </c>
      <c r="AO79" t="s">
        <v>25</v>
      </c>
      <c r="AP79" t="s">
        <v>25</v>
      </c>
      <c r="AQ79" t="s">
        <v>25</v>
      </c>
      <c r="AR79" t="s">
        <v>25</v>
      </c>
      <c r="AS79" t="s">
        <v>25</v>
      </c>
      <c r="AT79" t="s">
        <v>25</v>
      </c>
      <c r="AU79">
        <v>5.5</v>
      </c>
      <c r="AV79" t="s">
        <v>25</v>
      </c>
      <c r="AW79" t="s">
        <v>25</v>
      </c>
      <c r="AX79" t="s">
        <v>25</v>
      </c>
      <c r="AY79" t="s">
        <v>25</v>
      </c>
      <c r="AZ79" t="s">
        <v>25</v>
      </c>
      <c r="BA79" t="s">
        <v>25</v>
      </c>
      <c r="BB79" t="s">
        <v>25</v>
      </c>
      <c r="BC79" t="s">
        <v>25</v>
      </c>
      <c r="BD79" t="s">
        <v>25</v>
      </c>
      <c r="BE79" t="s">
        <v>25</v>
      </c>
      <c r="BF79" t="s">
        <v>25</v>
      </c>
      <c r="BG79" t="s">
        <v>25</v>
      </c>
      <c r="BH79" t="s">
        <v>25</v>
      </c>
      <c r="BI79" t="s">
        <v>25</v>
      </c>
      <c r="BJ79" t="s">
        <v>25</v>
      </c>
      <c r="BK79" t="s">
        <v>25</v>
      </c>
      <c r="BL79" t="s">
        <v>25</v>
      </c>
      <c r="BM79" t="s">
        <v>25</v>
      </c>
      <c r="BN79" t="s">
        <v>25</v>
      </c>
      <c r="BO79" t="s">
        <v>25</v>
      </c>
      <c r="BP79" t="s">
        <v>25</v>
      </c>
      <c r="BQ79" t="s">
        <v>25</v>
      </c>
      <c r="BR79" t="s">
        <v>25</v>
      </c>
      <c r="BS79" t="s">
        <v>25</v>
      </c>
      <c r="BT79" t="s">
        <v>25</v>
      </c>
      <c r="BU79" t="s">
        <v>25</v>
      </c>
      <c r="BV79" t="s">
        <v>25</v>
      </c>
      <c r="BW79" t="s">
        <v>25</v>
      </c>
      <c r="BX79" t="s">
        <v>25</v>
      </c>
      <c r="BY79" t="s">
        <v>25</v>
      </c>
      <c r="BZ79" t="s">
        <v>25</v>
      </c>
      <c r="CA79" t="s">
        <v>25</v>
      </c>
      <c r="CB79" t="s">
        <v>25</v>
      </c>
      <c r="DI79">
        <v>6</v>
      </c>
      <c r="DJ79">
        <v>6.5</v>
      </c>
      <c r="DL79">
        <f t="shared" si="9"/>
        <v>2</v>
      </c>
      <c r="DM79" s="18">
        <f t="shared" si="10"/>
        <v>5.75</v>
      </c>
      <c r="DN79">
        <f t="shared" si="11"/>
        <v>0.35355339059327379</v>
      </c>
      <c r="DO79">
        <v>0</v>
      </c>
      <c r="DP79">
        <f t="shared" si="7"/>
        <v>0</v>
      </c>
      <c r="DQ79">
        <f t="shared" si="8"/>
        <v>0</v>
      </c>
    </row>
    <row r="80" spans="1:121" x14ac:dyDescent="0.35">
      <c r="A80" t="s">
        <v>116</v>
      </c>
      <c r="B80" t="s">
        <v>25</v>
      </c>
      <c r="C80" t="s">
        <v>25</v>
      </c>
      <c r="D80" t="s">
        <v>25</v>
      </c>
      <c r="E80" t="s">
        <v>25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25</v>
      </c>
      <c r="L80" t="s">
        <v>25</v>
      </c>
      <c r="M80" t="s">
        <v>25</v>
      </c>
      <c r="N80" t="s">
        <v>25</v>
      </c>
      <c r="O80" t="s">
        <v>25</v>
      </c>
      <c r="P80" t="s">
        <v>25</v>
      </c>
      <c r="Q80" t="s">
        <v>25</v>
      </c>
      <c r="R80" t="s">
        <v>25</v>
      </c>
      <c r="S80" t="s">
        <v>25</v>
      </c>
      <c r="T80" t="s">
        <v>25</v>
      </c>
      <c r="U80" t="s">
        <v>25</v>
      </c>
      <c r="V80" t="s">
        <v>25</v>
      </c>
      <c r="W80" t="s">
        <v>25</v>
      </c>
      <c r="X80" t="s">
        <v>25</v>
      </c>
      <c r="Y80" t="s">
        <v>25</v>
      </c>
      <c r="Z80" t="s">
        <v>25</v>
      </c>
      <c r="AA80" t="s">
        <v>25</v>
      </c>
      <c r="AB80" t="s">
        <v>25</v>
      </c>
      <c r="AC80" t="s">
        <v>25</v>
      </c>
      <c r="AD80" t="s">
        <v>25</v>
      </c>
      <c r="AE80" t="s">
        <v>25</v>
      </c>
      <c r="AF80" t="s">
        <v>25</v>
      </c>
      <c r="AG80" t="s">
        <v>25</v>
      </c>
      <c r="AH80" t="s">
        <v>25</v>
      </c>
      <c r="AI80" t="s">
        <v>25</v>
      </c>
      <c r="AJ80" t="s">
        <v>25</v>
      </c>
      <c r="AK80" t="s">
        <v>25</v>
      </c>
      <c r="AL80" t="s">
        <v>25</v>
      </c>
      <c r="AM80" t="s">
        <v>25</v>
      </c>
      <c r="AN80" t="s">
        <v>25</v>
      </c>
      <c r="AO80" t="s">
        <v>25</v>
      </c>
      <c r="AP80" t="s">
        <v>25</v>
      </c>
      <c r="AQ80" t="s">
        <v>25</v>
      </c>
      <c r="AR80" t="s">
        <v>25</v>
      </c>
      <c r="AS80" t="s">
        <v>25</v>
      </c>
      <c r="AT80" t="s">
        <v>25</v>
      </c>
      <c r="AU80" t="s">
        <v>25</v>
      </c>
      <c r="AV80" t="s">
        <v>25</v>
      </c>
      <c r="AW80" t="s">
        <v>25</v>
      </c>
      <c r="AX80" t="s">
        <v>25</v>
      </c>
      <c r="AY80" t="s">
        <v>25</v>
      </c>
      <c r="AZ80">
        <v>2</v>
      </c>
      <c r="BA80" t="s">
        <v>25</v>
      </c>
      <c r="BB80" t="s">
        <v>25</v>
      </c>
      <c r="BC80" t="s">
        <v>25</v>
      </c>
      <c r="BD80" t="s">
        <v>25</v>
      </c>
      <c r="BE80" t="s">
        <v>25</v>
      </c>
      <c r="BF80" t="s">
        <v>25</v>
      </c>
      <c r="BG80" t="s">
        <v>25</v>
      </c>
      <c r="BH80" t="s">
        <v>25</v>
      </c>
      <c r="BI80" t="s">
        <v>25</v>
      </c>
      <c r="BJ80" t="s">
        <v>25</v>
      </c>
      <c r="BK80" t="s">
        <v>25</v>
      </c>
      <c r="BL80" t="s">
        <v>25</v>
      </c>
      <c r="BM80" t="s">
        <v>25</v>
      </c>
      <c r="BN80" t="s">
        <v>25</v>
      </c>
      <c r="BO80" t="s">
        <v>25</v>
      </c>
      <c r="BP80" t="s">
        <v>25</v>
      </c>
      <c r="BQ80" t="s">
        <v>25</v>
      </c>
      <c r="BR80" t="s">
        <v>25</v>
      </c>
      <c r="BS80" t="s">
        <v>25</v>
      </c>
      <c r="BT80" t="s">
        <v>25</v>
      </c>
      <c r="BU80" t="s">
        <v>25</v>
      </c>
      <c r="BV80" t="s">
        <v>25</v>
      </c>
      <c r="BW80" t="s">
        <v>25</v>
      </c>
      <c r="BX80" t="s">
        <v>25</v>
      </c>
      <c r="BY80" t="s">
        <v>25</v>
      </c>
      <c r="BZ80" t="s">
        <v>25</v>
      </c>
      <c r="CA80" t="s">
        <v>25</v>
      </c>
      <c r="CB80" t="s">
        <v>25</v>
      </c>
      <c r="DL80">
        <f t="shared" si="9"/>
        <v>1</v>
      </c>
      <c r="DM80" s="18">
        <f t="shared" si="10"/>
        <v>2</v>
      </c>
      <c r="DN80" t="str">
        <f t="shared" si="11"/>
        <v/>
      </c>
      <c r="DO80">
        <v>0</v>
      </c>
      <c r="DP80">
        <f t="shared" si="7"/>
        <v>0</v>
      </c>
      <c r="DQ80">
        <f t="shared" si="8"/>
        <v>0</v>
      </c>
    </row>
    <row r="81" spans="1:121" x14ac:dyDescent="0.35">
      <c r="A81" t="s">
        <v>117</v>
      </c>
      <c r="B81" t="s">
        <v>25</v>
      </c>
      <c r="C81" t="s">
        <v>25</v>
      </c>
      <c r="D81" t="s">
        <v>25</v>
      </c>
      <c r="E81" t="s">
        <v>25</v>
      </c>
      <c r="F81" t="s">
        <v>25</v>
      </c>
      <c r="G81" t="s">
        <v>25</v>
      </c>
      <c r="H81" t="s">
        <v>25</v>
      </c>
      <c r="I81" t="s">
        <v>25</v>
      </c>
      <c r="J81" t="s">
        <v>25</v>
      </c>
      <c r="K81" t="s">
        <v>25</v>
      </c>
      <c r="L81" t="s">
        <v>25</v>
      </c>
      <c r="M81" t="s">
        <v>25</v>
      </c>
      <c r="N81" t="s">
        <v>25</v>
      </c>
      <c r="O81" t="s">
        <v>25</v>
      </c>
      <c r="P81" t="s">
        <v>25</v>
      </c>
      <c r="Q81" t="s">
        <v>25</v>
      </c>
      <c r="R81" t="s">
        <v>25</v>
      </c>
      <c r="S81" t="s">
        <v>25</v>
      </c>
      <c r="T81" t="s">
        <v>25</v>
      </c>
      <c r="U81" t="s">
        <v>25</v>
      </c>
      <c r="V81" t="s">
        <v>25</v>
      </c>
      <c r="W81" t="s">
        <v>25</v>
      </c>
      <c r="X81" t="s">
        <v>25</v>
      </c>
      <c r="Y81" t="s">
        <v>25</v>
      </c>
      <c r="Z81" t="s">
        <v>25</v>
      </c>
      <c r="AA81" t="s">
        <v>25</v>
      </c>
      <c r="AB81" t="s">
        <v>25</v>
      </c>
      <c r="AC81" t="s">
        <v>25</v>
      </c>
      <c r="AD81" t="s">
        <v>25</v>
      </c>
      <c r="AE81" t="s">
        <v>25</v>
      </c>
      <c r="AF81" t="s">
        <v>25</v>
      </c>
      <c r="AG81" t="s">
        <v>25</v>
      </c>
      <c r="AH81" t="s">
        <v>25</v>
      </c>
      <c r="AI81" t="s">
        <v>25</v>
      </c>
      <c r="AJ81" t="s">
        <v>25</v>
      </c>
      <c r="AK81" t="s">
        <v>25</v>
      </c>
      <c r="AL81" t="s">
        <v>25</v>
      </c>
      <c r="AM81" t="s">
        <v>25</v>
      </c>
      <c r="AN81" t="s">
        <v>25</v>
      </c>
      <c r="AO81" t="s">
        <v>25</v>
      </c>
      <c r="AP81" t="s">
        <v>25</v>
      </c>
      <c r="AQ81" t="s">
        <v>25</v>
      </c>
      <c r="AR81" t="s">
        <v>25</v>
      </c>
      <c r="AS81" t="s">
        <v>25</v>
      </c>
      <c r="AT81" t="s">
        <v>25</v>
      </c>
      <c r="AU81" t="s">
        <v>25</v>
      </c>
      <c r="AV81" t="s">
        <v>25</v>
      </c>
      <c r="AW81" t="s">
        <v>25</v>
      </c>
      <c r="AX81" t="s">
        <v>25</v>
      </c>
      <c r="AY81" t="s">
        <v>25</v>
      </c>
      <c r="AZ81" t="s">
        <v>25</v>
      </c>
      <c r="BA81" t="s">
        <v>25</v>
      </c>
      <c r="BB81">
        <v>2.5</v>
      </c>
      <c r="BC81" t="s">
        <v>25</v>
      </c>
      <c r="BD81" t="s">
        <v>25</v>
      </c>
      <c r="BE81" t="s">
        <v>25</v>
      </c>
      <c r="BF81" t="s">
        <v>25</v>
      </c>
      <c r="BG81" t="s">
        <v>25</v>
      </c>
      <c r="BH81" t="s">
        <v>25</v>
      </c>
      <c r="BI81" t="s">
        <v>25</v>
      </c>
      <c r="BJ81" t="s">
        <v>25</v>
      </c>
      <c r="BK81" t="s">
        <v>25</v>
      </c>
      <c r="BL81" t="s">
        <v>25</v>
      </c>
      <c r="BM81" t="s">
        <v>25</v>
      </c>
      <c r="BN81" t="s">
        <v>25</v>
      </c>
      <c r="BO81" t="s">
        <v>25</v>
      </c>
      <c r="BP81" t="s">
        <v>25</v>
      </c>
      <c r="BQ81" t="s">
        <v>25</v>
      </c>
      <c r="BR81" t="s">
        <v>25</v>
      </c>
      <c r="BS81" t="s">
        <v>25</v>
      </c>
      <c r="BT81" t="s">
        <v>25</v>
      </c>
      <c r="BU81" t="s">
        <v>25</v>
      </c>
      <c r="BV81" t="s">
        <v>25</v>
      </c>
      <c r="BW81" t="s">
        <v>25</v>
      </c>
      <c r="BX81" t="s">
        <v>25</v>
      </c>
      <c r="BY81" t="s">
        <v>25</v>
      </c>
      <c r="BZ81" t="s">
        <v>25</v>
      </c>
      <c r="CA81" t="s">
        <v>25</v>
      </c>
      <c r="CB81" t="s">
        <v>25</v>
      </c>
      <c r="DL81">
        <f t="shared" si="9"/>
        <v>1</v>
      </c>
      <c r="DM81" s="18">
        <f t="shared" si="10"/>
        <v>2.5</v>
      </c>
      <c r="DN81" t="str">
        <f t="shared" si="11"/>
        <v/>
      </c>
      <c r="DO81">
        <v>0</v>
      </c>
      <c r="DP81">
        <f t="shared" si="7"/>
        <v>0</v>
      </c>
      <c r="DQ81">
        <f t="shared" si="8"/>
        <v>0</v>
      </c>
    </row>
    <row r="82" spans="1:121" x14ac:dyDescent="0.35">
      <c r="A82" t="s">
        <v>125</v>
      </c>
      <c r="B82" t="s">
        <v>25</v>
      </c>
      <c r="C82" t="s">
        <v>25</v>
      </c>
      <c r="D82" t="s">
        <v>25</v>
      </c>
      <c r="E82" t="s">
        <v>25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25</v>
      </c>
      <c r="L82" t="s">
        <v>25</v>
      </c>
      <c r="M82" t="s">
        <v>25</v>
      </c>
      <c r="N82" t="s">
        <v>25</v>
      </c>
      <c r="O82" t="s">
        <v>25</v>
      </c>
      <c r="P82" t="s">
        <v>25</v>
      </c>
      <c r="Q82" t="s">
        <v>25</v>
      </c>
      <c r="R82" t="s">
        <v>25</v>
      </c>
      <c r="S82" t="s">
        <v>25</v>
      </c>
      <c r="T82" t="s">
        <v>25</v>
      </c>
      <c r="U82" t="s">
        <v>25</v>
      </c>
      <c r="V82" t="s">
        <v>25</v>
      </c>
      <c r="W82" t="s">
        <v>25</v>
      </c>
      <c r="X82" t="s">
        <v>25</v>
      </c>
      <c r="Y82" t="s">
        <v>25</v>
      </c>
      <c r="Z82" t="s">
        <v>25</v>
      </c>
      <c r="AA82" t="s">
        <v>25</v>
      </c>
      <c r="AB82" t="s">
        <v>25</v>
      </c>
      <c r="AC82" t="s">
        <v>25</v>
      </c>
      <c r="AD82" t="s">
        <v>25</v>
      </c>
      <c r="AE82" t="s">
        <v>25</v>
      </c>
      <c r="AF82" t="s">
        <v>25</v>
      </c>
      <c r="AG82" t="s">
        <v>25</v>
      </c>
      <c r="AH82" t="s">
        <v>25</v>
      </c>
      <c r="AI82" t="s">
        <v>25</v>
      </c>
      <c r="AJ82" t="s">
        <v>25</v>
      </c>
      <c r="AK82" t="s">
        <v>25</v>
      </c>
      <c r="AL82" t="s">
        <v>25</v>
      </c>
      <c r="AM82" t="s">
        <v>25</v>
      </c>
      <c r="AN82" t="s">
        <v>25</v>
      </c>
      <c r="AO82" t="s">
        <v>25</v>
      </c>
      <c r="AP82" t="s">
        <v>25</v>
      </c>
      <c r="AQ82" t="s">
        <v>25</v>
      </c>
      <c r="AR82" t="s">
        <v>25</v>
      </c>
      <c r="AS82" t="s">
        <v>25</v>
      </c>
      <c r="AT82" t="s">
        <v>25</v>
      </c>
      <c r="AU82" t="s">
        <v>25</v>
      </c>
      <c r="AV82" t="s">
        <v>25</v>
      </c>
      <c r="AW82" t="s">
        <v>25</v>
      </c>
      <c r="AX82" t="s">
        <v>25</v>
      </c>
      <c r="AY82" t="s">
        <v>25</v>
      </c>
      <c r="AZ82" t="s">
        <v>25</v>
      </c>
      <c r="BA82" t="s">
        <v>25</v>
      </c>
      <c r="BB82" t="s">
        <v>25</v>
      </c>
      <c r="BC82" t="s">
        <v>25</v>
      </c>
      <c r="BD82" t="s">
        <v>25</v>
      </c>
      <c r="BE82" t="s">
        <v>25</v>
      </c>
      <c r="BF82" t="s">
        <v>25</v>
      </c>
      <c r="BG82" t="s">
        <v>25</v>
      </c>
      <c r="BH82" t="s">
        <v>25</v>
      </c>
      <c r="BI82" t="s">
        <v>25</v>
      </c>
      <c r="BJ82" t="s">
        <v>25</v>
      </c>
      <c r="BK82" t="s">
        <v>25</v>
      </c>
      <c r="BL82" t="s">
        <v>25</v>
      </c>
      <c r="BM82" t="s">
        <v>25</v>
      </c>
      <c r="BN82" t="s">
        <v>25</v>
      </c>
      <c r="BO82" t="s">
        <v>25</v>
      </c>
      <c r="BP82">
        <v>7</v>
      </c>
      <c r="BQ82" t="s">
        <v>25</v>
      </c>
      <c r="BR82" t="s">
        <v>25</v>
      </c>
      <c r="BS82" t="s">
        <v>25</v>
      </c>
      <c r="BT82" t="s">
        <v>25</v>
      </c>
      <c r="BU82" t="s">
        <v>25</v>
      </c>
      <c r="BV82" t="s">
        <v>25</v>
      </c>
      <c r="BW82" t="s">
        <v>25</v>
      </c>
      <c r="BX82" t="s">
        <v>25</v>
      </c>
      <c r="BY82" t="s">
        <v>25</v>
      </c>
      <c r="BZ82" t="s">
        <v>25</v>
      </c>
      <c r="CA82" t="s">
        <v>25</v>
      </c>
      <c r="CB82" t="s">
        <v>25</v>
      </c>
      <c r="DL82">
        <f t="shared" si="9"/>
        <v>1</v>
      </c>
      <c r="DM82" s="18">
        <f t="shared" si="10"/>
        <v>7</v>
      </c>
      <c r="DN82" t="str">
        <f t="shared" si="11"/>
        <v/>
      </c>
      <c r="DO82">
        <v>0</v>
      </c>
      <c r="DP82">
        <f t="shared" si="7"/>
        <v>0</v>
      </c>
      <c r="DQ82">
        <f t="shared" si="8"/>
        <v>0</v>
      </c>
    </row>
    <row r="83" spans="1:121" x14ac:dyDescent="0.35">
      <c r="A83" t="s">
        <v>126</v>
      </c>
      <c r="B83" t="s">
        <v>25</v>
      </c>
      <c r="C83" t="s">
        <v>25</v>
      </c>
      <c r="D83" t="s">
        <v>25</v>
      </c>
      <c r="E83" t="s">
        <v>25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25</v>
      </c>
      <c r="L83" t="s">
        <v>25</v>
      </c>
      <c r="M83" t="s">
        <v>25</v>
      </c>
      <c r="N83" t="s">
        <v>25</v>
      </c>
      <c r="O83" t="s">
        <v>25</v>
      </c>
      <c r="P83" t="s">
        <v>25</v>
      </c>
      <c r="Q83" t="s">
        <v>25</v>
      </c>
      <c r="R83" t="s">
        <v>25</v>
      </c>
      <c r="S83" t="s">
        <v>25</v>
      </c>
      <c r="T83" t="s">
        <v>25</v>
      </c>
      <c r="U83" t="s">
        <v>25</v>
      </c>
      <c r="V83" t="s">
        <v>25</v>
      </c>
      <c r="W83" t="s">
        <v>25</v>
      </c>
      <c r="X83" t="s">
        <v>25</v>
      </c>
      <c r="Y83" t="s">
        <v>25</v>
      </c>
      <c r="Z83" t="s">
        <v>25</v>
      </c>
      <c r="AA83" t="s">
        <v>25</v>
      </c>
      <c r="AB83" t="s">
        <v>25</v>
      </c>
      <c r="AC83" t="s">
        <v>25</v>
      </c>
      <c r="AD83" t="s">
        <v>25</v>
      </c>
      <c r="AE83" t="s">
        <v>25</v>
      </c>
      <c r="AF83" t="s">
        <v>25</v>
      </c>
      <c r="AG83" t="s">
        <v>25</v>
      </c>
      <c r="AH83" t="s">
        <v>25</v>
      </c>
      <c r="AI83" t="s">
        <v>25</v>
      </c>
      <c r="AJ83" t="s">
        <v>25</v>
      </c>
      <c r="AK83" t="s">
        <v>25</v>
      </c>
      <c r="AL83" t="s">
        <v>25</v>
      </c>
      <c r="AM83" t="s">
        <v>25</v>
      </c>
      <c r="AN83" t="s">
        <v>25</v>
      </c>
      <c r="AO83" t="s">
        <v>25</v>
      </c>
      <c r="AP83" t="s">
        <v>25</v>
      </c>
      <c r="AQ83" t="s">
        <v>25</v>
      </c>
      <c r="AR83" t="s">
        <v>25</v>
      </c>
      <c r="AS83" t="s">
        <v>25</v>
      </c>
      <c r="AT83" t="s">
        <v>25</v>
      </c>
      <c r="AU83" t="s">
        <v>25</v>
      </c>
      <c r="AV83" t="s">
        <v>25</v>
      </c>
      <c r="AW83" t="s">
        <v>25</v>
      </c>
      <c r="AX83" t="s">
        <v>25</v>
      </c>
      <c r="AY83" t="s">
        <v>25</v>
      </c>
      <c r="AZ83" t="s">
        <v>25</v>
      </c>
      <c r="BA83" t="s">
        <v>25</v>
      </c>
      <c r="BB83" t="s">
        <v>25</v>
      </c>
      <c r="BC83" t="s">
        <v>25</v>
      </c>
      <c r="BD83" t="s">
        <v>25</v>
      </c>
      <c r="BE83" t="s">
        <v>25</v>
      </c>
      <c r="BF83" t="s">
        <v>25</v>
      </c>
      <c r="BG83" t="s">
        <v>25</v>
      </c>
      <c r="BH83" t="s">
        <v>25</v>
      </c>
      <c r="BI83" t="s">
        <v>25</v>
      </c>
      <c r="BJ83" t="s">
        <v>25</v>
      </c>
      <c r="BK83" t="s">
        <v>25</v>
      </c>
      <c r="BL83" t="s">
        <v>25</v>
      </c>
      <c r="BM83" t="s">
        <v>25</v>
      </c>
      <c r="BN83" t="s">
        <v>25</v>
      </c>
      <c r="BO83" t="s">
        <v>25</v>
      </c>
      <c r="BP83">
        <v>5.5</v>
      </c>
      <c r="BQ83" t="s">
        <v>25</v>
      </c>
      <c r="BR83" t="s">
        <v>25</v>
      </c>
      <c r="BS83" t="s">
        <v>25</v>
      </c>
      <c r="BT83" t="s">
        <v>25</v>
      </c>
      <c r="BU83" t="s">
        <v>25</v>
      </c>
      <c r="BV83" t="s">
        <v>25</v>
      </c>
      <c r="BW83" t="s">
        <v>25</v>
      </c>
      <c r="BX83" t="s">
        <v>25</v>
      </c>
      <c r="BY83" t="s">
        <v>25</v>
      </c>
      <c r="BZ83" t="s">
        <v>25</v>
      </c>
      <c r="CA83" t="s">
        <v>25</v>
      </c>
      <c r="CB83" t="s">
        <v>25</v>
      </c>
      <c r="DL83">
        <f t="shared" si="9"/>
        <v>1</v>
      </c>
      <c r="DM83" s="18">
        <f t="shared" si="10"/>
        <v>5.5</v>
      </c>
      <c r="DN83" t="str">
        <f t="shared" si="11"/>
        <v/>
      </c>
      <c r="DO83">
        <v>0</v>
      </c>
      <c r="DP83">
        <f t="shared" si="7"/>
        <v>0</v>
      </c>
      <c r="DQ83">
        <f t="shared" si="8"/>
        <v>0</v>
      </c>
    </row>
    <row r="84" spans="1:121" x14ac:dyDescent="0.35">
      <c r="A84" t="s">
        <v>128</v>
      </c>
      <c r="B84" t="s">
        <v>25</v>
      </c>
      <c r="C84" t="s">
        <v>25</v>
      </c>
      <c r="D84" t="s">
        <v>25</v>
      </c>
      <c r="E84" t="s">
        <v>25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25</v>
      </c>
      <c r="L84" t="s">
        <v>25</v>
      </c>
      <c r="M84" t="s">
        <v>25</v>
      </c>
      <c r="N84" t="s">
        <v>25</v>
      </c>
      <c r="O84" t="s">
        <v>25</v>
      </c>
      <c r="P84" t="s">
        <v>25</v>
      </c>
      <c r="Q84" t="s">
        <v>25</v>
      </c>
      <c r="R84" t="s">
        <v>25</v>
      </c>
      <c r="S84" t="s">
        <v>25</v>
      </c>
      <c r="T84" t="s">
        <v>25</v>
      </c>
      <c r="U84" t="s">
        <v>25</v>
      </c>
      <c r="V84" t="s">
        <v>25</v>
      </c>
      <c r="W84" t="s">
        <v>25</v>
      </c>
      <c r="X84" t="s">
        <v>25</v>
      </c>
      <c r="Y84" t="s">
        <v>25</v>
      </c>
      <c r="Z84" t="s">
        <v>25</v>
      </c>
      <c r="AA84" t="s">
        <v>25</v>
      </c>
      <c r="AB84" t="s">
        <v>25</v>
      </c>
      <c r="AC84" t="s">
        <v>25</v>
      </c>
      <c r="AD84" t="s">
        <v>25</v>
      </c>
      <c r="AE84" t="s">
        <v>25</v>
      </c>
      <c r="AF84" t="s">
        <v>25</v>
      </c>
      <c r="AG84" t="s">
        <v>25</v>
      </c>
      <c r="AH84" t="s">
        <v>25</v>
      </c>
      <c r="AI84" t="s">
        <v>25</v>
      </c>
      <c r="AJ84" t="s">
        <v>25</v>
      </c>
      <c r="AK84" t="s">
        <v>25</v>
      </c>
      <c r="AL84" t="s">
        <v>25</v>
      </c>
      <c r="AM84" t="s">
        <v>25</v>
      </c>
      <c r="AN84" t="s">
        <v>25</v>
      </c>
      <c r="AO84" t="s">
        <v>25</v>
      </c>
      <c r="AP84" t="s">
        <v>25</v>
      </c>
      <c r="AQ84" t="s">
        <v>25</v>
      </c>
      <c r="AR84" t="s">
        <v>25</v>
      </c>
      <c r="AS84" t="s">
        <v>25</v>
      </c>
      <c r="AT84" t="s">
        <v>25</v>
      </c>
      <c r="AU84" t="s">
        <v>25</v>
      </c>
      <c r="AV84" t="s">
        <v>25</v>
      </c>
      <c r="AW84" t="s">
        <v>25</v>
      </c>
      <c r="AX84" t="s">
        <v>25</v>
      </c>
      <c r="AY84" t="s">
        <v>25</v>
      </c>
      <c r="AZ84" t="s">
        <v>25</v>
      </c>
      <c r="BA84" t="s">
        <v>25</v>
      </c>
      <c r="BB84" t="s">
        <v>25</v>
      </c>
      <c r="BC84" t="s">
        <v>25</v>
      </c>
      <c r="BD84" t="s">
        <v>25</v>
      </c>
      <c r="BE84" t="s">
        <v>25</v>
      </c>
      <c r="BF84" t="s">
        <v>25</v>
      </c>
      <c r="BG84" t="s">
        <v>25</v>
      </c>
      <c r="BH84" t="s">
        <v>25</v>
      </c>
      <c r="BI84" t="s">
        <v>25</v>
      </c>
      <c r="BJ84" t="s">
        <v>25</v>
      </c>
      <c r="BK84" t="s">
        <v>25</v>
      </c>
      <c r="BL84" t="s">
        <v>25</v>
      </c>
      <c r="BM84" t="s">
        <v>25</v>
      </c>
      <c r="BN84" t="s">
        <v>25</v>
      </c>
      <c r="BO84" t="s">
        <v>25</v>
      </c>
      <c r="BP84" t="s">
        <v>25</v>
      </c>
      <c r="BQ84" t="s">
        <v>25</v>
      </c>
      <c r="BR84" t="s">
        <v>25</v>
      </c>
      <c r="BS84">
        <v>5</v>
      </c>
      <c r="BT84" t="s">
        <v>25</v>
      </c>
      <c r="BU84" t="s">
        <v>25</v>
      </c>
      <c r="BV84" t="s">
        <v>25</v>
      </c>
      <c r="BW84" t="s">
        <v>25</v>
      </c>
      <c r="BX84" t="s">
        <v>25</v>
      </c>
      <c r="BY84" t="s">
        <v>25</v>
      </c>
      <c r="BZ84" t="s">
        <v>25</v>
      </c>
      <c r="CA84" t="s">
        <v>25</v>
      </c>
      <c r="CB84" t="s">
        <v>25</v>
      </c>
      <c r="DL84">
        <f t="shared" si="9"/>
        <v>1</v>
      </c>
      <c r="DM84" s="18">
        <f t="shared" si="10"/>
        <v>5</v>
      </c>
      <c r="DN84" t="str">
        <f t="shared" si="11"/>
        <v/>
      </c>
      <c r="DO84">
        <v>0</v>
      </c>
      <c r="DP84">
        <f t="shared" si="7"/>
        <v>0</v>
      </c>
      <c r="DQ84">
        <f t="shared" si="8"/>
        <v>0</v>
      </c>
    </row>
    <row r="85" spans="1:121" x14ac:dyDescent="0.35">
      <c r="A85" t="s">
        <v>132</v>
      </c>
      <c r="B85" t="s">
        <v>25</v>
      </c>
      <c r="C85" t="s">
        <v>25</v>
      </c>
      <c r="D85" t="s">
        <v>25</v>
      </c>
      <c r="E85" t="s">
        <v>25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25</v>
      </c>
      <c r="L85" t="s">
        <v>25</v>
      </c>
      <c r="M85" t="s">
        <v>25</v>
      </c>
      <c r="N85" t="s">
        <v>25</v>
      </c>
      <c r="O85" t="s">
        <v>25</v>
      </c>
      <c r="P85" t="s">
        <v>25</v>
      </c>
      <c r="Q85" t="s">
        <v>25</v>
      </c>
      <c r="R85" t="s">
        <v>25</v>
      </c>
      <c r="S85" t="s">
        <v>25</v>
      </c>
      <c r="T85" t="s">
        <v>25</v>
      </c>
      <c r="U85" t="s">
        <v>25</v>
      </c>
      <c r="V85" t="s">
        <v>25</v>
      </c>
      <c r="W85" t="s">
        <v>25</v>
      </c>
      <c r="X85" t="s">
        <v>25</v>
      </c>
      <c r="Y85" t="s">
        <v>25</v>
      </c>
      <c r="Z85" t="s">
        <v>25</v>
      </c>
      <c r="AA85" t="s">
        <v>25</v>
      </c>
      <c r="AB85" t="s">
        <v>25</v>
      </c>
      <c r="AC85" t="s">
        <v>25</v>
      </c>
      <c r="AD85" t="s">
        <v>25</v>
      </c>
      <c r="AE85" t="s">
        <v>25</v>
      </c>
      <c r="AF85" t="s">
        <v>25</v>
      </c>
      <c r="AG85" t="s">
        <v>25</v>
      </c>
      <c r="AH85" t="s">
        <v>25</v>
      </c>
      <c r="AI85" t="s">
        <v>25</v>
      </c>
      <c r="AJ85" t="s">
        <v>25</v>
      </c>
      <c r="AK85" t="s">
        <v>25</v>
      </c>
      <c r="AL85" t="s">
        <v>25</v>
      </c>
      <c r="AM85" t="s">
        <v>25</v>
      </c>
      <c r="AN85" t="s">
        <v>25</v>
      </c>
      <c r="AO85" t="s">
        <v>25</v>
      </c>
      <c r="AP85" t="s">
        <v>25</v>
      </c>
      <c r="AQ85" t="s">
        <v>25</v>
      </c>
      <c r="AR85" t="s">
        <v>25</v>
      </c>
      <c r="AS85" t="s">
        <v>25</v>
      </c>
      <c r="AT85" t="s">
        <v>25</v>
      </c>
      <c r="AU85" t="s">
        <v>25</v>
      </c>
      <c r="AV85" t="s">
        <v>25</v>
      </c>
      <c r="AW85" t="s">
        <v>25</v>
      </c>
      <c r="AX85" t="s">
        <v>25</v>
      </c>
      <c r="AY85" t="s">
        <v>25</v>
      </c>
      <c r="AZ85" t="s">
        <v>25</v>
      </c>
      <c r="BA85" t="s">
        <v>25</v>
      </c>
      <c r="BB85" t="s">
        <v>25</v>
      </c>
      <c r="BC85" t="s">
        <v>25</v>
      </c>
      <c r="BD85" t="s">
        <v>25</v>
      </c>
      <c r="BE85" t="s">
        <v>25</v>
      </c>
      <c r="BF85" t="s">
        <v>25</v>
      </c>
      <c r="BG85" t="s">
        <v>25</v>
      </c>
      <c r="BH85" t="s">
        <v>25</v>
      </c>
      <c r="BI85" t="s">
        <v>25</v>
      </c>
      <c r="BJ85" t="s">
        <v>25</v>
      </c>
      <c r="BK85" t="s">
        <v>25</v>
      </c>
      <c r="BL85" t="s">
        <v>25</v>
      </c>
      <c r="BM85" t="s">
        <v>25</v>
      </c>
      <c r="BN85" t="s">
        <v>25</v>
      </c>
      <c r="BO85" t="s">
        <v>25</v>
      </c>
      <c r="BP85" t="s">
        <v>25</v>
      </c>
      <c r="BQ85" t="s">
        <v>25</v>
      </c>
      <c r="BR85" t="s">
        <v>25</v>
      </c>
      <c r="BS85" t="s">
        <v>25</v>
      </c>
      <c r="BT85" t="s">
        <v>25</v>
      </c>
      <c r="BU85" t="s">
        <v>25</v>
      </c>
      <c r="BV85" t="s">
        <v>25</v>
      </c>
      <c r="BW85" t="s">
        <v>25</v>
      </c>
      <c r="BX85" t="s">
        <v>25</v>
      </c>
      <c r="BY85" t="s">
        <v>25</v>
      </c>
      <c r="BZ85">
        <v>5.5</v>
      </c>
      <c r="CA85" t="s">
        <v>25</v>
      </c>
      <c r="CB85" t="s">
        <v>25</v>
      </c>
      <c r="DL85">
        <f t="shared" si="9"/>
        <v>1</v>
      </c>
      <c r="DM85" s="18">
        <f t="shared" si="10"/>
        <v>5.5</v>
      </c>
      <c r="DN85" t="str">
        <f t="shared" si="11"/>
        <v/>
      </c>
      <c r="DO85">
        <v>0</v>
      </c>
      <c r="DP85">
        <f t="shared" si="7"/>
        <v>0</v>
      </c>
      <c r="DQ85">
        <f t="shared" si="8"/>
        <v>0</v>
      </c>
    </row>
    <row r="86" spans="1:121" x14ac:dyDescent="0.35">
      <c r="A86" t="s">
        <v>133</v>
      </c>
      <c r="B86" t="s">
        <v>25</v>
      </c>
      <c r="C86" t="s">
        <v>25</v>
      </c>
      <c r="D86" t="s">
        <v>25</v>
      </c>
      <c r="E86" t="s">
        <v>25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25</v>
      </c>
      <c r="L86" t="s">
        <v>25</v>
      </c>
      <c r="M86" t="s">
        <v>25</v>
      </c>
      <c r="N86" t="s">
        <v>25</v>
      </c>
      <c r="O86" t="s">
        <v>25</v>
      </c>
      <c r="P86" t="s">
        <v>25</v>
      </c>
      <c r="Q86" t="s">
        <v>25</v>
      </c>
      <c r="R86" t="s">
        <v>25</v>
      </c>
      <c r="S86" t="s">
        <v>25</v>
      </c>
      <c r="T86" t="s">
        <v>25</v>
      </c>
      <c r="U86" t="s">
        <v>25</v>
      </c>
      <c r="V86" t="s">
        <v>25</v>
      </c>
      <c r="W86" t="s">
        <v>25</v>
      </c>
      <c r="X86" t="s">
        <v>25</v>
      </c>
      <c r="Y86" t="s">
        <v>25</v>
      </c>
      <c r="Z86" t="s">
        <v>25</v>
      </c>
      <c r="AA86" t="s">
        <v>25</v>
      </c>
      <c r="AB86" t="s">
        <v>25</v>
      </c>
      <c r="AC86" t="s">
        <v>25</v>
      </c>
      <c r="AD86" t="s">
        <v>25</v>
      </c>
      <c r="AE86" t="s">
        <v>25</v>
      </c>
      <c r="AF86" t="s">
        <v>25</v>
      </c>
      <c r="AG86" t="s">
        <v>25</v>
      </c>
      <c r="AH86" t="s">
        <v>25</v>
      </c>
      <c r="AI86" t="s">
        <v>25</v>
      </c>
      <c r="AJ86" t="s">
        <v>25</v>
      </c>
      <c r="AK86" t="s">
        <v>25</v>
      </c>
      <c r="AL86" t="s">
        <v>25</v>
      </c>
      <c r="AM86" t="s">
        <v>25</v>
      </c>
      <c r="AN86" t="s">
        <v>25</v>
      </c>
      <c r="AO86" t="s">
        <v>25</v>
      </c>
      <c r="AP86" t="s">
        <v>25</v>
      </c>
      <c r="AQ86" t="s">
        <v>25</v>
      </c>
      <c r="AR86" t="s">
        <v>25</v>
      </c>
      <c r="AS86" t="s">
        <v>25</v>
      </c>
      <c r="AT86" t="s">
        <v>25</v>
      </c>
      <c r="AU86" t="s">
        <v>25</v>
      </c>
      <c r="AV86" t="s">
        <v>25</v>
      </c>
      <c r="AW86" t="s">
        <v>25</v>
      </c>
      <c r="AX86" t="s">
        <v>25</v>
      </c>
      <c r="AY86" t="s">
        <v>25</v>
      </c>
      <c r="AZ86" t="s">
        <v>25</v>
      </c>
      <c r="BA86" t="s">
        <v>25</v>
      </c>
      <c r="BB86" t="s">
        <v>25</v>
      </c>
      <c r="BC86" t="s">
        <v>25</v>
      </c>
      <c r="BD86" t="s">
        <v>25</v>
      </c>
      <c r="BE86" t="s">
        <v>25</v>
      </c>
      <c r="BF86" t="s">
        <v>25</v>
      </c>
      <c r="BG86" t="s">
        <v>25</v>
      </c>
      <c r="BH86" t="s">
        <v>25</v>
      </c>
      <c r="BI86" t="s">
        <v>25</v>
      </c>
      <c r="BJ86" t="s">
        <v>25</v>
      </c>
      <c r="BK86" t="s">
        <v>25</v>
      </c>
      <c r="BL86" t="s">
        <v>25</v>
      </c>
      <c r="BM86" t="s">
        <v>25</v>
      </c>
      <c r="BN86" t="s">
        <v>25</v>
      </c>
      <c r="BO86" t="s">
        <v>25</v>
      </c>
      <c r="BP86" t="s">
        <v>25</v>
      </c>
      <c r="BQ86" t="s">
        <v>25</v>
      </c>
      <c r="BR86" t="s">
        <v>25</v>
      </c>
      <c r="BS86" t="s">
        <v>25</v>
      </c>
      <c r="BT86" t="s">
        <v>25</v>
      </c>
      <c r="BU86" t="s">
        <v>25</v>
      </c>
      <c r="BV86" t="s">
        <v>25</v>
      </c>
      <c r="BW86" t="s">
        <v>25</v>
      </c>
      <c r="BX86" t="s">
        <v>25</v>
      </c>
      <c r="BY86" t="s">
        <v>25</v>
      </c>
      <c r="BZ86">
        <v>5.5</v>
      </c>
      <c r="CA86" t="s">
        <v>25</v>
      </c>
      <c r="CB86" t="s">
        <v>25</v>
      </c>
      <c r="DL86">
        <f t="shared" si="9"/>
        <v>1</v>
      </c>
      <c r="DM86" s="18">
        <f t="shared" si="10"/>
        <v>5.5</v>
      </c>
      <c r="DN86" t="str">
        <f t="shared" si="11"/>
        <v/>
      </c>
      <c r="DO86">
        <v>0</v>
      </c>
      <c r="DP86">
        <f t="shared" si="7"/>
        <v>0</v>
      </c>
      <c r="DQ86">
        <f t="shared" si="8"/>
        <v>0</v>
      </c>
    </row>
    <row r="87" spans="1:121" x14ac:dyDescent="0.35">
      <c r="A87" t="s">
        <v>140</v>
      </c>
      <c r="B87" t="s">
        <v>25</v>
      </c>
      <c r="C87" t="s">
        <v>25</v>
      </c>
      <c r="D87" t="s">
        <v>25</v>
      </c>
      <c r="E87" t="s">
        <v>25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25</v>
      </c>
      <c r="L87" t="s">
        <v>25</v>
      </c>
      <c r="M87" t="s">
        <v>25</v>
      </c>
      <c r="N87" t="s">
        <v>25</v>
      </c>
      <c r="O87" t="s">
        <v>25</v>
      </c>
      <c r="P87" t="s">
        <v>25</v>
      </c>
      <c r="Q87" t="s">
        <v>25</v>
      </c>
      <c r="R87" t="s">
        <v>25</v>
      </c>
      <c r="S87" t="s">
        <v>25</v>
      </c>
      <c r="T87" t="s">
        <v>25</v>
      </c>
      <c r="U87" t="s">
        <v>25</v>
      </c>
      <c r="V87" t="s">
        <v>25</v>
      </c>
      <c r="W87" t="s">
        <v>25</v>
      </c>
      <c r="X87" t="s">
        <v>25</v>
      </c>
      <c r="Y87" t="s">
        <v>25</v>
      </c>
      <c r="Z87" t="s">
        <v>25</v>
      </c>
      <c r="AA87" t="s">
        <v>25</v>
      </c>
      <c r="AB87" t="s">
        <v>25</v>
      </c>
      <c r="AC87" t="s">
        <v>25</v>
      </c>
      <c r="AD87" t="s">
        <v>25</v>
      </c>
      <c r="AE87" t="s">
        <v>25</v>
      </c>
      <c r="AF87" t="s">
        <v>25</v>
      </c>
      <c r="AG87" t="s">
        <v>25</v>
      </c>
      <c r="AH87" t="s">
        <v>25</v>
      </c>
      <c r="AI87" t="s">
        <v>25</v>
      </c>
      <c r="AJ87" t="s">
        <v>25</v>
      </c>
      <c r="AK87" t="s">
        <v>25</v>
      </c>
      <c r="AL87" t="s">
        <v>25</v>
      </c>
      <c r="AM87" t="s">
        <v>25</v>
      </c>
      <c r="AN87" t="s">
        <v>25</v>
      </c>
      <c r="AO87" t="s">
        <v>25</v>
      </c>
      <c r="AP87" t="s">
        <v>25</v>
      </c>
      <c r="AQ87" t="s">
        <v>25</v>
      </c>
      <c r="AR87" t="s">
        <v>25</v>
      </c>
      <c r="AS87" t="s">
        <v>25</v>
      </c>
      <c r="AT87" t="s">
        <v>25</v>
      </c>
      <c r="AU87" t="s">
        <v>25</v>
      </c>
      <c r="AV87" t="s">
        <v>25</v>
      </c>
      <c r="AW87" t="s">
        <v>25</v>
      </c>
      <c r="AX87" t="s">
        <v>25</v>
      </c>
      <c r="AY87" t="s">
        <v>25</v>
      </c>
      <c r="AZ87" t="s">
        <v>25</v>
      </c>
      <c r="BA87" t="s">
        <v>25</v>
      </c>
      <c r="BB87" t="s">
        <v>25</v>
      </c>
      <c r="BC87" t="s">
        <v>25</v>
      </c>
      <c r="BD87" t="s">
        <v>25</v>
      </c>
      <c r="BE87" t="s">
        <v>25</v>
      </c>
      <c r="BF87" t="s">
        <v>25</v>
      </c>
      <c r="BG87" t="s">
        <v>25</v>
      </c>
      <c r="BH87" t="s">
        <v>25</v>
      </c>
      <c r="BI87" t="s">
        <v>25</v>
      </c>
      <c r="BJ87" t="s">
        <v>25</v>
      </c>
      <c r="BK87" t="s">
        <v>25</v>
      </c>
      <c r="BL87" t="s">
        <v>25</v>
      </c>
      <c r="BM87" t="s">
        <v>25</v>
      </c>
      <c r="BN87" t="s">
        <v>25</v>
      </c>
      <c r="BO87" t="s">
        <v>25</v>
      </c>
      <c r="BP87" t="s">
        <v>25</v>
      </c>
      <c r="BQ87" t="s">
        <v>25</v>
      </c>
      <c r="BR87" t="s">
        <v>25</v>
      </c>
      <c r="BS87" t="s">
        <v>25</v>
      </c>
      <c r="BT87" t="s">
        <v>25</v>
      </c>
      <c r="BU87" t="s">
        <v>25</v>
      </c>
      <c r="BV87" t="s">
        <v>25</v>
      </c>
      <c r="BW87" t="s">
        <v>25</v>
      </c>
      <c r="BX87" t="s">
        <v>25</v>
      </c>
      <c r="BY87" t="s">
        <v>25</v>
      </c>
      <c r="BZ87" t="s">
        <v>25</v>
      </c>
      <c r="CA87" t="s">
        <v>25</v>
      </c>
      <c r="CB87" t="s">
        <v>25</v>
      </c>
      <c r="CH87">
        <v>7.5</v>
      </c>
      <c r="DL87">
        <f t="shared" si="9"/>
        <v>1</v>
      </c>
      <c r="DM87" s="18">
        <f t="shared" si="10"/>
        <v>7.5</v>
      </c>
      <c r="DN87" t="str">
        <f t="shared" si="11"/>
        <v/>
      </c>
      <c r="DO87">
        <v>0</v>
      </c>
      <c r="DP87">
        <f t="shared" si="7"/>
        <v>0</v>
      </c>
      <c r="DQ87">
        <f t="shared" si="8"/>
        <v>0</v>
      </c>
    </row>
    <row r="88" spans="1:121" x14ac:dyDescent="0.35">
      <c r="A88" t="s">
        <v>142</v>
      </c>
      <c r="B88" t="s">
        <v>25</v>
      </c>
      <c r="C88" t="s">
        <v>25</v>
      </c>
      <c r="D88" t="s">
        <v>25</v>
      </c>
      <c r="E88" t="s">
        <v>25</v>
      </c>
      <c r="F88" t="s">
        <v>25</v>
      </c>
      <c r="G88" t="s">
        <v>25</v>
      </c>
      <c r="H88" t="s">
        <v>25</v>
      </c>
      <c r="I88" t="s">
        <v>25</v>
      </c>
      <c r="J88" t="s">
        <v>25</v>
      </c>
      <c r="K88" t="s">
        <v>25</v>
      </c>
      <c r="L88" t="s">
        <v>25</v>
      </c>
      <c r="M88" t="s">
        <v>25</v>
      </c>
      <c r="N88" t="s">
        <v>25</v>
      </c>
      <c r="O88" t="s">
        <v>25</v>
      </c>
      <c r="P88" t="s">
        <v>25</v>
      </c>
      <c r="Q88" t="s">
        <v>25</v>
      </c>
      <c r="R88" t="s">
        <v>25</v>
      </c>
      <c r="S88" t="s">
        <v>25</v>
      </c>
      <c r="T88" t="s">
        <v>25</v>
      </c>
      <c r="U88" t="s">
        <v>25</v>
      </c>
      <c r="V88" t="s">
        <v>25</v>
      </c>
      <c r="W88" t="s">
        <v>25</v>
      </c>
      <c r="X88" t="s">
        <v>25</v>
      </c>
      <c r="Y88" t="s">
        <v>25</v>
      </c>
      <c r="Z88" t="s">
        <v>25</v>
      </c>
      <c r="AA88" t="s">
        <v>25</v>
      </c>
      <c r="AB88" t="s">
        <v>25</v>
      </c>
      <c r="AC88" t="s">
        <v>25</v>
      </c>
      <c r="AD88" t="s">
        <v>25</v>
      </c>
      <c r="AE88" t="s">
        <v>25</v>
      </c>
      <c r="AF88" t="s">
        <v>25</v>
      </c>
      <c r="AG88" t="s">
        <v>25</v>
      </c>
      <c r="AH88" t="s">
        <v>25</v>
      </c>
      <c r="AI88" t="s">
        <v>25</v>
      </c>
      <c r="AJ88" t="s">
        <v>25</v>
      </c>
      <c r="AK88" t="s">
        <v>25</v>
      </c>
      <c r="AL88" t="s">
        <v>25</v>
      </c>
      <c r="AM88" t="s">
        <v>25</v>
      </c>
      <c r="AN88" t="s">
        <v>25</v>
      </c>
      <c r="AO88" t="s">
        <v>25</v>
      </c>
      <c r="AP88" t="s">
        <v>25</v>
      </c>
      <c r="AQ88" t="s">
        <v>25</v>
      </c>
      <c r="AR88" t="s">
        <v>25</v>
      </c>
      <c r="AS88" t="s">
        <v>25</v>
      </c>
      <c r="AT88" t="s">
        <v>25</v>
      </c>
      <c r="AU88" t="s">
        <v>25</v>
      </c>
      <c r="AV88" t="s">
        <v>25</v>
      </c>
      <c r="AW88" t="s">
        <v>25</v>
      </c>
      <c r="AX88" t="s">
        <v>25</v>
      </c>
      <c r="AY88" t="s">
        <v>25</v>
      </c>
      <c r="AZ88" t="s">
        <v>25</v>
      </c>
      <c r="BA88" t="s">
        <v>25</v>
      </c>
      <c r="BB88" t="s">
        <v>25</v>
      </c>
      <c r="BC88" t="s">
        <v>25</v>
      </c>
      <c r="BD88" t="s">
        <v>25</v>
      </c>
      <c r="BE88" t="s">
        <v>25</v>
      </c>
      <c r="BF88" t="s">
        <v>25</v>
      </c>
      <c r="BG88" t="s">
        <v>25</v>
      </c>
      <c r="BH88" t="s">
        <v>25</v>
      </c>
      <c r="BI88" t="s">
        <v>25</v>
      </c>
      <c r="BJ88" t="s">
        <v>25</v>
      </c>
      <c r="BK88" t="s">
        <v>25</v>
      </c>
      <c r="BL88" t="s">
        <v>25</v>
      </c>
      <c r="BM88" t="s">
        <v>25</v>
      </c>
      <c r="BN88" t="s">
        <v>25</v>
      </c>
      <c r="BO88" t="s">
        <v>25</v>
      </c>
      <c r="BP88" t="s">
        <v>25</v>
      </c>
      <c r="BQ88" t="s">
        <v>25</v>
      </c>
      <c r="BR88" t="s">
        <v>25</v>
      </c>
      <c r="BS88" t="s">
        <v>25</v>
      </c>
      <c r="BT88" t="s">
        <v>25</v>
      </c>
      <c r="BU88" t="s">
        <v>25</v>
      </c>
      <c r="BV88" t="s">
        <v>25</v>
      </c>
      <c r="BW88" t="s">
        <v>25</v>
      </c>
      <c r="BX88" t="s">
        <v>25</v>
      </c>
      <c r="BY88" t="s">
        <v>25</v>
      </c>
      <c r="BZ88" t="s">
        <v>25</v>
      </c>
      <c r="CA88" t="s">
        <v>25</v>
      </c>
      <c r="CB88" t="s">
        <v>25</v>
      </c>
      <c r="CI88">
        <v>7</v>
      </c>
      <c r="DL88">
        <f t="shared" si="9"/>
        <v>1</v>
      </c>
      <c r="DM88" s="18">
        <f t="shared" si="10"/>
        <v>7</v>
      </c>
      <c r="DN88" t="str">
        <f t="shared" si="11"/>
        <v/>
      </c>
      <c r="DO88">
        <v>0</v>
      </c>
      <c r="DP88">
        <f t="shared" si="7"/>
        <v>0</v>
      </c>
      <c r="DQ88">
        <f t="shared" si="8"/>
        <v>0</v>
      </c>
    </row>
    <row r="89" spans="1:121" x14ac:dyDescent="0.35">
      <c r="A89" t="s">
        <v>144</v>
      </c>
      <c r="CP89">
        <v>6.5</v>
      </c>
      <c r="DL89">
        <f t="shared" si="9"/>
        <v>1</v>
      </c>
      <c r="DM89" s="18">
        <f t="shared" si="10"/>
        <v>6.5</v>
      </c>
      <c r="DN89" t="str">
        <f t="shared" si="11"/>
        <v/>
      </c>
      <c r="DO89">
        <v>0</v>
      </c>
      <c r="DP89">
        <f t="shared" si="7"/>
        <v>0</v>
      </c>
      <c r="DQ89">
        <f t="shared" si="8"/>
        <v>0</v>
      </c>
    </row>
    <row r="90" spans="1:121" x14ac:dyDescent="0.35">
      <c r="A90" t="s">
        <v>145</v>
      </c>
      <c r="CQ90">
        <v>6.5</v>
      </c>
      <c r="DL90">
        <f t="shared" si="9"/>
        <v>1</v>
      </c>
      <c r="DM90" s="18">
        <f t="shared" si="10"/>
        <v>6.5</v>
      </c>
      <c r="DN90" t="str">
        <f t="shared" si="11"/>
        <v/>
      </c>
      <c r="DO90">
        <v>1</v>
      </c>
      <c r="DP90">
        <f t="shared" ref="DP90:DP102" si="12">COUNT(DF90:DH90)</f>
        <v>0</v>
      </c>
      <c r="DQ90">
        <f t="shared" ref="DQ90:DQ102" si="13">IF(DO90=0,DP90,0)</f>
        <v>0</v>
      </c>
    </row>
    <row r="91" spans="1:121" x14ac:dyDescent="0.35">
      <c r="A91" t="s">
        <v>152</v>
      </c>
      <c r="DB91">
        <v>6</v>
      </c>
      <c r="DH91">
        <v>6</v>
      </c>
      <c r="DI91">
        <v>6</v>
      </c>
      <c r="DL91">
        <f t="shared" si="9"/>
        <v>3</v>
      </c>
      <c r="DM91" s="18">
        <f t="shared" si="10"/>
        <v>6</v>
      </c>
      <c r="DN91">
        <f t="shared" si="11"/>
        <v>0</v>
      </c>
      <c r="DO91">
        <v>1</v>
      </c>
      <c r="DP91">
        <f t="shared" si="12"/>
        <v>1</v>
      </c>
      <c r="DQ91">
        <f t="shared" si="13"/>
        <v>0</v>
      </c>
    </row>
    <row r="92" spans="1:121" x14ac:dyDescent="0.35">
      <c r="A92" t="s">
        <v>165</v>
      </c>
      <c r="DD92">
        <v>6</v>
      </c>
      <c r="DH92">
        <v>6</v>
      </c>
      <c r="DL92">
        <f t="shared" si="9"/>
        <v>2</v>
      </c>
      <c r="DM92" s="18">
        <f t="shared" si="10"/>
        <v>6</v>
      </c>
      <c r="DN92">
        <f t="shared" si="11"/>
        <v>0</v>
      </c>
      <c r="DO92">
        <v>1</v>
      </c>
      <c r="DP92">
        <f t="shared" si="12"/>
        <v>1</v>
      </c>
      <c r="DQ92">
        <f t="shared" si="13"/>
        <v>0</v>
      </c>
    </row>
    <row r="93" spans="1:121" x14ac:dyDescent="0.35">
      <c r="A93" t="s">
        <v>159</v>
      </c>
      <c r="DF93">
        <v>5.5</v>
      </c>
      <c r="DL93">
        <f t="shared" si="9"/>
        <v>1</v>
      </c>
      <c r="DM93" s="18">
        <f t="shared" si="10"/>
        <v>5.5</v>
      </c>
      <c r="DN93" t="str">
        <f t="shared" si="11"/>
        <v/>
      </c>
      <c r="DO93">
        <v>1</v>
      </c>
      <c r="DP93">
        <f t="shared" si="12"/>
        <v>1</v>
      </c>
      <c r="DQ93">
        <f t="shared" si="13"/>
        <v>0</v>
      </c>
    </row>
    <row r="94" spans="1:121" x14ac:dyDescent="0.35">
      <c r="A94" t="s">
        <v>169</v>
      </c>
      <c r="DF94">
        <v>6</v>
      </c>
      <c r="DL94">
        <f t="shared" si="9"/>
        <v>1</v>
      </c>
      <c r="DM94" s="18">
        <f t="shared" si="10"/>
        <v>6</v>
      </c>
      <c r="DN94" t="str">
        <f t="shared" si="11"/>
        <v/>
      </c>
      <c r="DO94">
        <v>1</v>
      </c>
      <c r="DP94">
        <f t="shared" si="12"/>
        <v>1</v>
      </c>
      <c r="DQ94">
        <f t="shared" si="13"/>
        <v>0</v>
      </c>
    </row>
    <row r="95" spans="1:121" x14ac:dyDescent="0.35">
      <c r="A95" t="s">
        <v>160</v>
      </c>
      <c r="DG95">
        <v>6</v>
      </c>
      <c r="DL95">
        <f t="shared" si="9"/>
        <v>1</v>
      </c>
      <c r="DM95" s="18">
        <f t="shared" si="10"/>
        <v>6</v>
      </c>
      <c r="DN95" t="str">
        <f t="shared" si="11"/>
        <v/>
      </c>
      <c r="DO95">
        <v>1</v>
      </c>
      <c r="DP95">
        <f t="shared" si="12"/>
        <v>1</v>
      </c>
      <c r="DQ95">
        <f t="shared" si="13"/>
        <v>0</v>
      </c>
    </row>
    <row r="96" spans="1:121" x14ac:dyDescent="0.35">
      <c r="A96" t="s">
        <v>161</v>
      </c>
      <c r="DG96">
        <v>5.5</v>
      </c>
      <c r="DL96">
        <f t="shared" si="9"/>
        <v>1</v>
      </c>
      <c r="DM96" s="18">
        <f t="shared" si="10"/>
        <v>5.5</v>
      </c>
      <c r="DN96" t="str">
        <f t="shared" si="11"/>
        <v/>
      </c>
      <c r="DO96">
        <v>1</v>
      </c>
      <c r="DP96">
        <f t="shared" si="12"/>
        <v>1</v>
      </c>
      <c r="DQ96">
        <f t="shared" si="13"/>
        <v>0</v>
      </c>
    </row>
    <row r="97" spans="1:121" x14ac:dyDescent="0.35">
      <c r="A97" t="s">
        <v>162</v>
      </c>
      <c r="DG97">
        <v>6</v>
      </c>
      <c r="DL97">
        <f t="shared" si="9"/>
        <v>1</v>
      </c>
      <c r="DM97" s="18">
        <f t="shared" si="10"/>
        <v>6</v>
      </c>
      <c r="DN97" t="str">
        <f t="shared" si="11"/>
        <v/>
      </c>
      <c r="DO97">
        <v>1</v>
      </c>
      <c r="DP97">
        <f t="shared" si="12"/>
        <v>1</v>
      </c>
      <c r="DQ97">
        <f t="shared" si="13"/>
        <v>0</v>
      </c>
    </row>
    <row r="98" spans="1:121" x14ac:dyDescent="0.35">
      <c r="A98" t="s">
        <v>171</v>
      </c>
      <c r="DG98">
        <v>5.5</v>
      </c>
      <c r="DI98">
        <v>6</v>
      </c>
      <c r="DL98">
        <f t="shared" si="9"/>
        <v>2</v>
      </c>
      <c r="DM98" s="18">
        <f t="shared" si="10"/>
        <v>5.75</v>
      </c>
      <c r="DN98">
        <f t="shared" si="11"/>
        <v>0.35355339059327379</v>
      </c>
      <c r="DO98">
        <v>1</v>
      </c>
      <c r="DP98">
        <f t="shared" si="12"/>
        <v>1</v>
      </c>
      <c r="DQ98">
        <f t="shared" si="13"/>
        <v>0</v>
      </c>
    </row>
    <row r="99" spans="1:121" x14ac:dyDescent="0.35">
      <c r="A99" t="s">
        <v>153</v>
      </c>
      <c r="DB99">
        <v>5.5</v>
      </c>
      <c r="DL99">
        <f t="shared" si="9"/>
        <v>1</v>
      </c>
      <c r="DM99" s="18">
        <f t="shared" si="10"/>
        <v>5.5</v>
      </c>
      <c r="DN99" t="str">
        <f t="shared" si="11"/>
        <v/>
      </c>
      <c r="DO99">
        <v>1</v>
      </c>
      <c r="DP99">
        <f t="shared" si="12"/>
        <v>0</v>
      </c>
      <c r="DQ99">
        <f t="shared" si="13"/>
        <v>0</v>
      </c>
    </row>
    <row r="100" spans="1:121" x14ac:dyDescent="0.35">
      <c r="A100" t="s">
        <v>154</v>
      </c>
      <c r="DB100">
        <v>5.5</v>
      </c>
      <c r="DL100">
        <f t="shared" si="9"/>
        <v>1</v>
      </c>
      <c r="DM100" s="18">
        <f t="shared" si="10"/>
        <v>5.5</v>
      </c>
      <c r="DN100" t="str">
        <f t="shared" si="11"/>
        <v/>
      </c>
      <c r="DO100">
        <v>1</v>
      </c>
      <c r="DP100">
        <f t="shared" si="12"/>
        <v>0</v>
      </c>
      <c r="DQ100">
        <f t="shared" si="13"/>
        <v>0</v>
      </c>
    </row>
    <row r="101" spans="1:121" x14ac:dyDescent="0.35">
      <c r="A101" t="s">
        <v>149</v>
      </c>
      <c r="CY101">
        <v>6.5</v>
      </c>
      <c r="CZ101">
        <v>6.5</v>
      </c>
      <c r="DB101">
        <v>6</v>
      </c>
      <c r="DC101">
        <v>8</v>
      </c>
      <c r="DD101">
        <v>6</v>
      </c>
      <c r="DF101">
        <v>7</v>
      </c>
      <c r="DG101">
        <v>6</v>
      </c>
      <c r="DI101">
        <v>5.5</v>
      </c>
      <c r="DL101">
        <f t="shared" si="9"/>
        <v>8</v>
      </c>
      <c r="DM101" s="18">
        <f t="shared" si="10"/>
        <v>6.4375</v>
      </c>
      <c r="DN101">
        <f t="shared" si="11"/>
        <v>0.77632375426014844</v>
      </c>
      <c r="DO101">
        <v>1</v>
      </c>
      <c r="DP101">
        <f t="shared" si="12"/>
        <v>2</v>
      </c>
      <c r="DQ101">
        <f t="shared" si="13"/>
        <v>0</v>
      </c>
    </row>
    <row r="102" spans="1:121" x14ac:dyDescent="0.35">
      <c r="A102" t="s">
        <v>155</v>
      </c>
      <c r="DC102">
        <v>6</v>
      </c>
      <c r="DL102">
        <f t="shared" si="9"/>
        <v>1</v>
      </c>
      <c r="DM102" s="18">
        <f t="shared" si="10"/>
        <v>6</v>
      </c>
      <c r="DN102" t="str">
        <f t="shared" si="11"/>
        <v/>
      </c>
      <c r="DO102">
        <v>1</v>
      </c>
      <c r="DP102">
        <f t="shared" si="12"/>
        <v>0</v>
      </c>
      <c r="DQ102">
        <f t="shared" si="13"/>
        <v>0</v>
      </c>
    </row>
    <row r="103" spans="1:121" x14ac:dyDescent="0.35">
      <c r="A103" t="s">
        <v>172</v>
      </c>
      <c r="DJ103">
        <v>6</v>
      </c>
    </row>
  </sheetData>
  <autoFilter ref="A1:DQ83" xr:uid="{B9A4D56B-02EF-476F-9B0E-F093A198C591}">
    <sortState ref="A2:DQ102">
      <sortCondition descending="1" ref="DL1:DL83"/>
    </sortState>
  </autoFilter>
  <conditionalFormatting sqref="DL2:DL102">
    <cfRule type="colorScale" priority="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N2:DN102">
    <cfRule type="colorScale" priority="9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L2:DL102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M2:DM102">
    <cfRule type="colorScale" priority="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M2:DM102">
    <cfRule type="colorScale" priority="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L2:DL102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M2:DM102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K2:DK79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K2:DK67"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K2:DK67"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K2:DK67">
    <cfRule type="colorScale" priority="1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DJ83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2F67-43DE-48B9-BCC3-7D7A05DB9885}">
  <dimension ref="A1:W39"/>
  <sheetViews>
    <sheetView topLeftCell="M4" workbookViewId="0">
      <selection activeCell="W6" sqref="W6"/>
    </sheetView>
  </sheetViews>
  <sheetFormatPr defaultRowHeight="14.5" x14ac:dyDescent="0.35"/>
  <cols>
    <col min="5" max="5" width="0" hidden="1" customWidth="1"/>
    <col min="9" max="9" width="8.90625" hidden="1" customWidth="1"/>
    <col min="18" max="18" width="8.7265625" hidden="1" customWidth="1"/>
    <col min="22" max="22" width="8.90625" hidden="1" customWidth="1"/>
  </cols>
  <sheetData>
    <row r="1" spans="1:23" x14ac:dyDescent="0.35">
      <c r="A1" t="s">
        <v>91</v>
      </c>
      <c r="B1" t="s">
        <v>92</v>
      </c>
      <c r="D1" t="s">
        <v>89</v>
      </c>
      <c r="E1" t="s">
        <v>90</v>
      </c>
      <c r="F1" t="s">
        <v>92</v>
      </c>
      <c r="H1" t="s">
        <v>89</v>
      </c>
      <c r="I1" t="s">
        <v>90</v>
      </c>
      <c r="J1" t="s">
        <v>92</v>
      </c>
      <c r="N1" t="s">
        <v>134</v>
      </c>
      <c r="Q1" t="s">
        <v>89</v>
      </c>
      <c r="R1" t="s">
        <v>90</v>
      </c>
      <c r="S1" t="s">
        <v>92</v>
      </c>
      <c r="U1" t="s">
        <v>89</v>
      </c>
      <c r="V1" t="s">
        <v>90</v>
      </c>
      <c r="W1" t="s">
        <v>92</v>
      </c>
    </row>
    <row r="2" spans="1:23" x14ac:dyDescent="0.35">
      <c r="A2">
        <v>8.5</v>
      </c>
      <c r="B2">
        <v>9.76</v>
      </c>
      <c r="D2">
        <v>2.5</v>
      </c>
      <c r="E2">
        <f>$B$5*D2+$B$6</f>
        <v>0.75</v>
      </c>
      <c r="F2">
        <f>MROUND(E2,0.5)</f>
        <v>1</v>
      </c>
      <c r="H2">
        <f>D39+0.1</f>
        <v>6.2999999999999927</v>
      </c>
      <c r="I2">
        <f>$B$5*H2+$B$6</f>
        <v>6.4563333333333226</v>
      </c>
      <c r="J2">
        <f>MROUND(I2,0.5)</f>
        <v>6.5</v>
      </c>
      <c r="N2">
        <v>5</v>
      </c>
      <c r="O2">
        <v>5.7</v>
      </c>
      <c r="Q2">
        <v>2.5</v>
      </c>
      <c r="R2">
        <f>$O$11*Q2+$O$12</f>
        <v>1.7589500000000005</v>
      </c>
      <c r="S2">
        <f>MROUND(R2,0.5)</f>
        <v>2</v>
      </c>
      <c r="U2">
        <f>Q39+0.1</f>
        <v>6.2999999999999927</v>
      </c>
      <c r="V2">
        <f>$O$11*U2+$O$12</f>
        <v>7.5398899999999891</v>
      </c>
      <c r="W2">
        <f>MROUND(V2,0.5)</f>
        <v>7.5</v>
      </c>
    </row>
    <row r="3" spans="1:23" x14ac:dyDescent="0.35">
      <c r="A3">
        <v>2.5</v>
      </c>
      <c r="B3">
        <v>0.75</v>
      </c>
      <c r="D3">
        <f>D2+0.1</f>
        <v>2.6</v>
      </c>
      <c r="E3">
        <f t="shared" ref="E3:E39" si="0">$B$5*D3+$B$6</f>
        <v>0.90016666666666678</v>
      </c>
      <c r="F3">
        <f t="shared" ref="F3:F39" si="1">MROUND(E3,0.5)</f>
        <v>1</v>
      </c>
      <c r="H3">
        <f>H2+0.1</f>
        <v>6.3999999999999924</v>
      </c>
      <c r="I3">
        <f>$B$5*H3+$B$6</f>
        <v>6.6064999999999898</v>
      </c>
      <c r="J3">
        <f t="shared" ref="J3:J39" si="2">MROUND(I3,0.5)</f>
        <v>6.5</v>
      </c>
      <c r="N3">
        <v>5.5</v>
      </c>
      <c r="O3">
        <v>6.3</v>
      </c>
      <c r="Q3">
        <f>Q2+0.1</f>
        <v>2.6</v>
      </c>
      <c r="R3">
        <f t="shared" ref="R3:R39" si="3">$O$11*Q3+$O$12</f>
        <v>1.9110800000000006</v>
      </c>
      <c r="S3">
        <f t="shared" ref="S3:S39" si="4">MROUND(R3,0.5)</f>
        <v>2</v>
      </c>
      <c r="U3">
        <f>U2+0.1</f>
        <v>6.3999999999999924</v>
      </c>
      <c r="V3">
        <f t="shared" ref="V3:V39" si="5">$O$11*U3+$O$12</f>
        <v>7.6920199999999888</v>
      </c>
      <c r="W3">
        <f t="shared" ref="W3:W23" si="6">MROUND(V3,0.5)</f>
        <v>7.5</v>
      </c>
    </row>
    <row r="4" spans="1:23" x14ac:dyDescent="0.35">
      <c r="D4">
        <f t="shared" ref="D4:D39" si="7">D3+0.1</f>
        <v>2.7</v>
      </c>
      <c r="E4">
        <f t="shared" si="0"/>
        <v>1.0503333333333331</v>
      </c>
      <c r="F4">
        <f t="shared" si="1"/>
        <v>1</v>
      </c>
      <c r="H4">
        <f t="shared" ref="H4:H39" si="8">H3+0.1</f>
        <v>6.499999999999992</v>
      </c>
      <c r="I4">
        <f t="shared" ref="I4:I39" si="9">$B$5*H4+$B$6</f>
        <v>6.7566666666666553</v>
      </c>
      <c r="J4">
        <f t="shared" si="2"/>
        <v>7</v>
      </c>
      <c r="N4">
        <v>6</v>
      </c>
      <c r="O4">
        <v>7.2</v>
      </c>
      <c r="Q4">
        <f t="shared" ref="Q4:Q39" si="10">Q3+0.1</f>
        <v>2.7</v>
      </c>
      <c r="R4">
        <f t="shared" si="3"/>
        <v>2.0632100000000007</v>
      </c>
      <c r="S4">
        <f t="shared" si="4"/>
        <v>2</v>
      </c>
      <c r="U4">
        <f t="shared" ref="U4:U39" si="11">U3+0.1</f>
        <v>6.499999999999992</v>
      </c>
      <c r="V4">
        <f t="shared" si="5"/>
        <v>7.8441499999999884</v>
      </c>
      <c r="W4">
        <f t="shared" si="6"/>
        <v>8</v>
      </c>
    </row>
    <row r="5" spans="1:23" x14ac:dyDescent="0.35">
      <c r="A5" t="s">
        <v>87</v>
      </c>
      <c r="B5">
        <f>(B2-B3)/(A2-A3)</f>
        <v>1.5016666666666667</v>
      </c>
      <c r="D5">
        <f t="shared" si="7"/>
        <v>2.8000000000000003</v>
      </c>
      <c r="E5">
        <f t="shared" si="0"/>
        <v>1.2005000000000003</v>
      </c>
      <c r="F5">
        <f t="shared" si="1"/>
        <v>1</v>
      </c>
      <c r="H5">
        <f t="shared" si="8"/>
        <v>6.5999999999999917</v>
      </c>
      <c r="I5">
        <f t="shared" si="9"/>
        <v>6.9068333333333207</v>
      </c>
      <c r="J5">
        <f t="shared" si="2"/>
        <v>7</v>
      </c>
      <c r="N5">
        <v>6.5</v>
      </c>
      <c r="O5">
        <v>7.9</v>
      </c>
      <c r="Q5">
        <f t="shared" si="10"/>
        <v>2.8000000000000003</v>
      </c>
      <c r="R5">
        <f t="shared" si="3"/>
        <v>2.2153400000000012</v>
      </c>
      <c r="S5">
        <f t="shared" si="4"/>
        <v>2</v>
      </c>
      <c r="U5">
        <f t="shared" si="11"/>
        <v>6.5999999999999917</v>
      </c>
      <c r="V5">
        <f t="shared" si="5"/>
        <v>7.9962799999999881</v>
      </c>
      <c r="W5">
        <f t="shared" si="6"/>
        <v>8</v>
      </c>
    </row>
    <row r="6" spans="1:23" x14ac:dyDescent="0.35">
      <c r="A6" t="s">
        <v>88</v>
      </c>
      <c r="B6">
        <f>B3-A3*B5</f>
        <v>-3.0041666666666669</v>
      </c>
      <c r="D6">
        <f t="shared" si="7"/>
        <v>2.9000000000000004</v>
      </c>
      <c r="E6">
        <f t="shared" si="0"/>
        <v>1.3506666666666667</v>
      </c>
      <c r="F6">
        <f t="shared" si="1"/>
        <v>1.5</v>
      </c>
      <c r="H6">
        <f t="shared" si="8"/>
        <v>6.6999999999999913</v>
      </c>
      <c r="I6">
        <f t="shared" si="9"/>
        <v>7.0569999999999879</v>
      </c>
      <c r="J6">
        <f t="shared" si="2"/>
        <v>7</v>
      </c>
      <c r="N6">
        <v>7</v>
      </c>
      <c r="O6">
        <v>8.4</v>
      </c>
      <c r="Q6">
        <f t="shared" si="10"/>
        <v>2.9000000000000004</v>
      </c>
      <c r="R6">
        <f t="shared" si="3"/>
        <v>2.3674700000000009</v>
      </c>
      <c r="S6">
        <f t="shared" si="4"/>
        <v>2.5</v>
      </c>
      <c r="U6">
        <f t="shared" si="11"/>
        <v>6.6999999999999913</v>
      </c>
      <c r="V6">
        <f t="shared" si="5"/>
        <v>8.1484099999999877</v>
      </c>
      <c r="W6">
        <f t="shared" si="6"/>
        <v>8</v>
      </c>
    </row>
    <row r="7" spans="1:23" x14ac:dyDescent="0.35">
      <c r="D7">
        <f t="shared" si="7"/>
        <v>3.0000000000000004</v>
      </c>
      <c r="E7">
        <f t="shared" si="0"/>
        <v>1.5008333333333339</v>
      </c>
      <c r="F7">
        <f t="shared" si="1"/>
        <v>1.5</v>
      </c>
      <c r="H7">
        <f t="shared" si="8"/>
        <v>6.7999999999999909</v>
      </c>
      <c r="I7">
        <f t="shared" si="9"/>
        <v>7.2071666666666534</v>
      </c>
      <c r="J7">
        <f t="shared" si="2"/>
        <v>7</v>
      </c>
      <c r="N7">
        <v>4.5</v>
      </c>
      <c r="O7">
        <v>4.9000000000000004</v>
      </c>
      <c r="Q7">
        <f t="shared" si="10"/>
        <v>3.0000000000000004</v>
      </c>
      <c r="R7">
        <f t="shared" si="3"/>
        <v>2.5196000000000014</v>
      </c>
      <c r="S7">
        <f t="shared" si="4"/>
        <v>2.5</v>
      </c>
      <c r="U7">
        <f t="shared" si="11"/>
        <v>6.7999999999999909</v>
      </c>
      <c r="V7">
        <f t="shared" si="5"/>
        <v>8.3005399999999874</v>
      </c>
      <c r="W7">
        <f t="shared" si="6"/>
        <v>8.5</v>
      </c>
    </row>
    <row r="8" spans="1:23" x14ac:dyDescent="0.35">
      <c r="D8">
        <f t="shared" si="7"/>
        <v>3.1000000000000005</v>
      </c>
      <c r="E8">
        <f t="shared" si="0"/>
        <v>1.6510000000000011</v>
      </c>
      <c r="F8">
        <f t="shared" si="1"/>
        <v>1.5</v>
      </c>
      <c r="H8">
        <f t="shared" si="8"/>
        <v>6.8999999999999906</v>
      </c>
      <c r="I8">
        <f t="shared" si="9"/>
        <v>7.3573333333333188</v>
      </c>
      <c r="J8">
        <f t="shared" si="2"/>
        <v>7.5</v>
      </c>
      <c r="N8">
        <v>3.5</v>
      </c>
      <c r="O8">
        <v>3.1</v>
      </c>
      <c r="Q8">
        <f t="shared" si="10"/>
        <v>3.1000000000000005</v>
      </c>
      <c r="R8">
        <f t="shared" si="3"/>
        <v>2.671730000000001</v>
      </c>
      <c r="S8">
        <f t="shared" si="4"/>
        <v>2.5</v>
      </c>
      <c r="U8">
        <f t="shared" si="11"/>
        <v>6.8999999999999906</v>
      </c>
      <c r="V8">
        <f t="shared" si="5"/>
        <v>8.452669999999987</v>
      </c>
      <c r="W8">
        <f t="shared" si="6"/>
        <v>8.5</v>
      </c>
    </row>
    <row r="9" spans="1:23" x14ac:dyDescent="0.35">
      <c r="D9">
        <f t="shared" si="7"/>
        <v>3.2000000000000006</v>
      </c>
      <c r="E9">
        <f t="shared" si="0"/>
        <v>1.8011666666666675</v>
      </c>
      <c r="F9">
        <f t="shared" si="1"/>
        <v>2</v>
      </c>
      <c r="H9">
        <f t="shared" si="8"/>
        <v>6.9999999999999902</v>
      </c>
      <c r="I9">
        <f t="shared" si="9"/>
        <v>7.5074999999999861</v>
      </c>
      <c r="J9">
        <f t="shared" si="2"/>
        <v>7.5</v>
      </c>
      <c r="Q9">
        <f t="shared" si="10"/>
        <v>3.2000000000000006</v>
      </c>
      <c r="R9">
        <f t="shared" si="3"/>
        <v>2.8238600000000016</v>
      </c>
      <c r="S9">
        <f t="shared" si="4"/>
        <v>3</v>
      </c>
      <c r="U9">
        <f t="shared" si="11"/>
        <v>6.9999999999999902</v>
      </c>
      <c r="V9">
        <f t="shared" si="5"/>
        <v>8.6047999999999867</v>
      </c>
      <c r="W9">
        <f t="shared" si="6"/>
        <v>8.5</v>
      </c>
    </row>
    <row r="10" spans="1:23" x14ac:dyDescent="0.35">
      <c r="D10">
        <f t="shared" si="7"/>
        <v>3.3000000000000007</v>
      </c>
      <c r="E10">
        <f t="shared" si="0"/>
        <v>1.9513333333333347</v>
      </c>
      <c r="F10">
        <f t="shared" si="1"/>
        <v>2</v>
      </c>
      <c r="H10">
        <f t="shared" si="8"/>
        <v>7.0999999999999899</v>
      </c>
      <c r="I10">
        <f t="shared" si="9"/>
        <v>7.6576666666666515</v>
      </c>
      <c r="J10">
        <f t="shared" si="2"/>
        <v>7.5</v>
      </c>
      <c r="Q10">
        <f t="shared" si="10"/>
        <v>3.3000000000000007</v>
      </c>
      <c r="R10">
        <f t="shared" si="3"/>
        <v>2.9759900000000012</v>
      </c>
      <c r="S10">
        <f t="shared" si="4"/>
        <v>3</v>
      </c>
      <c r="U10">
        <f t="shared" si="11"/>
        <v>7.0999999999999899</v>
      </c>
      <c r="V10">
        <f t="shared" si="5"/>
        <v>8.7569299999999863</v>
      </c>
      <c r="W10">
        <f t="shared" si="6"/>
        <v>9</v>
      </c>
    </row>
    <row r="11" spans="1:23" x14ac:dyDescent="0.35">
      <c r="D11">
        <f t="shared" si="7"/>
        <v>3.4000000000000008</v>
      </c>
      <c r="E11">
        <f t="shared" si="0"/>
        <v>2.101500000000001</v>
      </c>
      <c r="F11">
        <f t="shared" si="1"/>
        <v>2</v>
      </c>
      <c r="H11">
        <f t="shared" si="8"/>
        <v>7.1999999999999895</v>
      </c>
      <c r="I11">
        <f t="shared" si="9"/>
        <v>7.8078333333333187</v>
      </c>
      <c r="J11">
        <f t="shared" si="2"/>
        <v>8</v>
      </c>
      <c r="N11" t="s">
        <v>87</v>
      </c>
      <c r="O11">
        <v>1.5213000000000001</v>
      </c>
      <c r="Q11">
        <f t="shared" si="10"/>
        <v>3.4000000000000008</v>
      </c>
      <c r="R11">
        <f t="shared" si="3"/>
        <v>3.1281200000000018</v>
      </c>
      <c r="S11">
        <f t="shared" si="4"/>
        <v>3</v>
      </c>
      <c r="U11">
        <f t="shared" si="11"/>
        <v>7.1999999999999895</v>
      </c>
      <c r="V11">
        <f t="shared" si="5"/>
        <v>8.9090599999999842</v>
      </c>
      <c r="W11">
        <f t="shared" si="6"/>
        <v>9</v>
      </c>
    </row>
    <row r="12" spans="1:23" x14ac:dyDescent="0.35">
      <c r="D12">
        <f t="shared" si="7"/>
        <v>3.5000000000000009</v>
      </c>
      <c r="E12">
        <f t="shared" si="0"/>
        <v>2.2516666666666683</v>
      </c>
      <c r="F12">
        <f t="shared" si="1"/>
        <v>2.5</v>
      </c>
      <c r="H12">
        <f t="shared" si="8"/>
        <v>7.2999999999999892</v>
      </c>
      <c r="I12">
        <f t="shared" si="9"/>
        <v>7.9579999999999842</v>
      </c>
      <c r="J12">
        <f t="shared" si="2"/>
        <v>8</v>
      </c>
      <c r="N12" t="s">
        <v>88</v>
      </c>
      <c r="O12">
        <v>-2.0442999999999998</v>
      </c>
      <c r="Q12">
        <f t="shared" si="10"/>
        <v>3.5000000000000009</v>
      </c>
      <c r="R12">
        <f t="shared" si="3"/>
        <v>3.2802500000000023</v>
      </c>
      <c r="S12">
        <f t="shared" si="4"/>
        <v>3.5</v>
      </c>
      <c r="U12">
        <f t="shared" si="11"/>
        <v>7.2999999999999892</v>
      </c>
      <c r="V12">
        <f t="shared" si="5"/>
        <v>9.0611899999999839</v>
      </c>
      <c r="W12">
        <f t="shared" si="6"/>
        <v>9</v>
      </c>
    </row>
    <row r="13" spans="1:23" x14ac:dyDescent="0.35">
      <c r="D13">
        <f t="shared" si="7"/>
        <v>3.600000000000001</v>
      </c>
      <c r="E13">
        <f t="shared" si="0"/>
        <v>2.4018333333333346</v>
      </c>
      <c r="F13">
        <f t="shared" si="1"/>
        <v>2.5</v>
      </c>
      <c r="H13">
        <f t="shared" si="8"/>
        <v>7.3999999999999888</v>
      </c>
      <c r="I13">
        <f t="shared" si="9"/>
        <v>8.1081666666666496</v>
      </c>
      <c r="J13">
        <f t="shared" si="2"/>
        <v>8</v>
      </c>
      <c r="Q13">
        <f t="shared" si="10"/>
        <v>3.600000000000001</v>
      </c>
      <c r="R13">
        <f t="shared" si="3"/>
        <v>3.432380000000002</v>
      </c>
      <c r="S13">
        <f t="shared" si="4"/>
        <v>3.5</v>
      </c>
      <c r="U13">
        <f t="shared" si="11"/>
        <v>7.3999999999999888</v>
      </c>
      <c r="V13">
        <f t="shared" si="5"/>
        <v>9.2133199999999835</v>
      </c>
      <c r="W13">
        <f t="shared" si="6"/>
        <v>9</v>
      </c>
    </row>
    <row r="14" spans="1:23" x14ac:dyDescent="0.35">
      <c r="D14">
        <f t="shared" si="7"/>
        <v>3.7000000000000011</v>
      </c>
      <c r="E14">
        <f t="shared" si="0"/>
        <v>2.5520000000000018</v>
      </c>
      <c r="F14">
        <f t="shared" si="1"/>
        <v>2.5</v>
      </c>
      <c r="H14">
        <f t="shared" si="8"/>
        <v>7.4999999999999885</v>
      </c>
      <c r="I14">
        <f t="shared" si="9"/>
        <v>8.2583333333333169</v>
      </c>
      <c r="J14">
        <f t="shared" si="2"/>
        <v>8.5</v>
      </c>
      <c r="Q14">
        <f t="shared" si="10"/>
        <v>3.7000000000000011</v>
      </c>
      <c r="R14">
        <f t="shared" si="3"/>
        <v>3.5845100000000025</v>
      </c>
      <c r="S14">
        <f t="shared" si="4"/>
        <v>3.5</v>
      </c>
      <c r="U14">
        <f t="shared" si="11"/>
        <v>7.4999999999999885</v>
      </c>
      <c r="V14">
        <f t="shared" si="5"/>
        <v>9.3654499999999832</v>
      </c>
      <c r="W14">
        <f t="shared" si="6"/>
        <v>9.5</v>
      </c>
    </row>
    <row r="15" spans="1:23" x14ac:dyDescent="0.35">
      <c r="D15">
        <f t="shared" si="7"/>
        <v>3.8000000000000012</v>
      </c>
      <c r="E15">
        <f t="shared" si="0"/>
        <v>2.7021666666666682</v>
      </c>
      <c r="F15">
        <f t="shared" si="1"/>
        <v>2.5</v>
      </c>
      <c r="H15">
        <f t="shared" si="8"/>
        <v>7.5999999999999881</v>
      </c>
      <c r="I15">
        <f t="shared" si="9"/>
        <v>8.4084999999999823</v>
      </c>
      <c r="J15">
        <f t="shared" si="2"/>
        <v>8.5</v>
      </c>
      <c r="Q15">
        <f t="shared" si="10"/>
        <v>3.8000000000000012</v>
      </c>
      <c r="R15">
        <f t="shared" si="3"/>
        <v>3.7366400000000022</v>
      </c>
      <c r="S15">
        <f t="shared" si="4"/>
        <v>3.5</v>
      </c>
      <c r="U15">
        <f t="shared" si="11"/>
        <v>7.5999999999999881</v>
      </c>
      <c r="V15">
        <f t="shared" si="5"/>
        <v>9.5175799999999828</v>
      </c>
      <c r="W15">
        <f t="shared" si="6"/>
        <v>9.5</v>
      </c>
    </row>
    <row r="16" spans="1:23" x14ac:dyDescent="0.35">
      <c r="D16">
        <f t="shared" si="7"/>
        <v>3.9000000000000012</v>
      </c>
      <c r="E16">
        <f t="shared" si="0"/>
        <v>2.8523333333333354</v>
      </c>
      <c r="F16">
        <f t="shared" si="1"/>
        <v>3</v>
      </c>
      <c r="H16">
        <f t="shared" si="8"/>
        <v>7.6999999999999877</v>
      </c>
      <c r="I16">
        <f t="shared" si="9"/>
        <v>8.5586666666666495</v>
      </c>
      <c r="J16">
        <f t="shared" si="2"/>
        <v>8.5</v>
      </c>
      <c r="Q16">
        <f t="shared" si="10"/>
        <v>3.9000000000000012</v>
      </c>
      <c r="R16">
        <f t="shared" si="3"/>
        <v>3.8887700000000027</v>
      </c>
      <c r="S16">
        <f t="shared" si="4"/>
        <v>4</v>
      </c>
      <c r="U16">
        <f t="shared" si="11"/>
        <v>7.6999999999999877</v>
      </c>
      <c r="V16">
        <f t="shared" si="5"/>
        <v>9.6697099999999825</v>
      </c>
      <c r="W16">
        <f t="shared" si="6"/>
        <v>9.5</v>
      </c>
    </row>
    <row r="17" spans="4:23" x14ac:dyDescent="0.35">
      <c r="D17">
        <f t="shared" si="7"/>
        <v>4.0000000000000009</v>
      </c>
      <c r="E17">
        <f t="shared" si="0"/>
        <v>3.0025000000000017</v>
      </c>
      <c r="F17">
        <f t="shared" si="1"/>
        <v>3</v>
      </c>
      <c r="H17">
        <f t="shared" si="8"/>
        <v>7.7999999999999874</v>
      </c>
      <c r="I17">
        <f t="shared" si="9"/>
        <v>8.708833333333315</v>
      </c>
      <c r="J17">
        <f t="shared" si="2"/>
        <v>8.5</v>
      </c>
      <c r="Q17">
        <f t="shared" si="10"/>
        <v>4.0000000000000009</v>
      </c>
      <c r="R17">
        <f t="shared" si="3"/>
        <v>4.0409000000000024</v>
      </c>
      <c r="S17">
        <f t="shared" si="4"/>
        <v>4</v>
      </c>
      <c r="U17">
        <f t="shared" si="11"/>
        <v>7.7999999999999874</v>
      </c>
      <c r="V17">
        <f t="shared" si="5"/>
        <v>9.8218399999999821</v>
      </c>
      <c r="W17">
        <f t="shared" si="6"/>
        <v>10</v>
      </c>
    </row>
    <row r="18" spans="4:23" x14ac:dyDescent="0.35">
      <c r="D18">
        <f t="shared" si="7"/>
        <v>4.1000000000000005</v>
      </c>
      <c r="E18">
        <f t="shared" si="0"/>
        <v>3.1526666666666672</v>
      </c>
      <c r="F18">
        <f t="shared" si="1"/>
        <v>3</v>
      </c>
      <c r="H18">
        <f t="shared" si="8"/>
        <v>7.899999999999987</v>
      </c>
      <c r="I18">
        <f t="shared" si="9"/>
        <v>8.8589999999999804</v>
      </c>
      <c r="J18">
        <f t="shared" si="2"/>
        <v>9</v>
      </c>
      <c r="Q18">
        <f t="shared" si="10"/>
        <v>4.1000000000000005</v>
      </c>
      <c r="R18">
        <f t="shared" si="3"/>
        <v>4.1930300000000011</v>
      </c>
      <c r="S18">
        <f t="shared" si="4"/>
        <v>4</v>
      </c>
      <c r="U18">
        <f t="shared" si="11"/>
        <v>7.899999999999987</v>
      </c>
      <c r="V18">
        <f t="shared" si="5"/>
        <v>9.9739699999999818</v>
      </c>
      <c r="W18">
        <f t="shared" si="6"/>
        <v>10</v>
      </c>
    </row>
    <row r="19" spans="4:23" x14ac:dyDescent="0.35">
      <c r="D19">
        <f t="shared" si="7"/>
        <v>4.2</v>
      </c>
      <c r="E19">
        <f t="shared" si="0"/>
        <v>3.3028333333333335</v>
      </c>
      <c r="F19">
        <f t="shared" si="1"/>
        <v>3.5</v>
      </c>
      <c r="H19">
        <f t="shared" si="8"/>
        <v>7.9999999999999867</v>
      </c>
      <c r="I19">
        <f t="shared" si="9"/>
        <v>9.0091666666666477</v>
      </c>
      <c r="J19">
        <f t="shared" si="2"/>
        <v>9</v>
      </c>
      <c r="Q19">
        <f t="shared" si="10"/>
        <v>4.2</v>
      </c>
      <c r="R19">
        <f t="shared" si="3"/>
        <v>4.3451600000000008</v>
      </c>
      <c r="S19">
        <f t="shared" si="4"/>
        <v>4.5</v>
      </c>
      <c r="U19">
        <f t="shared" si="11"/>
        <v>7.9999999999999867</v>
      </c>
      <c r="V19">
        <f t="shared" si="5"/>
        <v>10.126099999999981</v>
      </c>
      <c r="W19">
        <f t="shared" si="6"/>
        <v>10</v>
      </c>
    </row>
    <row r="20" spans="4:23" x14ac:dyDescent="0.35">
      <c r="D20">
        <f t="shared" si="7"/>
        <v>4.3</v>
      </c>
      <c r="E20">
        <f t="shared" si="0"/>
        <v>3.4529999999999998</v>
      </c>
      <c r="F20">
        <f t="shared" si="1"/>
        <v>3.5</v>
      </c>
      <c r="H20">
        <f t="shared" si="8"/>
        <v>8.0999999999999872</v>
      </c>
      <c r="I20">
        <f t="shared" si="9"/>
        <v>9.1593333333333149</v>
      </c>
      <c r="J20">
        <f t="shared" si="2"/>
        <v>9</v>
      </c>
      <c r="Q20">
        <f t="shared" si="10"/>
        <v>4.3</v>
      </c>
      <c r="R20">
        <f t="shared" si="3"/>
        <v>4.4972900000000005</v>
      </c>
      <c r="S20">
        <f t="shared" si="4"/>
        <v>4.5</v>
      </c>
      <c r="U20">
        <f t="shared" si="11"/>
        <v>8.0999999999999872</v>
      </c>
      <c r="V20">
        <f t="shared" si="5"/>
        <v>10.278229999999981</v>
      </c>
      <c r="W20">
        <f t="shared" si="6"/>
        <v>10.5</v>
      </c>
    </row>
    <row r="21" spans="4:23" x14ac:dyDescent="0.35">
      <c r="D21">
        <f t="shared" si="7"/>
        <v>4.3999999999999995</v>
      </c>
      <c r="E21">
        <f t="shared" si="0"/>
        <v>3.6031666666666662</v>
      </c>
      <c r="F21">
        <f t="shared" si="1"/>
        <v>3.5</v>
      </c>
      <c r="H21">
        <f t="shared" si="8"/>
        <v>8.1999999999999869</v>
      </c>
      <c r="I21">
        <f t="shared" si="9"/>
        <v>9.3094999999999803</v>
      </c>
      <c r="J21">
        <f t="shared" si="2"/>
        <v>9.5</v>
      </c>
      <c r="Q21">
        <f t="shared" si="10"/>
        <v>4.3999999999999995</v>
      </c>
      <c r="R21">
        <f t="shared" si="3"/>
        <v>4.6494200000000001</v>
      </c>
      <c r="S21">
        <f t="shared" si="4"/>
        <v>4.5</v>
      </c>
      <c r="U21">
        <f t="shared" si="11"/>
        <v>8.1999999999999869</v>
      </c>
      <c r="V21">
        <f t="shared" si="5"/>
        <v>10.430359999999981</v>
      </c>
      <c r="W21">
        <f t="shared" si="6"/>
        <v>10.5</v>
      </c>
    </row>
    <row r="22" spans="4:23" x14ac:dyDescent="0.35">
      <c r="D22">
        <f t="shared" si="7"/>
        <v>4.4999999999999991</v>
      </c>
      <c r="E22">
        <f t="shared" si="0"/>
        <v>3.7533333333333316</v>
      </c>
      <c r="F22">
        <f t="shared" si="1"/>
        <v>4</v>
      </c>
      <c r="H22">
        <f t="shared" si="8"/>
        <v>8.2999999999999865</v>
      </c>
      <c r="I22">
        <f t="shared" si="9"/>
        <v>9.4596666666666476</v>
      </c>
      <c r="J22">
        <f t="shared" si="2"/>
        <v>9.5</v>
      </c>
      <c r="Q22">
        <f t="shared" si="10"/>
        <v>4.4999999999999991</v>
      </c>
      <c r="R22">
        <f t="shared" si="3"/>
        <v>4.8015499999999989</v>
      </c>
      <c r="S22">
        <f t="shared" si="4"/>
        <v>5</v>
      </c>
      <c r="U22">
        <f t="shared" si="11"/>
        <v>8.2999999999999865</v>
      </c>
      <c r="V22">
        <f t="shared" si="5"/>
        <v>10.58248999999998</v>
      </c>
      <c r="W22">
        <f t="shared" si="6"/>
        <v>10.5</v>
      </c>
    </row>
    <row r="23" spans="4:23" x14ac:dyDescent="0.35">
      <c r="D23">
        <f t="shared" si="7"/>
        <v>4.5999999999999988</v>
      </c>
      <c r="E23">
        <f t="shared" si="0"/>
        <v>3.903499999999998</v>
      </c>
      <c r="F23">
        <f t="shared" si="1"/>
        <v>4</v>
      </c>
      <c r="H23">
        <f t="shared" si="8"/>
        <v>8.3999999999999861</v>
      </c>
      <c r="I23">
        <f t="shared" si="9"/>
        <v>9.609833333333313</v>
      </c>
      <c r="J23">
        <f t="shared" si="2"/>
        <v>9.5</v>
      </c>
      <c r="Q23">
        <f t="shared" si="10"/>
        <v>4.5999999999999988</v>
      </c>
      <c r="R23">
        <f t="shared" si="3"/>
        <v>4.9536799999999985</v>
      </c>
      <c r="S23">
        <f t="shared" si="4"/>
        <v>5</v>
      </c>
      <c r="U23">
        <f t="shared" si="11"/>
        <v>8.3999999999999861</v>
      </c>
      <c r="V23">
        <f t="shared" si="5"/>
        <v>10.73461999999998</v>
      </c>
      <c r="W23">
        <f t="shared" si="6"/>
        <v>10.5</v>
      </c>
    </row>
    <row r="24" spans="4:23" x14ac:dyDescent="0.35">
      <c r="D24">
        <f t="shared" si="7"/>
        <v>4.6999999999999984</v>
      </c>
      <c r="E24">
        <f t="shared" si="0"/>
        <v>4.0536666666666648</v>
      </c>
      <c r="F24">
        <f t="shared" si="1"/>
        <v>4</v>
      </c>
      <c r="H24">
        <f t="shared" si="8"/>
        <v>8.4999999999999858</v>
      </c>
      <c r="I24" s="18">
        <f t="shared" si="9"/>
        <v>9.7599999999999785</v>
      </c>
      <c r="J24">
        <f>MROUND(I24,0.5)</f>
        <v>10</v>
      </c>
      <c r="Q24">
        <f t="shared" si="10"/>
        <v>4.6999999999999984</v>
      </c>
      <c r="R24">
        <f t="shared" si="3"/>
        <v>5.1058099999999982</v>
      </c>
      <c r="S24">
        <f t="shared" si="4"/>
        <v>5</v>
      </c>
      <c r="U24">
        <f t="shared" si="11"/>
        <v>8.4999999999999858</v>
      </c>
      <c r="V24">
        <f t="shared" si="5"/>
        <v>10.88674999999998</v>
      </c>
      <c r="W24">
        <f>MROUND(V24,0.5)</f>
        <v>11</v>
      </c>
    </row>
    <row r="25" spans="4:23" x14ac:dyDescent="0.35">
      <c r="D25">
        <f t="shared" si="7"/>
        <v>4.799999999999998</v>
      </c>
      <c r="E25">
        <f t="shared" si="0"/>
        <v>4.2038333333333302</v>
      </c>
      <c r="F25">
        <f t="shared" si="1"/>
        <v>4</v>
      </c>
      <c r="H25">
        <f t="shared" si="8"/>
        <v>8.5999999999999854</v>
      </c>
      <c r="I25">
        <f t="shared" si="9"/>
        <v>9.9101666666666457</v>
      </c>
      <c r="J25">
        <f t="shared" si="2"/>
        <v>10</v>
      </c>
      <c r="Q25">
        <f t="shared" si="10"/>
        <v>4.799999999999998</v>
      </c>
      <c r="R25">
        <f t="shared" si="3"/>
        <v>5.2579399999999978</v>
      </c>
      <c r="S25">
        <f t="shared" si="4"/>
        <v>5.5</v>
      </c>
      <c r="U25">
        <f t="shared" si="11"/>
        <v>8.5999999999999854</v>
      </c>
      <c r="V25">
        <f t="shared" si="5"/>
        <v>11.038879999999979</v>
      </c>
      <c r="W25">
        <f t="shared" ref="W25:W39" si="12">MROUND(V25,0.5)</f>
        <v>11</v>
      </c>
    </row>
    <row r="26" spans="4:23" x14ac:dyDescent="0.35">
      <c r="D26">
        <f t="shared" si="7"/>
        <v>4.8999999999999977</v>
      </c>
      <c r="E26">
        <f t="shared" si="0"/>
        <v>4.3539999999999957</v>
      </c>
      <c r="F26">
        <f t="shared" si="1"/>
        <v>4.5</v>
      </c>
      <c r="H26">
        <f t="shared" si="8"/>
        <v>8.6999999999999851</v>
      </c>
      <c r="I26">
        <f t="shared" si="9"/>
        <v>10.060333333333311</v>
      </c>
      <c r="J26">
        <f t="shared" si="2"/>
        <v>10</v>
      </c>
      <c r="Q26">
        <f t="shared" si="10"/>
        <v>4.8999999999999977</v>
      </c>
      <c r="R26">
        <f t="shared" si="3"/>
        <v>5.4100699999999975</v>
      </c>
      <c r="S26">
        <f t="shared" si="4"/>
        <v>5.5</v>
      </c>
      <c r="U26">
        <f t="shared" si="11"/>
        <v>8.6999999999999851</v>
      </c>
      <c r="V26">
        <f t="shared" si="5"/>
        <v>11.191009999999979</v>
      </c>
      <c r="W26">
        <f t="shared" si="12"/>
        <v>11</v>
      </c>
    </row>
    <row r="27" spans="4:23" x14ac:dyDescent="0.35">
      <c r="D27">
        <f t="shared" si="7"/>
        <v>4.9999999999999973</v>
      </c>
      <c r="E27">
        <f t="shared" si="0"/>
        <v>4.5041666666666629</v>
      </c>
      <c r="F27">
        <f t="shared" si="1"/>
        <v>4.5</v>
      </c>
      <c r="H27">
        <f t="shared" si="8"/>
        <v>8.7999999999999847</v>
      </c>
      <c r="I27">
        <f t="shared" si="9"/>
        <v>10.210499999999978</v>
      </c>
      <c r="J27">
        <f t="shared" si="2"/>
        <v>10</v>
      </c>
      <c r="Q27">
        <f t="shared" si="10"/>
        <v>4.9999999999999973</v>
      </c>
      <c r="R27">
        <f t="shared" si="3"/>
        <v>5.5621999999999963</v>
      </c>
      <c r="S27">
        <f t="shared" si="4"/>
        <v>5.5</v>
      </c>
      <c r="U27">
        <f t="shared" si="11"/>
        <v>8.7999999999999847</v>
      </c>
      <c r="V27">
        <f t="shared" si="5"/>
        <v>11.343139999999979</v>
      </c>
      <c r="W27">
        <f t="shared" si="12"/>
        <v>11.5</v>
      </c>
    </row>
    <row r="28" spans="4:23" x14ac:dyDescent="0.35">
      <c r="D28">
        <f t="shared" si="7"/>
        <v>5.099999999999997</v>
      </c>
      <c r="E28">
        <f t="shared" si="0"/>
        <v>4.6543333333333283</v>
      </c>
      <c r="F28">
        <f t="shared" si="1"/>
        <v>4.5</v>
      </c>
      <c r="H28">
        <f t="shared" si="8"/>
        <v>8.8999999999999844</v>
      </c>
      <c r="I28">
        <f t="shared" si="9"/>
        <v>10.360666666666644</v>
      </c>
      <c r="J28">
        <f t="shared" si="2"/>
        <v>10.5</v>
      </c>
      <c r="Q28">
        <f t="shared" si="10"/>
        <v>5.099999999999997</v>
      </c>
      <c r="R28">
        <f t="shared" si="3"/>
        <v>5.7143299999999959</v>
      </c>
      <c r="S28">
        <f t="shared" si="4"/>
        <v>5.5</v>
      </c>
      <c r="U28">
        <f t="shared" si="11"/>
        <v>8.8999999999999844</v>
      </c>
      <c r="V28">
        <f t="shared" si="5"/>
        <v>11.495269999999977</v>
      </c>
      <c r="W28">
        <f t="shared" si="12"/>
        <v>11.5</v>
      </c>
    </row>
    <row r="29" spans="4:23" x14ac:dyDescent="0.35">
      <c r="D29">
        <f t="shared" si="7"/>
        <v>5.1999999999999966</v>
      </c>
      <c r="E29">
        <f t="shared" si="0"/>
        <v>4.8044999999999956</v>
      </c>
      <c r="F29">
        <f t="shared" si="1"/>
        <v>5</v>
      </c>
      <c r="H29">
        <f t="shared" si="8"/>
        <v>8.999999999999984</v>
      </c>
      <c r="I29">
        <f t="shared" si="9"/>
        <v>10.510833333333309</v>
      </c>
      <c r="J29">
        <f t="shared" si="2"/>
        <v>10.5</v>
      </c>
      <c r="Q29">
        <f t="shared" si="10"/>
        <v>5.1999999999999966</v>
      </c>
      <c r="R29">
        <f t="shared" si="3"/>
        <v>5.8664599999999956</v>
      </c>
      <c r="S29">
        <f t="shared" si="4"/>
        <v>6</v>
      </c>
      <c r="U29">
        <f t="shared" si="11"/>
        <v>8.999999999999984</v>
      </c>
      <c r="V29">
        <f t="shared" si="5"/>
        <v>11.647399999999976</v>
      </c>
      <c r="W29">
        <f t="shared" si="12"/>
        <v>11.5</v>
      </c>
    </row>
    <row r="30" spans="4:23" x14ac:dyDescent="0.35">
      <c r="D30">
        <f t="shared" si="7"/>
        <v>5.2999999999999963</v>
      </c>
      <c r="E30">
        <f t="shared" si="0"/>
        <v>4.954666666666661</v>
      </c>
      <c r="F30">
        <f t="shared" si="1"/>
        <v>5</v>
      </c>
      <c r="H30">
        <f t="shared" si="8"/>
        <v>9.0999999999999837</v>
      </c>
      <c r="I30">
        <f t="shared" si="9"/>
        <v>10.660999999999976</v>
      </c>
      <c r="J30">
        <f t="shared" si="2"/>
        <v>10.5</v>
      </c>
      <c r="Q30">
        <f t="shared" si="10"/>
        <v>5.2999999999999963</v>
      </c>
      <c r="R30">
        <f t="shared" si="3"/>
        <v>6.0185899999999943</v>
      </c>
      <c r="S30">
        <f t="shared" si="4"/>
        <v>6</v>
      </c>
      <c r="U30">
        <f t="shared" si="11"/>
        <v>9.0999999999999837</v>
      </c>
      <c r="V30">
        <f t="shared" si="5"/>
        <v>11.799529999999976</v>
      </c>
      <c r="W30">
        <f t="shared" si="12"/>
        <v>12</v>
      </c>
    </row>
    <row r="31" spans="4:23" x14ac:dyDescent="0.35">
      <c r="D31">
        <f t="shared" si="7"/>
        <v>5.3999999999999959</v>
      </c>
      <c r="E31">
        <f t="shared" si="0"/>
        <v>5.1048333333333282</v>
      </c>
      <c r="F31">
        <f t="shared" si="1"/>
        <v>5</v>
      </c>
      <c r="H31">
        <f t="shared" si="8"/>
        <v>9.1999999999999833</v>
      </c>
      <c r="I31">
        <f t="shared" si="9"/>
        <v>10.811166666666642</v>
      </c>
      <c r="J31">
        <f t="shared" si="2"/>
        <v>11</v>
      </c>
      <c r="Q31">
        <f t="shared" si="10"/>
        <v>5.3999999999999959</v>
      </c>
      <c r="R31">
        <f t="shared" si="3"/>
        <v>6.170719999999994</v>
      </c>
      <c r="S31">
        <f t="shared" si="4"/>
        <v>6</v>
      </c>
      <c r="U31">
        <f t="shared" si="11"/>
        <v>9.1999999999999833</v>
      </c>
      <c r="V31">
        <f t="shared" si="5"/>
        <v>11.951659999999976</v>
      </c>
      <c r="W31">
        <f t="shared" si="12"/>
        <v>12</v>
      </c>
    </row>
    <row r="32" spans="4:23" x14ac:dyDescent="0.35">
      <c r="D32">
        <f t="shared" si="7"/>
        <v>5.4999999999999956</v>
      </c>
      <c r="E32">
        <f t="shared" si="0"/>
        <v>5.2549999999999937</v>
      </c>
      <c r="F32">
        <f t="shared" si="1"/>
        <v>5.5</v>
      </c>
      <c r="H32">
        <f t="shared" si="8"/>
        <v>9.2999999999999829</v>
      </c>
      <c r="I32">
        <f t="shared" si="9"/>
        <v>10.961333333333309</v>
      </c>
      <c r="J32">
        <f t="shared" si="2"/>
        <v>11</v>
      </c>
      <c r="Q32">
        <f t="shared" si="10"/>
        <v>5.4999999999999956</v>
      </c>
      <c r="R32">
        <f t="shared" si="3"/>
        <v>6.3228499999999936</v>
      </c>
      <c r="S32">
        <f t="shared" si="4"/>
        <v>6.5</v>
      </c>
      <c r="U32">
        <f t="shared" si="11"/>
        <v>9.2999999999999829</v>
      </c>
      <c r="V32">
        <f t="shared" si="5"/>
        <v>12.103789999999975</v>
      </c>
      <c r="W32">
        <f t="shared" si="12"/>
        <v>12</v>
      </c>
    </row>
    <row r="33" spans="4:23" x14ac:dyDescent="0.35">
      <c r="D33">
        <f t="shared" si="7"/>
        <v>5.5999999999999952</v>
      </c>
      <c r="E33">
        <f t="shared" si="0"/>
        <v>5.4051666666666591</v>
      </c>
      <c r="F33">
        <f t="shared" si="1"/>
        <v>5.5</v>
      </c>
      <c r="H33">
        <f t="shared" si="8"/>
        <v>9.3999999999999826</v>
      </c>
      <c r="I33">
        <f t="shared" si="9"/>
        <v>11.111499999999975</v>
      </c>
      <c r="J33">
        <f t="shared" si="2"/>
        <v>11</v>
      </c>
      <c r="Q33">
        <f t="shared" si="10"/>
        <v>5.5999999999999952</v>
      </c>
      <c r="R33">
        <f t="shared" si="3"/>
        <v>6.4749799999999933</v>
      </c>
      <c r="S33">
        <f t="shared" si="4"/>
        <v>6.5</v>
      </c>
      <c r="U33">
        <f t="shared" si="11"/>
        <v>9.3999999999999826</v>
      </c>
      <c r="V33">
        <f t="shared" si="5"/>
        <v>12.255919999999975</v>
      </c>
      <c r="W33">
        <f t="shared" si="12"/>
        <v>12.5</v>
      </c>
    </row>
    <row r="34" spans="4:23" x14ac:dyDescent="0.35">
      <c r="D34">
        <f t="shared" si="7"/>
        <v>5.6999999999999948</v>
      </c>
      <c r="E34">
        <f t="shared" si="0"/>
        <v>5.5553333333333264</v>
      </c>
      <c r="F34">
        <f t="shared" si="1"/>
        <v>5.5</v>
      </c>
      <c r="H34">
        <f t="shared" si="8"/>
        <v>9.4999999999999822</v>
      </c>
      <c r="I34">
        <f t="shared" si="9"/>
        <v>11.26166666666664</v>
      </c>
      <c r="J34">
        <f t="shared" si="2"/>
        <v>11.5</v>
      </c>
      <c r="Q34">
        <f t="shared" si="10"/>
        <v>5.6999999999999948</v>
      </c>
      <c r="R34">
        <f t="shared" si="3"/>
        <v>6.627109999999993</v>
      </c>
      <c r="S34">
        <f t="shared" si="4"/>
        <v>6.5</v>
      </c>
      <c r="U34">
        <f t="shared" si="11"/>
        <v>9.4999999999999822</v>
      </c>
      <c r="V34">
        <f t="shared" si="5"/>
        <v>12.408049999999974</v>
      </c>
      <c r="W34">
        <f t="shared" si="12"/>
        <v>12.5</v>
      </c>
    </row>
    <row r="35" spans="4:23" x14ac:dyDescent="0.35">
      <c r="D35">
        <f t="shared" si="7"/>
        <v>5.7999999999999945</v>
      </c>
      <c r="E35">
        <f t="shared" si="0"/>
        <v>5.7054999999999918</v>
      </c>
      <c r="F35">
        <f t="shared" si="1"/>
        <v>5.5</v>
      </c>
      <c r="H35">
        <f t="shared" si="8"/>
        <v>9.5999999999999819</v>
      </c>
      <c r="I35">
        <f t="shared" si="9"/>
        <v>11.411833333333307</v>
      </c>
      <c r="J35">
        <f t="shared" si="2"/>
        <v>11.5</v>
      </c>
      <c r="Q35">
        <f t="shared" si="10"/>
        <v>5.7999999999999945</v>
      </c>
      <c r="R35">
        <f t="shared" si="3"/>
        <v>6.7792399999999926</v>
      </c>
      <c r="S35">
        <f t="shared" si="4"/>
        <v>7</v>
      </c>
      <c r="U35">
        <f t="shared" si="11"/>
        <v>9.5999999999999819</v>
      </c>
      <c r="V35">
        <f t="shared" si="5"/>
        <v>12.560179999999974</v>
      </c>
      <c r="W35">
        <f t="shared" si="12"/>
        <v>12.5</v>
      </c>
    </row>
    <row r="36" spans="4:23" x14ac:dyDescent="0.35">
      <c r="D36">
        <f t="shared" si="7"/>
        <v>5.8999999999999941</v>
      </c>
      <c r="E36">
        <f t="shared" si="0"/>
        <v>5.855666666666659</v>
      </c>
      <c r="F36">
        <f t="shared" si="1"/>
        <v>6</v>
      </c>
      <c r="H36">
        <f t="shared" si="8"/>
        <v>9.6999999999999815</v>
      </c>
      <c r="I36">
        <f t="shared" si="9"/>
        <v>11.561999999999973</v>
      </c>
      <c r="J36">
        <f t="shared" si="2"/>
        <v>11.5</v>
      </c>
      <c r="Q36">
        <f t="shared" si="10"/>
        <v>5.8999999999999941</v>
      </c>
      <c r="R36">
        <f t="shared" si="3"/>
        <v>6.9313699999999923</v>
      </c>
      <c r="S36">
        <f t="shared" si="4"/>
        <v>7</v>
      </c>
      <c r="U36">
        <f t="shared" si="11"/>
        <v>9.6999999999999815</v>
      </c>
      <c r="V36">
        <f t="shared" si="5"/>
        <v>12.712309999999974</v>
      </c>
      <c r="W36">
        <f t="shared" si="12"/>
        <v>12.5</v>
      </c>
    </row>
    <row r="37" spans="4:23" x14ac:dyDescent="0.35">
      <c r="D37">
        <f t="shared" si="7"/>
        <v>5.9999999999999938</v>
      </c>
      <c r="E37">
        <f t="shared" si="0"/>
        <v>6.0058333333333245</v>
      </c>
      <c r="F37">
        <f t="shared" si="1"/>
        <v>6</v>
      </c>
      <c r="H37">
        <f t="shared" si="8"/>
        <v>9.7999999999999812</v>
      </c>
      <c r="I37">
        <f t="shared" si="9"/>
        <v>11.712166666666638</v>
      </c>
      <c r="J37">
        <f t="shared" si="2"/>
        <v>11.5</v>
      </c>
      <c r="Q37">
        <f t="shared" si="10"/>
        <v>5.9999999999999938</v>
      </c>
      <c r="R37">
        <f t="shared" si="3"/>
        <v>7.0834999999999919</v>
      </c>
      <c r="S37">
        <f t="shared" si="4"/>
        <v>7</v>
      </c>
      <c r="U37">
        <f t="shared" si="11"/>
        <v>9.7999999999999812</v>
      </c>
      <c r="V37">
        <f t="shared" si="5"/>
        <v>12.864439999999972</v>
      </c>
      <c r="W37">
        <f t="shared" si="12"/>
        <v>13</v>
      </c>
    </row>
    <row r="38" spans="4:23" x14ac:dyDescent="0.35">
      <c r="D38">
        <f t="shared" si="7"/>
        <v>6.0999999999999934</v>
      </c>
      <c r="E38">
        <f t="shared" si="0"/>
        <v>6.1559999999999899</v>
      </c>
      <c r="F38">
        <f t="shared" si="1"/>
        <v>6</v>
      </c>
      <c r="H38">
        <f t="shared" si="8"/>
        <v>9.8999999999999808</v>
      </c>
      <c r="I38">
        <f t="shared" si="9"/>
        <v>11.862333333333305</v>
      </c>
      <c r="J38">
        <f t="shared" si="2"/>
        <v>12</v>
      </c>
      <c r="Q38">
        <f t="shared" si="10"/>
        <v>6.0999999999999934</v>
      </c>
      <c r="R38">
        <f t="shared" si="3"/>
        <v>7.2356299999999916</v>
      </c>
      <c r="S38">
        <f t="shared" si="4"/>
        <v>7</v>
      </c>
      <c r="U38">
        <f t="shared" si="11"/>
        <v>9.8999999999999808</v>
      </c>
      <c r="V38">
        <f t="shared" si="5"/>
        <v>13.016569999999971</v>
      </c>
      <c r="W38">
        <f t="shared" si="12"/>
        <v>13</v>
      </c>
    </row>
    <row r="39" spans="4:23" x14ac:dyDescent="0.35">
      <c r="D39">
        <f t="shared" si="7"/>
        <v>6.1999999999999931</v>
      </c>
      <c r="E39">
        <f t="shared" si="0"/>
        <v>6.3061666666666572</v>
      </c>
      <c r="F39">
        <f t="shared" si="1"/>
        <v>6.5</v>
      </c>
      <c r="H39">
        <f t="shared" si="8"/>
        <v>9.9999999999999805</v>
      </c>
      <c r="I39">
        <f t="shared" si="9"/>
        <v>12.012499999999971</v>
      </c>
      <c r="J39">
        <f t="shared" si="2"/>
        <v>12</v>
      </c>
      <c r="Q39">
        <f t="shared" si="10"/>
        <v>6.1999999999999931</v>
      </c>
      <c r="R39">
        <f t="shared" si="3"/>
        <v>7.3877599999999894</v>
      </c>
      <c r="S39">
        <f t="shared" si="4"/>
        <v>7.5</v>
      </c>
      <c r="U39">
        <f t="shared" si="11"/>
        <v>9.9999999999999805</v>
      </c>
      <c r="V39">
        <f t="shared" si="5"/>
        <v>13.168699999999971</v>
      </c>
      <c r="W39">
        <f t="shared" si="12"/>
        <v>13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44468-5FF9-485E-BCBE-2F73FE35F0BA}">
  <dimension ref="A1:AT107"/>
  <sheetViews>
    <sheetView zoomScale="85" zoomScaleNormal="85" workbookViewId="0">
      <pane xSplit="1" topLeftCell="T1" activePane="topRight" state="frozen"/>
      <selection activeCell="A31" sqref="A31"/>
      <selection pane="topRight" activeCell="AF3" sqref="AF3"/>
    </sheetView>
  </sheetViews>
  <sheetFormatPr defaultRowHeight="14.5" x14ac:dyDescent="0.35"/>
  <cols>
    <col min="2" max="6" width="12.26953125" bestFit="1" customWidth="1"/>
    <col min="7" max="9" width="12.26953125" style="22" bestFit="1" customWidth="1"/>
    <col min="10" max="11" width="12.26953125" bestFit="1" customWidth="1"/>
    <col min="12" max="12" width="12.26953125" style="22" bestFit="1" customWidth="1"/>
    <col min="13" max="14" width="12.26953125" bestFit="1" customWidth="1"/>
    <col min="15" max="17" width="12.26953125" style="22" bestFit="1" customWidth="1"/>
    <col min="18" max="18" width="12.26953125" bestFit="1" customWidth="1"/>
    <col min="19" max="19" width="12.26953125" style="22" bestFit="1" customWidth="1"/>
    <col min="20" max="22" width="12.26953125" bestFit="1" customWidth="1"/>
    <col min="23" max="23" width="12.26953125" customWidth="1"/>
    <col min="24" max="25" width="12.26953125" style="22" customWidth="1"/>
    <col min="26" max="28" width="12.26953125" bestFit="1" customWidth="1"/>
    <col min="29" max="30" width="9.6328125" customWidth="1"/>
    <col min="32" max="32" width="16.6328125" bestFit="1" customWidth="1"/>
    <col min="41" max="41" width="9.26953125" bestFit="1" customWidth="1"/>
    <col min="42" max="42" width="10.1796875" bestFit="1" customWidth="1"/>
    <col min="43" max="46" width="9.26953125" bestFit="1" customWidth="1"/>
  </cols>
  <sheetData>
    <row r="1" spans="1:33" x14ac:dyDescent="0.35">
      <c r="B1" t="s">
        <v>68</v>
      </c>
      <c r="C1" t="s">
        <v>69</v>
      </c>
      <c r="D1" t="s">
        <v>70</v>
      </c>
      <c r="E1" t="s">
        <v>71</v>
      </c>
      <c r="F1" t="s">
        <v>72</v>
      </c>
      <c r="G1" s="22" t="s">
        <v>75</v>
      </c>
      <c r="H1" s="22" t="s">
        <v>86</v>
      </c>
      <c r="I1" s="22" t="s">
        <v>93</v>
      </c>
      <c r="J1" s="22" t="s">
        <v>96</v>
      </c>
      <c r="K1" s="22" t="s">
        <v>102</v>
      </c>
      <c r="L1" s="22" t="s">
        <v>109</v>
      </c>
      <c r="M1" s="22" t="s">
        <v>111</v>
      </c>
      <c r="N1" s="22" t="s">
        <v>68</v>
      </c>
      <c r="O1" s="22" t="s">
        <v>69</v>
      </c>
      <c r="P1" s="22" t="s">
        <v>70</v>
      </c>
      <c r="Q1" s="22" t="s">
        <v>71</v>
      </c>
      <c r="R1" s="22" t="s">
        <v>72</v>
      </c>
      <c r="S1" s="22" t="s">
        <v>75</v>
      </c>
      <c r="T1" s="22" t="s">
        <v>86</v>
      </c>
      <c r="U1" s="22" t="s">
        <v>93</v>
      </c>
      <c r="V1" s="22" t="s">
        <v>96</v>
      </c>
      <c r="W1" s="22" t="s">
        <v>102</v>
      </c>
      <c r="X1" s="22" t="s">
        <v>109</v>
      </c>
      <c r="Y1" s="22" t="s">
        <v>111</v>
      </c>
      <c r="Z1" s="22" t="s">
        <v>68</v>
      </c>
      <c r="AA1" s="22" t="s">
        <v>69</v>
      </c>
      <c r="AB1" s="22" t="s">
        <v>70</v>
      </c>
      <c r="AF1" t="s">
        <v>103</v>
      </c>
      <c r="AG1" t="s">
        <v>166</v>
      </c>
    </row>
    <row r="2" spans="1:33" x14ac:dyDescent="0.35">
      <c r="A2" t="s">
        <v>1</v>
      </c>
      <c r="B2" s="19">
        <f>(1800-12*25)/18</f>
        <v>83.333333333333329</v>
      </c>
      <c r="C2" s="19">
        <v>70.84</v>
      </c>
      <c r="D2" s="19">
        <v>70.84</v>
      </c>
      <c r="E2" s="19">
        <v>77.78</v>
      </c>
      <c r="F2" s="19">
        <v>77.78</v>
      </c>
      <c r="G2" s="19">
        <v>77.78</v>
      </c>
      <c r="H2" s="19">
        <v>84.73</v>
      </c>
      <c r="I2" s="19">
        <v>77.78</v>
      </c>
      <c r="J2" s="19">
        <v>86.12</v>
      </c>
      <c r="K2" s="19">
        <f>(1800-12*25)/18</f>
        <v>83.333333333333329</v>
      </c>
      <c r="L2" s="19">
        <v>79.17</v>
      </c>
      <c r="M2" s="19">
        <v>76.39</v>
      </c>
      <c r="N2" s="19">
        <v>88.84</v>
      </c>
      <c r="O2" s="19">
        <v>84.34</v>
      </c>
      <c r="P2" s="19">
        <v>85.84</v>
      </c>
      <c r="Q2" s="19">
        <v>82.83</v>
      </c>
      <c r="R2" s="19">
        <v>81.34</v>
      </c>
      <c r="S2" s="19">
        <v>85.84</v>
      </c>
      <c r="T2" s="19">
        <v>90.34</v>
      </c>
      <c r="U2" s="19">
        <v>93.34</v>
      </c>
      <c r="V2" s="19">
        <v>78.34</v>
      </c>
      <c r="W2" s="19">
        <v>96.34</v>
      </c>
      <c r="X2" s="19">
        <v>81.34</v>
      </c>
      <c r="Y2" s="19">
        <v>83.07</v>
      </c>
      <c r="Z2" s="19">
        <v>95.65</v>
      </c>
      <c r="AA2" s="19">
        <v>85.84</v>
      </c>
      <c r="AB2" s="19">
        <v>91.5</v>
      </c>
      <c r="AF2" s="1">
        <v>46268</v>
      </c>
      <c r="AG2" t="s">
        <v>50</v>
      </c>
    </row>
    <row r="3" spans="1:33" x14ac:dyDescent="0.35">
      <c r="A3" t="s">
        <v>2</v>
      </c>
      <c r="B3" s="19">
        <f t="shared" ref="B3:B19" si="0">(1800-12*25)/18</f>
        <v>83.333333333333329</v>
      </c>
      <c r="C3" s="19">
        <v>70.84</v>
      </c>
      <c r="D3" s="19">
        <v>70.84</v>
      </c>
      <c r="E3" s="19">
        <v>77.78</v>
      </c>
      <c r="F3" s="19">
        <v>77.78</v>
      </c>
      <c r="G3" s="19">
        <v>77.78</v>
      </c>
      <c r="H3" s="19">
        <v>84.73</v>
      </c>
      <c r="I3" s="19">
        <v>77.78</v>
      </c>
      <c r="J3" s="19">
        <v>86.12</v>
      </c>
      <c r="K3" s="19">
        <f>(1800-12*25)/18</f>
        <v>83.333333333333329</v>
      </c>
      <c r="L3" s="19">
        <v>25</v>
      </c>
      <c r="N3" s="19">
        <v>54</v>
      </c>
      <c r="O3" s="19">
        <v>84.34</v>
      </c>
      <c r="P3" s="19">
        <v>85.84</v>
      </c>
      <c r="Q3" s="19">
        <v>82.83</v>
      </c>
      <c r="R3" s="19">
        <v>27</v>
      </c>
      <c r="S3" s="19">
        <v>85.84</v>
      </c>
      <c r="T3" s="19">
        <v>90.34</v>
      </c>
      <c r="U3" s="19">
        <v>93.34</v>
      </c>
      <c r="V3" s="19">
        <v>78.34</v>
      </c>
      <c r="W3" s="19">
        <v>96.34</v>
      </c>
      <c r="X3" s="19">
        <v>81.34</v>
      </c>
      <c r="Y3" s="19">
        <v>83.07</v>
      </c>
      <c r="Z3" s="19">
        <v>95.65</v>
      </c>
      <c r="AA3" s="19">
        <v>85.84</v>
      </c>
      <c r="AB3" s="21">
        <v>91.5</v>
      </c>
    </row>
    <row r="4" spans="1:33" x14ac:dyDescent="0.35">
      <c r="A4" t="s">
        <v>3</v>
      </c>
      <c r="B4" s="19">
        <f t="shared" si="0"/>
        <v>83.333333333333329</v>
      </c>
      <c r="C4" s="19">
        <v>70.84</v>
      </c>
      <c r="D4" s="19">
        <v>70.84</v>
      </c>
      <c r="E4" s="19">
        <v>77.78</v>
      </c>
      <c r="F4" s="19"/>
      <c r="G4" s="19">
        <v>25</v>
      </c>
      <c r="H4" s="19"/>
      <c r="I4" s="19">
        <v>25</v>
      </c>
      <c r="J4" s="19">
        <v>50</v>
      </c>
      <c r="L4" s="19">
        <v>25</v>
      </c>
      <c r="N4" s="19">
        <v>27</v>
      </c>
      <c r="O4" s="19"/>
      <c r="P4" s="19"/>
      <c r="Q4" s="19"/>
      <c r="AE4" t="s">
        <v>164</v>
      </c>
      <c r="AF4">
        <v>16</v>
      </c>
    </row>
    <row r="5" spans="1:33" x14ac:dyDescent="0.35">
      <c r="A5" t="s">
        <v>4</v>
      </c>
      <c r="B5" s="19">
        <f t="shared" si="0"/>
        <v>83.333333333333329</v>
      </c>
      <c r="C5" s="19">
        <v>70.84</v>
      </c>
      <c r="D5" s="19">
        <v>70.84</v>
      </c>
      <c r="E5" s="19">
        <v>77.78</v>
      </c>
      <c r="F5" s="19">
        <v>77.78</v>
      </c>
      <c r="G5" s="19">
        <v>77.78</v>
      </c>
      <c r="H5" s="19">
        <v>84.73</v>
      </c>
      <c r="I5" s="19">
        <v>77.78</v>
      </c>
      <c r="J5" s="19">
        <v>86.12</v>
      </c>
      <c r="K5" s="19">
        <f>(1800-12*25)/18</f>
        <v>83.333333333333329</v>
      </c>
      <c r="L5" s="19"/>
      <c r="M5" s="19">
        <v>76.39</v>
      </c>
      <c r="N5" s="19">
        <v>88.84</v>
      </c>
      <c r="O5" s="19">
        <v>27</v>
      </c>
      <c r="P5" s="19">
        <v>85.84</v>
      </c>
      <c r="Q5" s="19">
        <v>82.83</v>
      </c>
      <c r="R5" s="19">
        <v>81.34</v>
      </c>
      <c r="S5" s="19">
        <v>85.84</v>
      </c>
      <c r="T5" s="19">
        <v>90.34</v>
      </c>
      <c r="U5" s="19">
        <v>93.34</v>
      </c>
      <c r="V5" s="19">
        <v>78.34</v>
      </c>
      <c r="W5" s="19"/>
      <c r="X5" s="19"/>
      <c r="Y5" s="19"/>
      <c r="Z5" s="19"/>
      <c r="AA5" s="19">
        <v>27</v>
      </c>
      <c r="AB5" s="19"/>
      <c r="AC5" s="19"/>
      <c r="AD5" s="19"/>
      <c r="AE5" t="s">
        <v>121</v>
      </c>
      <c r="AF5">
        <v>18</v>
      </c>
    </row>
    <row r="6" spans="1:33" x14ac:dyDescent="0.35">
      <c r="A6" t="s">
        <v>5</v>
      </c>
      <c r="B6" s="19">
        <f t="shared" si="0"/>
        <v>83.333333333333329</v>
      </c>
      <c r="C6" s="19">
        <v>70.84</v>
      </c>
      <c r="D6" s="19">
        <v>70.84</v>
      </c>
      <c r="E6" s="19">
        <v>77.78</v>
      </c>
      <c r="F6" s="19">
        <v>77.78</v>
      </c>
      <c r="G6" s="19">
        <v>77.78</v>
      </c>
      <c r="H6" s="19"/>
      <c r="I6" s="19">
        <v>50</v>
      </c>
      <c r="J6" s="19">
        <v>86.12</v>
      </c>
      <c r="K6" s="19">
        <f>(1800-12*25)/18</f>
        <v>83.333333333333329</v>
      </c>
      <c r="L6" s="19">
        <v>79.17</v>
      </c>
      <c r="M6" s="19">
        <v>76.39</v>
      </c>
      <c r="N6" s="19">
        <v>88.84</v>
      </c>
      <c r="O6" s="19">
        <v>84.34</v>
      </c>
      <c r="P6" s="19">
        <v>54</v>
      </c>
      <c r="Q6" s="19">
        <v>82.83</v>
      </c>
      <c r="R6" s="19">
        <v>81.34</v>
      </c>
      <c r="S6" s="19">
        <v>85.84</v>
      </c>
      <c r="T6" s="19">
        <v>90.34</v>
      </c>
      <c r="U6" s="19">
        <v>93.34</v>
      </c>
      <c r="V6" s="19">
        <v>78.34</v>
      </c>
      <c r="W6" s="19">
        <v>48.17</v>
      </c>
      <c r="X6" s="19">
        <v>27</v>
      </c>
      <c r="Y6" s="19"/>
      <c r="Z6" s="19">
        <v>95.65</v>
      </c>
      <c r="AA6" s="19">
        <v>85.84</v>
      </c>
      <c r="AB6" s="19">
        <v>91.5</v>
      </c>
      <c r="AE6" t="s">
        <v>122</v>
      </c>
      <c r="AF6">
        <f>27*AF5</f>
        <v>486</v>
      </c>
    </row>
    <row r="7" spans="1:33" x14ac:dyDescent="0.35">
      <c r="A7" t="s">
        <v>6</v>
      </c>
      <c r="B7" s="19">
        <f t="shared" si="0"/>
        <v>83.333333333333329</v>
      </c>
      <c r="C7" s="19">
        <v>70.84</v>
      </c>
      <c r="D7" s="19">
        <v>70.84</v>
      </c>
      <c r="E7" s="19">
        <v>77.78</v>
      </c>
      <c r="F7" s="19">
        <v>77.78</v>
      </c>
      <c r="G7" s="19">
        <v>77.78</v>
      </c>
      <c r="H7" s="19"/>
      <c r="I7" s="19">
        <v>77.78</v>
      </c>
      <c r="J7" s="19">
        <v>86.12</v>
      </c>
      <c r="K7" s="19">
        <f>(1800-12*25)/18</f>
        <v>83.333333333333329</v>
      </c>
      <c r="L7" s="19">
        <v>79.17</v>
      </c>
      <c r="M7" s="19">
        <v>76.39</v>
      </c>
      <c r="N7" s="19">
        <v>88.84</v>
      </c>
      <c r="O7" s="19">
        <v>84.34</v>
      </c>
      <c r="P7" s="19">
        <v>85.84</v>
      </c>
      <c r="Q7" s="19">
        <v>82.83</v>
      </c>
      <c r="R7" s="19">
        <v>81.34</v>
      </c>
      <c r="S7" s="19">
        <v>85.84</v>
      </c>
      <c r="T7" s="19">
        <v>90.34</v>
      </c>
      <c r="U7" s="19">
        <v>93.34</v>
      </c>
      <c r="V7" s="19"/>
      <c r="W7" s="19"/>
      <c r="X7" s="19"/>
      <c r="Y7" s="19"/>
      <c r="Z7" s="19"/>
      <c r="AA7" s="19"/>
      <c r="AB7" s="19"/>
      <c r="AC7" s="19"/>
      <c r="AD7" s="19"/>
      <c r="AE7" t="s">
        <v>123</v>
      </c>
      <c r="AF7">
        <f>1950-AF6</f>
        <v>1464</v>
      </c>
    </row>
    <row r="8" spans="1:33" x14ac:dyDescent="0.35">
      <c r="A8" t="s">
        <v>7</v>
      </c>
      <c r="B8" s="19">
        <f t="shared" si="0"/>
        <v>83.333333333333329</v>
      </c>
      <c r="C8" s="19">
        <v>70.84</v>
      </c>
      <c r="D8" s="19">
        <v>70.84</v>
      </c>
      <c r="E8" s="19"/>
      <c r="F8" s="19"/>
      <c r="G8" s="19"/>
      <c r="H8" s="19">
        <v>25</v>
      </c>
      <c r="I8" s="19"/>
      <c r="T8" s="19">
        <v>90.34</v>
      </c>
      <c r="AE8" t="s">
        <v>124</v>
      </c>
      <c r="AF8">
        <f>AF7/AF4</f>
        <v>91.5</v>
      </c>
    </row>
    <row r="9" spans="1:33" x14ac:dyDescent="0.35">
      <c r="A9" t="s">
        <v>8</v>
      </c>
      <c r="B9" s="19">
        <f t="shared" si="0"/>
        <v>83.333333333333329</v>
      </c>
      <c r="C9" s="19">
        <v>70.84</v>
      </c>
      <c r="D9" s="19">
        <v>70.84</v>
      </c>
      <c r="E9" s="19">
        <v>77.78</v>
      </c>
      <c r="F9" s="19">
        <v>77.78</v>
      </c>
      <c r="G9" s="19">
        <v>77.78</v>
      </c>
      <c r="H9" s="19">
        <v>84.73</v>
      </c>
      <c r="I9" s="19">
        <v>77.78</v>
      </c>
      <c r="J9" s="19">
        <v>86.12</v>
      </c>
      <c r="K9" s="19">
        <f>(1800-12*25)/18</f>
        <v>83.333333333333329</v>
      </c>
      <c r="L9" s="19">
        <v>79.17</v>
      </c>
      <c r="M9" s="19">
        <v>76.39</v>
      </c>
      <c r="AA9" s="21">
        <v>27</v>
      </c>
    </row>
    <row r="10" spans="1:33" x14ac:dyDescent="0.35">
      <c r="A10" t="s">
        <v>9</v>
      </c>
      <c r="B10" s="19">
        <f t="shared" si="0"/>
        <v>83.333333333333329</v>
      </c>
      <c r="C10" s="19">
        <v>70.84</v>
      </c>
      <c r="D10" s="19">
        <v>70.84</v>
      </c>
      <c r="E10" s="19">
        <v>77.78</v>
      </c>
      <c r="F10" s="19">
        <v>77.78</v>
      </c>
      <c r="G10" s="19">
        <v>77.78</v>
      </c>
      <c r="H10" s="19">
        <v>84.73</v>
      </c>
      <c r="I10" s="19">
        <v>77.78</v>
      </c>
      <c r="J10" s="19">
        <v>86.12</v>
      </c>
      <c r="K10" s="19">
        <v>20.84</v>
      </c>
      <c r="L10" s="19">
        <v>79.17</v>
      </c>
      <c r="M10" s="19">
        <v>76.39</v>
      </c>
      <c r="N10" s="19">
        <v>88.84</v>
      </c>
      <c r="O10" s="19">
        <v>84.34</v>
      </c>
      <c r="P10" s="19">
        <v>85.84</v>
      </c>
      <c r="Q10" s="19">
        <v>82.83</v>
      </c>
      <c r="R10" s="19">
        <v>81.34</v>
      </c>
      <c r="S10" s="19">
        <v>85.84</v>
      </c>
      <c r="T10" s="19">
        <v>90.34</v>
      </c>
      <c r="U10" s="19">
        <v>93.34</v>
      </c>
      <c r="V10" s="19">
        <v>78.34</v>
      </c>
      <c r="W10" s="19">
        <v>96.34</v>
      </c>
      <c r="X10" s="19">
        <v>81.34</v>
      </c>
      <c r="Y10" s="19">
        <v>83.07</v>
      </c>
      <c r="Z10" s="19">
        <v>95.65</v>
      </c>
      <c r="AA10" s="19">
        <v>85.84</v>
      </c>
      <c r="AB10" s="19">
        <v>91.5</v>
      </c>
    </row>
    <row r="11" spans="1:33" x14ac:dyDescent="0.35">
      <c r="A11" t="s">
        <v>18</v>
      </c>
      <c r="B11" s="19">
        <f t="shared" si="0"/>
        <v>83.333333333333329</v>
      </c>
      <c r="C11" s="19">
        <v>70.84</v>
      </c>
      <c r="D11" s="19">
        <v>70.84</v>
      </c>
      <c r="E11" s="19">
        <v>77.78</v>
      </c>
      <c r="F11" s="19">
        <v>77.78</v>
      </c>
      <c r="G11" s="19">
        <v>77.78</v>
      </c>
      <c r="H11" s="19">
        <v>84.73</v>
      </c>
      <c r="I11" s="19">
        <v>77.78</v>
      </c>
      <c r="J11" s="19">
        <v>43.06</v>
      </c>
      <c r="K11" s="19">
        <f>(1800-12*25)/18</f>
        <v>83.333333333333329</v>
      </c>
      <c r="L11" s="19">
        <v>79.17</v>
      </c>
      <c r="M11" s="19">
        <v>76.39</v>
      </c>
      <c r="N11" s="19">
        <v>88.84</v>
      </c>
      <c r="O11" s="19">
        <v>84.34</v>
      </c>
      <c r="P11" s="19">
        <v>85.84</v>
      </c>
      <c r="Q11" s="19">
        <v>82.83</v>
      </c>
      <c r="R11" s="19">
        <v>81.34</v>
      </c>
      <c r="S11" s="19">
        <v>85.84</v>
      </c>
      <c r="T11" s="19">
        <v>90.34</v>
      </c>
      <c r="U11" s="19">
        <v>93.34</v>
      </c>
      <c r="V11" s="19">
        <v>78.34</v>
      </c>
      <c r="W11" s="19">
        <v>96.34</v>
      </c>
      <c r="X11" s="19">
        <v>81.34</v>
      </c>
      <c r="Y11" s="19">
        <v>83.07</v>
      </c>
      <c r="Z11" s="19">
        <v>95.65</v>
      </c>
      <c r="AA11" s="19">
        <v>85.84</v>
      </c>
      <c r="AB11" s="19">
        <v>91.5</v>
      </c>
    </row>
    <row r="12" spans="1:33" x14ac:dyDescent="0.35">
      <c r="A12" t="s">
        <v>10</v>
      </c>
      <c r="B12" s="19">
        <f t="shared" si="0"/>
        <v>83.333333333333329</v>
      </c>
      <c r="C12" s="19">
        <v>70.84</v>
      </c>
      <c r="D12" s="19">
        <v>70.84</v>
      </c>
      <c r="E12" s="19">
        <v>77.78</v>
      </c>
      <c r="F12" s="19">
        <v>77.78</v>
      </c>
      <c r="G12" s="19">
        <v>77.78</v>
      </c>
      <c r="H12" s="19">
        <v>84.73</v>
      </c>
      <c r="I12" s="19">
        <v>77.78</v>
      </c>
      <c r="J12" s="19">
        <v>86.12</v>
      </c>
      <c r="K12" s="19">
        <f>(1800-12*25)/18</f>
        <v>83.333333333333329</v>
      </c>
      <c r="L12" s="19">
        <v>79.17</v>
      </c>
      <c r="M12" s="19">
        <v>76.39</v>
      </c>
      <c r="N12" s="19">
        <v>88.84</v>
      </c>
      <c r="O12" s="19">
        <v>84.34</v>
      </c>
      <c r="P12" s="19">
        <v>85.84</v>
      </c>
      <c r="Q12" s="19">
        <v>82.83</v>
      </c>
      <c r="R12" s="19">
        <v>81.34</v>
      </c>
      <c r="S12" s="19">
        <v>85.84</v>
      </c>
      <c r="T12" s="19">
        <v>90.34</v>
      </c>
      <c r="U12" s="19">
        <v>93.34</v>
      </c>
      <c r="V12" s="19">
        <v>78.34</v>
      </c>
      <c r="W12" s="19">
        <v>96.34</v>
      </c>
      <c r="X12" s="19">
        <v>81.34</v>
      </c>
      <c r="Y12" s="19">
        <v>83.07</v>
      </c>
      <c r="Z12" s="19">
        <v>95.65</v>
      </c>
      <c r="AA12" s="19">
        <v>85.84</v>
      </c>
      <c r="AB12" s="19">
        <v>91.5</v>
      </c>
    </row>
    <row r="13" spans="1:33" x14ac:dyDescent="0.35">
      <c r="A13" t="s">
        <v>11</v>
      </c>
      <c r="B13" s="19">
        <f t="shared" si="0"/>
        <v>83.333333333333329</v>
      </c>
      <c r="C13" s="19">
        <v>70.84</v>
      </c>
      <c r="D13" s="19">
        <v>70.84</v>
      </c>
      <c r="E13" s="19">
        <v>77.78</v>
      </c>
      <c r="F13" s="19">
        <v>77.78</v>
      </c>
      <c r="G13" s="19">
        <v>77.78</v>
      </c>
      <c r="H13" s="19">
        <v>84.73</v>
      </c>
      <c r="I13" s="19">
        <v>77.78</v>
      </c>
      <c r="J13" s="19">
        <v>86.12</v>
      </c>
      <c r="K13" s="19">
        <f>(1800-12*25)/18</f>
        <v>83.333333333333329</v>
      </c>
      <c r="L13" s="19">
        <v>79.17</v>
      </c>
      <c r="M13" s="19">
        <v>76.39</v>
      </c>
      <c r="O13" s="19">
        <v>84.34</v>
      </c>
      <c r="P13" s="19">
        <v>85.84</v>
      </c>
      <c r="Q13" s="19">
        <v>82.83</v>
      </c>
      <c r="R13" s="19">
        <v>81.34</v>
      </c>
      <c r="S13" s="19">
        <v>85.84</v>
      </c>
      <c r="T13" s="19">
        <v>90.34</v>
      </c>
      <c r="U13" s="19">
        <v>93.34</v>
      </c>
      <c r="V13" s="19">
        <v>78.34</v>
      </c>
      <c r="W13" s="19">
        <v>96.34</v>
      </c>
      <c r="X13" s="19">
        <v>81.34</v>
      </c>
      <c r="Y13" s="19">
        <v>83.07</v>
      </c>
      <c r="Z13" s="19">
        <v>95.65</v>
      </c>
      <c r="AA13" s="19">
        <v>85.84</v>
      </c>
      <c r="AB13" s="21">
        <v>91.5</v>
      </c>
    </row>
    <row r="14" spans="1:33" x14ac:dyDescent="0.35">
      <c r="A14" t="s">
        <v>24</v>
      </c>
      <c r="B14" s="19">
        <f t="shared" si="0"/>
        <v>83.333333333333329</v>
      </c>
      <c r="C14" s="19">
        <v>70.84</v>
      </c>
      <c r="D14" s="19">
        <v>70.84</v>
      </c>
      <c r="E14" s="19">
        <v>77.78</v>
      </c>
      <c r="F14" s="19">
        <v>77.78</v>
      </c>
      <c r="G14" s="19">
        <v>77.78</v>
      </c>
      <c r="H14" s="19">
        <v>84.73</v>
      </c>
      <c r="I14" s="19">
        <v>77.78</v>
      </c>
      <c r="J14" s="19">
        <v>86.12</v>
      </c>
      <c r="K14" s="19">
        <f>(1800-12*25)/18</f>
        <v>83.333333333333329</v>
      </c>
      <c r="L14" s="19">
        <v>79.17</v>
      </c>
      <c r="M14" s="19">
        <v>76.39</v>
      </c>
      <c r="N14" s="19">
        <v>88.84</v>
      </c>
      <c r="O14" s="19">
        <v>84.34</v>
      </c>
      <c r="P14" s="19">
        <v>85.84</v>
      </c>
      <c r="Q14" s="19">
        <v>82.83</v>
      </c>
      <c r="R14" s="19">
        <v>81.34</v>
      </c>
      <c r="S14" s="19">
        <v>85.84</v>
      </c>
      <c r="T14" s="19">
        <v>90.34</v>
      </c>
      <c r="U14" s="19">
        <v>93.34</v>
      </c>
      <c r="V14" s="19">
        <v>78.34</v>
      </c>
      <c r="W14" s="19"/>
      <c r="X14" s="19"/>
      <c r="Y14" s="19"/>
    </row>
    <row r="15" spans="1:33" x14ac:dyDescent="0.35">
      <c r="A15" t="s">
        <v>81</v>
      </c>
      <c r="B15" s="19">
        <f t="shared" si="0"/>
        <v>83.333333333333329</v>
      </c>
      <c r="C15" s="19">
        <v>70.84</v>
      </c>
      <c r="D15" s="19">
        <v>70.84</v>
      </c>
      <c r="E15" s="19">
        <v>77.78</v>
      </c>
      <c r="F15" s="19">
        <v>77.78</v>
      </c>
      <c r="G15" s="19">
        <v>77.78</v>
      </c>
      <c r="H15" s="19">
        <v>84.73</v>
      </c>
      <c r="I15" s="19">
        <v>77.78</v>
      </c>
      <c r="J15" s="19">
        <v>86.12</v>
      </c>
      <c r="K15" s="19">
        <f>(1800-12*25)/18</f>
        <v>83.333333333333329</v>
      </c>
      <c r="L15" s="19"/>
      <c r="M15" s="19">
        <v>50</v>
      </c>
      <c r="N15" s="19">
        <v>88.84</v>
      </c>
      <c r="O15" s="19">
        <v>84.34</v>
      </c>
      <c r="P15" s="19">
        <v>85.84</v>
      </c>
      <c r="Q15" s="19">
        <v>82.83</v>
      </c>
      <c r="R15" s="19">
        <v>81.34</v>
      </c>
      <c r="S15" s="19">
        <v>85.84</v>
      </c>
      <c r="T15" s="19">
        <v>90.34</v>
      </c>
      <c r="U15" s="19">
        <v>93.34</v>
      </c>
      <c r="V15" s="19">
        <v>78.34</v>
      </c>
      <c r="W15" s="19">
        <v>96.34</v>
      </c>
      <c r="X15" s="19">
        <v>81.34</v>
      </c>
      <c r="Y15" s="19">
        <v>83.07</v>
      </c>
      <c r="Z15" s="19">
        <v>95.65</v>
      </c>
      <c r="AA15" s="19">
        <v>27</v>
      </c>
    </row>
    <row r="16" spans="1:33" x14ac:dyDescent="0.35">
      <c r="A16" t="s">
        <v>22</v>
      </c>
      <c r="B16" s="19">
        <f t="shared" si="0"/>
        <v>83.333333333333329</v>
      </c>
      <c r="C16" s="19">
        <v>70.84</v>
      </c>
      <c r="D16" s="19">
        <v>70.84</v>
      </c>
      <c r="E16" s="19">
        <v>77.78</v>
      </c>
      <c r="F16" s="19">
        <v>77.78</v>
      </c>
      <c r="G16" s="19">
        <v>77.78</v>
      </c>
      <c r="H16" s="19">
        <v>84.73</v>
      </c>
      <c r="I16" s="19">
        <v>77.78</v>
      </c>
      <c r="J16" s="19">
        <v>86.12</v>
      </c>
      <c r="M16" s="19">
        <v>76.39</v>
      </c>
      <c r="N16" s="19">
        <v>54</v>
      </c>
      <c r="O16" s="19">
        <v>84.34</v>
      </c>
      <c r="P16" s="19">
        <v>85.84</v>
      </c>
      <c r="Q16" s="19">
        <v>82.83</v>
      </c>
      <c r="R16" s="19">
        <v>81.34</v>
      </c>
      <c r="S16" s="19">
        <v>85.84</v>
      </c>
      <c r="T16" s="19">
        <v>27</v>
      </c>
      <c r="V16" s="19">
        <v>54</v>
      </c>
      <c r="W16" s="19">
        <v>27</v>
      </c>
      <c r="X16" s="19">
        <v>81.34</v>
      </c>
      <c r="Y16" s="19">
        <v>83.07</v>
      </c>
      <c r="AA16" s="19">
        <v>54</v>
      </c>
      <c r="AB16" s="19">
        <v>27</v>
      </c>
      <c r="AE16" s="30"/>
    </row>
    <row r="17" spans="1:46" x14ac:dyDescent="0.35">
      <c r="A17" t="s">
        <v>13</v>
      </c>
      <c r="B17" s="19">
        <f t="shared" si="0"/>
        <v>83.333333333333329</v>
      </c>
      <c r="C17" s="19">
        <v>70.84</v>
      </c>
      <c r="D17" s="19">
        <v>70.84</v>
      </c>
      <c r="E17" s="19">
        <v>77.78</v>
      </c>
      <c r="F17" s="19">
        <v>77.78</v>
      </c>
      <c r="G17" s="19">
        <v>77.78</v>
      </c>
      <c r="H17" s="19">
        <v>84.73</v>
      </c>
      <c r="I17" s="19"/>
      <c r="J17" s="19">
        <v>50</v>
      </c>
      <c r="K17" s="19">
        <f>(1800-12*25)/18</f>
        <v>83.333333333333329</v>
      </c>
      <c r="L17" s="19">
        <v>79.17</v>
      </c>
      <c r="M17" s="19">
        <v>76.39</v>
      </c>
      <c r="N17" s="19">
        <v>88.84</v>
      </c>
      <c r="O17" s="19">
        <v>84.34</v>
      </c>
      <c r="P17" s="19">
        <v>85.84</v>
      </c>
      <c r="Q17" s="19">
        <v>82.83</v>
      </c>
      <c r="R17" s="19">
        <f>27*2</f>
        <v>54</v>
      </c>
      <c r="S17" s="19"/>
      <c r="U17" s="19">
        <v>27</v>
      </c>
      <c r="Y17" s="19">
        <v>27</v>
      </c>
      <c r="AE17" s="30"/>
    </row>
    <row r="18" spans="1:46" x14ac:dyDescent="0.35">
      <c r="A18" t="s">
        <v>14</v>
      </c>
      <c r="B18" s="19">
        <f t="shared" si="0"/>
        <v>83.333333333333329</v>
      </c>
      <c r="C18" s="19">
        <v>70.84</v>
      </c>
      <c r="D18" s="19">
        <v>70.84</v>
      </c>
      <c r="E18" s="19">
        <v>77.78</v>
      </c>
      <c r="F18" s="19">
        <v>77.78</v>
      </c>
      <c r="G18" s="19">
        <v>77.78</v>
      </c>
      <c r="H18" s="19">
        <v>84.73</v>
      </c>
      <c r="I18" s="19">
        <v>77.78</v>
      </c>
      <c r="N18" s="19">
        <v>88.84</v>
      </c>
      <c r="O18" s="19">
        <v>84.34</v>
      </c>
      <c r="P18" s="19">
        <v>85.84</v>
      </c>
      <c r="Q18" s="19">
        <v>82.83</v>
      </c>
      <c r="R18" s="19">
        <v>81.34</v>
      </c>
      <c r="S18" s="19">
        <v>85.84</v>
      </c>
      <c r="T18" s="19">
        <v>90.34</v>
      </c>
      <c r="U18" s="19">
        <v>93.34</v>
      </c>
      <c r="V18" s="19">
        <v>78.34</v>
      </c>
      <c r="W18" s="19">
        <v>96.34</v>
      </c>
      <c r="X18" s="19">
        <v>81.34</v>
      </c>
      <c r="Y18" s="19">
        <v>83.07</v>
      </c>
      <c r="Z18" s="19">
        <v>95.65</v>
      </c>
      <c r="AA18" s="19">
        <v>85.84</v>
      </c>
      <c r="AB18" s="19">
        <v>91.5</v>
      </c>
      <c r="AL18" t="s">
        <v>157</v>
      </c>
    </row>
    <row r="19" spans="1:46" x14ac:dyDescent="0.35">
      <c r="A19" t="s">
        <v>15</v>
      </c>
      <c r="B19" s="19">
        <f t="shared" si="0"/>
        <v>83.333333333333329</v>
      </c>
      <c r="C19" s="19"/>
      <c r="D19" s="19"/>
      <c r="E19" s="22"/>
      <c r="F19" s="23">
        <f>F18/2</f>
        <v>38.89</v>
      </c>
      <c r="G19" s="19">
        <v>77.78</v>
      </c>
      <c r="H19" s="19">
        <v>84.73</v>
      </c>
      <c r="I19" s="19">
        <v>77.78</v>
      </c>
      <c r="J19" s="19">
        <v>86.12</v>
      </c>
      <c r="K19" s="19">
        <f>(1800-12*25)/18</f>
        <v>83.333333333333329</v>
      </c>
      <c r="L19" s="19">
        <v>79.17</v>
      </c>
      <c r="M19" s="19">
        <v>76.39</v>
      </c>
      <c r="N19" s="19">
        <v>88.84</v>
      </c>
      <c r="O19" s="19">
        <v>84.34</v>
      </c>
      <c r="P19" s="19">
        <v>85.84</v>
      </c>
      <c r="Q19" s="19">
        <v>82.83</v>
      </c>
      <c r="R19" s="19">
        <v>81.34</v>
      </c>
      <c r="S19" s="19">
        <v>85.84</v>
      </c>
      <c r="T19" s="19">
        <v>90.34</v>
      </c>
      <c r="U19" s="19">
        <v>93.34</v>
      </c>
      <c r="V19" s="19">
        <v>78.34</v>
      </c>
      <c r="W19" s="19">
        <f>48.17+27</f>
        <v>75.17</v>
      </c>
      <c r="X19" s="19">
        <v>81.34</v>
      </c>
      <c r="Y19" s="19">
        <v>27</v>
      </c>
      <c r="Z19" s="19">
        <v>95.65</v>
      </c>
      <c r="AA19" s="19">
        <v>85.84</v>
      </c>
      <c r="AB19" s="19">
        <v>27</v>
      </c>
    </row>
    <row r="20" spans="1:46" x14ac:dyDescent="0.35">
      <c r="A20" t="s">
        <v>43</v>
      </c>
      <c r="B20" s="19"/>
      <c r="C20" s="19">
        <v>70.84</v>
      </c>
      <c r="D20" s="19"/>
      <c r="E20" s="19">
        <v>38.89</v>
      </c>
      <c r="F20" s="23">
        <f>F18/2</f>
        <v>38.89</v>
      </c>
      <c r="G20" s="23"/>
      <c r="H20" s="23"/>
      <c r="I20" s="19">
        <v>25</v>
      </c>
      <c r="J20" s="19">
        <v>86.12</v>
      </c>
      <c r="K20" s="19">
        <f>(1800-12*25)/18</f>
        <v>83.333333333333329</v>
      </c>
      <c r="L20" s="19"/>
      <c r="M20" s="19">
        <v>75</v>
      </c>
      <c r="N20" s="19">
        <v>88.84</v>
      </c>
      <c r="O20" s="19">
        <v>84.34</v>
      </c>
      <c r="P20" s="19">
        <v>85.84</v>
      </c>
      <c r="Q20" s="19">
        <v>82.83</v>
      </c>
      <c r="R20" s="19">
        <v>81.34</v>
      </c>
      <c r="S20" s="19">
        <v>85.84</v>
      </c>
      <c r="T20" s="19">
        <v>27</v>
      </c>
      <c r="U20" s="19">
        <v>93.34</v>
      </c>
      <c r="V20" s="19">
        <v>78.34</v>
      </c>
      <c r="W20" s="19">
        <v>48.17</v>
      </c>
      <c r="X20" s="19"/>
      <c r="Y20" s="19"/>
      <c r="Z20" s="19">
        <v>81</v>
      </c>
      <c r="AA20" s="19">
        <v>85.84</v>
      </c>
      <c r="AB20" s="19">
        <v>91.5</v>
      </c>
    </row>
    <row r="21" spans="1:46" x14ac:dyDescent="0.35">
      <c r="A21" t="s">
        <v>16</v>
      </c>
      <c r="B21" s="19">
        <v>25</v>
      </c>
      <c r="C21" s="19"/>
      <c r="D21" s="19"/>
      <c r="E21" s="19">
        <v>25</v>
      </c>
      <c r="F21" s="19"/>
      <c r="G21" s="19">
        <v>50</v>
      </c>
      <c r="H21" s="19">
        <v>84.73</v>
      </c>
      <c r="I21" s="19">
        <v>25</v>
      </c>
      <c r="O21" s="19">
        <v>54</v>
      </c>
      <c r="P21" s="19"/>
      <c r="Q21" s="19"/>
      <c r="R21" s="19">
        <v>27</v>
      </c>
      <c r="S21" s="19"/>
    </row>
    <row r="22" spans="1:46" x14ac:dyDescent="0.35">
      <c r="A22" t="s">
        <v>17</v>
      </c>
      <c r="B22" s="19">
        <v>25</v>
      </c>
      <c r="C22" s="19"/>
      <c r="D22" s="19"/>
      <c r="E22" s="19">
        <v>50</v>
      </c>
      <c r="F22" s="19"/>
      <c r="G22" s="19"/>
      <c r="H22" s="19"/>
      <c r="I22" s="19"/>
    </row>
    <row r="23" spans="1:46" x14ac:dyDescent="0.35">
      <c r="A23" t="s">
        <v>42</v>
      </c>
      <c r="B23" s="19">
        <v>25</v>
      </c>
      <c r="C23" s="19"/>
      <c r="D23" s="19"/>
      <c r="E23" s="19">
        <v>25</v>
      </c>
      <c r="F23" s="19"/>
      <c r="G23" s="19"/>
      <c r="H23" s="19"/>
      <c r="I23" s="19"/>
      <c r="P23" s="19">
        <v>27</v>
      </c>
      <c r="Q23" s="19"/>
      <c r="R23" s="19">
        <v>27</v>
      </c>
      <c r="S23" s="19"/>
    </row>
    <row r="24" spans="1:46" x14ac:dyDescent="0.35">
      <c r="A24" t="s">
        <v>19</v>
      </c>
      <c r="B24" s="19">
        <v>50</v>
      </c>
      <c r="C24" s="19">
        <v>125</v>
      </c>
      <c r="D24" s="19">
        <v>100</v>
      </c>
      <c r="E24" s="19">
        <v>75</v>
      </c>
      <c r="F24" s="19">
        <v>77.78</v>
      </c>
      <c r="G24" s="19">
        <v>77.78</v>
      </c>
      <c r="H24" s="19">
        <v>84.73</v>
      </c>
      <c r="I24" s="19">
        <v>77.78</v>
      </c>
      <c r="J24" s="19">
        <v>86.12</v>
      </c>
      <c r="K24" s="19">
        <f>(1800-12*25)/18</f>
        <v>83.333333333333329</v>
      </c>
      <c r="L24" s="19">
        <v>79.17</v>
      </c>
      <c r="M24" s="19">
        <v>76.39</v>
      </c>
      <c r="N24" s="19">
        <v>88.84</v>
      </c>
      <c r="O24" s="19">
        <v>84.34</v>
      </c>
      <c r="P24" s="19">
        <v>85.84</v>
      </c>
      <c r="Q24" s="19">
        <v>82.83</v>
      </c>
      <c r="R24" s="19">
        <v>81.34</v>
      </c>
      <c r="S24" s="19"/>
      <c r="T24" s="19">
        <v>90.34</v>
      </c>
      <c r="U24" s="19">
        <v>93.34</v>
      </c>
      <c r="V24" s="19">
        <v>27</v>
      </c>
      <c r="W24" s="19"/>
      <c r="X24" s="19">
        <v>54</v>
      </c>
      <c r="Y24" s="19">
        <v>27</v>
      </c>
      <c r="AA24" s="19">
        <v>54</v>
      </c>
      <c r="AO24" s="33"/>
      <c r="AP24" s="33"/>
      <c r="AQ24" s="33"/>
      <c r="AR24" s="33"/>
      <c r="AS24" s="33"/>
    </row>
    <row r="25" spans="1:46" x14ac:dyDescent="0.35">
      <c r="A25" t="s">
        <v>20</v>
      </c>
      <c r="B25" s="19">
        <v>25</v>
      </c>
      <c r="C25" s="19">
        <v>25</v>
      </c>
      <c r="D25" s="19"/>
      <c r="E25" s="19"/>
      <c r="F25" s="19"/>
      <c r="G25" s="19"/>
      <c r="H25" s="19"/>
      <c r="I25" s="19">
        <v>25</v>
      </c>
      <c r="L25" s="19">
        <v>25</v>
      </c>
      <c r="AO25" s="33"/>
      <c r="AP25" s="33"/>
      <c r="AQ25" s="33"/>
      <c r="AR25" s="33"/>
      <c r="AS25" s="33"/>
    </row>
    <row r="26" spans="1:46" x14ac:dyDescent="0.35">
      <c r="A26" t="s">
        <v>21</v>
      </c>
      <c r="B26" s="19">
        <v>50</v>
      </c>
      <c r="C26" s="19">
        <v>25</v>
      </c>
      <c r="D26" s="19">
        <v>75</v>
      </c>
      <c r="E26" s="19"/>
      <c r="F26" s="19">
        <v>25</v>
      </c>
      <c r="G26" s="19"/>
      <c r="H26" s="19"/>
      <c r="I26" s="19"/>
      <c r="L26" s="19">
        <v>50</v>
      </c>
      <c r="M26" s="19">
        <v>25</v>
      </c>
      <c r="N26" s="19">
        <v>27</v>
      </c>
      <c r="O26" s="19"/>
      <c r="P26" s="19">
        <v>27</v>
      </c>
      <c r="Q26" s="19">
        <v>27</v>
      </c>
      <c r="R26" s="19">
        <f>27*2</f>
        <v>54</v>
      </c>
      <c r="S26" s="19">
        <v>27</v>
      </c>
      <c r="T26" s="22"/>
      <c r="U26" s="22"/>
      <c r="V26" s="19"/>
      <c r="W26" s="19">
        <v>48.17</v>
      </c>
      <c r="X26" s="19">
        <v>81.34</v>
      </c>
      <c r="Y26" s="19">
        <v>83.07</v>
      </c>
      <c r="Z26" s="19">
        <v>95.65</v>
      </c>
      <c r="AA26" s="19">
        <v>85.84</v>
      </c>
      <c r="AB26" s="19">
        <v>91.5</v>
      </c>
      <c r="AC26" s="19"/>
      <c r="AD26" s="19"/>
      <c r="AO26" s="33"/>
      <c r="AP26" s="33"/>
      <c r="AQ26" s="33"/>
      <c r="AR26" s="33"/>
      <c r="AS26" s="33"/>
    </row>
    <row r="27" spans="1:46" x14ac:dyDescent="0.35">
      <c r="A27" t="s">
        <v>23</v>
      </c>
      <c r="B27" s="19">
        <v>25</v>
      </c>
      <c r="C27" s="19">
        <v>25</v>
      </c>
      <c r="D27" s="19">
        <v>50</v>
      </c>
      <c r="E27" s="19"/>
      <c r="F27" s="19"/>
      <c r="G27" s="19"/>
      <c r="H27" s="19"/>
      <c r="I27" s="19"/>
      <c r="V27" s="19">
        <v>27</v>
      </c>
      <c r="W27" s="19"/>
      <c r="X27" s="19"/>
      <c r="Y27" s="19"/>
      <c r="AO27" s="33"/>
      <c r="AP27" s="33"/>
      <c r="AQ27" s="33"/>
      <c r="AR27" s="33"/>
      <c r="AS27" s="33"/>
    </row>
    <row r="28" spans="1:46" x14ac:dyDescent="0.35">
      <c r="A28" t="s">
        <v>12</v>
      </c>
      <c r="B28" s="19">
        <v>75</v>
      </c>
      <c r="C28" s="19">
        <v>50</v>
      </c>
      <c r="D28" s="19">
        <v>100</v>
      </c>
      <c r="E28" s="19">
        <v>25</v>
      </c>
      <c r="F28" s="19"/>
      <c r="G28" s="19"/>
      <c r="H28" s="19"/>
      <c r="I28" s="19">
        <v>25</v>
      </c>
      <c r="K28" s="19">
        <v>25</v>
      </c>
      <c r="L28" s="19"/>
      <c r="M28" s="22"/>
      <c r="N28" s="19">
        <v>27</v>
      </c>
      <c r="O28" s="19"/>
      <c r="P28" s="19"/>
      <c r="Q28" s="19"/>
      <c r="Y28" s="19">
        <v>27</v>
      </c>
      <c r="Z28" s="19">
        <v>27</v>
      </c>
      <c r="AA28" s="19">
        <v>27</v>
      </c>
      <c r="AO28" s="33"/>
      <c r="AP28" s="33"/>
      <c r="AQ28" s="33"/>
      <c r="AR28" s="33"/>
      <c r="AS28" s="33"/>
    </row>
    <row r="29" spans="1:46" x14ac:dyDescent="0.35">
      <c r="A29" t="s">
        <v>44</v>
      </c>
      <c r="C29" s="19">
        <v>75</v>
      </c>
      <c r="D29" s="19">
        <v>70.84</v>
      </c>
      <c r="E29" s="19">
        <v>38.89</v>
      </c>
      <c r="F29" s="19"/>
      <c r="G29" s="19"/>
      <c r="H29" s="19"/>
      <c r="I29" s="19"/>
      <c r="U29" s="21">
        <v>27</v>
      </c>
      <c r="AO29" s="33"/>
      <c r="AP29" s="33"/>
      <c r="AQ29" s="33"/>
      <c r="AR29" s="33"/>
      <c r="AS29" s="33"/>
      <c r="AT29" s="20"/>
    </row>
    <row r="30" spans="1:46" x14ac:dyDescent="0.35">
      <c r="A30" t="s">
        <v>45</v>
      </c>
      <c r="C30" s="19">
        <v>75</v>
      </c>
      <c r="D30" s="19">
        <v>75</v>
      </c>
      <c r="E30" s="19">
        <v>75</v>
      </c>
      <c r="F30" s="19">
        <v>25</v>
      </c>
      <c r="G30" s="19"/>
      <c r="H30" s="19"/>
      <c r="I30" s="19">
        <v>25</v>
      </c>
      <c r="J30" s="19">
        <v>43.06</v>
      </c>
      <c r="O30" s="19">
        <f>27*3</f>
        <v>81</v>
      </c>
      <c r="P30" s="19">
        <v>85.84</v>
      </c>
      <c r="Q30" s="19">
        <v>27</v>
      </c>
      <c r="R30" s="19">
        <v>81.34</v>
      </c>
      <c r="S30" s="19">
        <v>85.84</v>
      </c>
      <c r="T30" s="19">
        <v>90.34</v>
      </c>
      <c r="U30" s="19">
        <v>93.34</v>
      </c>
      <c r="V30" s="19">
        <v>78.34</v>
      </c>
      <c r="W30" s="19">
        <v>27</v>
      </c>
      <c r="X30" s="19">
        <v>27</v>
      </c>
      <c r="Y30" s="19">
        <v>83.07</v>
      </c>
      <c r="Z30" s="19">
        <v>95.65</v>
      </c>
    </row>
    <row r="31" spans="1:46" x14ac:dyDescent="0.35">
      <c r="A31" t="s">
        <v>46</v>
      </c>
      <c r="C31" s="19">
        <v>25</v>
      </c>
      <c r="D31" s="19"/>
      <c r="E31" s="19"/>
      <c r="F31" s="19"/>
      <c r="G31" s="19"/>
      <c r="H31" s="19"/>
      <c r="I31" s="19"/>
    </row>
    <row r="32" spans="1:46" x14ac:dyDescent="0.35">
      <c r="A32" t="s">
        <v>47</v>
      </c>
      <c r="C32" s="19">
        <v>25</v>
      </c>
      <c r="D32" s="19">
        <v>50</v>
      </c>
      <c r="E32" s="19">
        <v>25</v>
      </c>
      <c r="F32" s="19">
        <v>25</v>
      </c>
      <c r="G32" s="19"/>
      <c r="H32" s="19">
        <v>25</v>
      </c>
      <c r="I32" s="19"/>
      <c r="L32" s="19">
        <v>50</v>
      </c>
      <c r="M32" s="19">
        <v>50</v>
      </c>
      <c r="N32" s="19">
        <v>27</v>
      </c>
      <c r="O32" s="19">
        <v>27</v>
      </c>
      <c r="P32" s="19">
        <v>54</v>
      </c>
      <c r="Q32" s="19">
        <v>27</v>
      </c>
      <c r="R32" s="19">
        <f>27*2</f>
        <v>54</v>
      </c>
      <c r="S32" s="19">
        <v>27</v>
      </c>
      <c r="T32" s="19">
        <v>54</v>
      </c>
      <c r="U32" s="19">
        <v>54</v>
      </c>
      <c r="V32" s="19">
        <v>78.34</v>
      </c>
      <c r="W32" s="19">
        <v>96.34</v>
      </c>
      <c r="X32" s="19"/>
      <c r="Y32" s="19">
        <v>81</v>
      </c>
      <c r="AA32" s="19">
        <v>27</v>
      </c>
      <c r="AB32" s="19">
        <v>54</v>
      </c>
    </row>
    <row r="33" spans="1:29" x14ac:dyDescent="0.35">
      <c r="A33" t="s">
        <v>48</v>
      </c>
      <c r="C33" s="19">
        <v>25</v>
      </c>
      <c r="D33" s="19"/>
      <c r="E33" s="19"/>
      <c r="F33" s="19"/>
      <c r="G33" s="19">
        <v>25</v>
      </c>
      <c r="H33" s="19"/>
      <c r="I33" s="19">
        <v>25</v>
      </c>
    </row>
    <row r="34" spans="1:29" x14ac:dyDescent="0.35">
      <c r="A34" t="s">
        <v>170</v>
      </c>
      <c r="C34" s="19">
        <v>25</v>
      </c>
      <c r="D34" s="19">
        <v>25</v>
      </c>
      <c r="E34" s="19"/>
      <c r="F34" s="19"/>
      <c r="G34" s="19"/>
      <c r="H34" s="19"/>
      <c r="I34" s="19"/>
      <c r="K34" s="19">
        <v>25</v>
      </c>
      <c r="L34" s="19"/>
      <c r="O34" s="19">
        <v>54</v>
      </c>
      <c r="P34" s="19">
        <v>27</v>
      </c>
      <c r="Q34" s="19">
        <v>54</v>
      </c>
      <c r="W34" s="19">
        <v>96.34</v>
      </c>
      <c r="X34" s="19">
        <v>81.34</v>
      </c>
      <c r="Y34" s="19">
        <v>54</v>
      </c>
      <c r="Z34" s="19">
        <v>95.65</v>
      </c>
      <c r="AA34" s="19">
        <v>85.84</v>
      </c>
      <c r="AB34" s="19">
        <v>91.5</v>
      </c>
      <c r="AC34" s="21">
        <v>1</v>
      </c>
    </row>
    <row r="35" spans="1:29" x14ac:dyDescent="0.35">
      <c r="A35" t="s">
        <v>51</v>
      </c>
      <c r="C35" s="19">
        <v>25</v>
      </c>
      <c r="D35" s="19">
        <v>25</v>
      </c>
      <c r="E35" s="19"/>
      <c r="F35" s="19"/>
      <c r="G35" s="19"/>
      <c r="H35" s="19"/>
      <c r="I35" s="19"/>
      <c r="R35" s="19">
        <v>27</v>
      </c>
      <c r="S35" s="19"/>
      <c r="V35" s="19">
        <v>27</v>
      </c>
      <c r="W35" s="19"/>
      <c r="X35" s="19"/>
      <c r="Y35" s="19">
        <v>27</v>
      </c>
    </row>
    <row r="36" spans="1:29" x14ac:dyDescent="0.35">
      <c r="A36" t="s">
        <v>53</v>
      </c>
      <c r="C36" s="19"/>
      <c r="D36" s="19">
        <v>25</v>
      </c>
      <c r="E36" s="19"/>
      <c r="F36" s="19">
        <v>50</v>
      </c>
      <c r="G36" s="19"/>
      <c r="H36" s="19"/>
      <c r="I36" s="19"/>
      <c r="K36" s="19">
        <v>25</v>
      </c>
      <c r="L36" s="19"/>
      <c r="Z36" s="19">
        <v>27</v>
      </c>
    </row>
    <row r="37" spans="1:29" x14ac:dyDescent="0.35">
      <c r="A37" t="s">
        <v>54</v>
      </c>
      <c r="C37" s="19"/>
      <c r="D37" s="19"/>
      <c r="E37" s="19">
        <v>77.78</v>
      </c>
      <c r="F37" s="19">
        <v>77.78</v>
      </c>
      <c r="G37" s="19">
        <v>77.78</v>
      </c>
      <c r="H37" s="19">
        <v>84.73</v>
      </c>
      <c r="I37" s="19">
        <v>77.78</v>
      </c>
      <c r="L37" s="19">
        <v>79.17</v>
      </c>
      <c r="M37" s="19">
        <v>76.39</v>
      </c>
      <c r="N37" s="19">
        <v>88.84</v>
      </c>
      <c r="O37" s="19">
        <v>84.34</v>
      </c>
      <c r="P37" s="19">
        <v>85.84</v>
      </c>
      <c r="Q37" s="19">
        <v>82.83</v>
      </c>
      <c r="R37" s="19">
        <v>81.34</v>
      </c>
      <c r="S37" s="19">
        <v>27</v>
      </c>
      <c r="T37" s="19">
        <v>90.34</v>
      </c>
      <c r="W37" s="19">
        <v>24.09</v>
      </c>
      <c r="X37" s="19"/>
      <c r="Y37" s="19"/>
    </row>
    <row r="38" spans="1:29" x14ac:dyDescent="0.35">
      <c r="A38" t="s">
        <v>52</v>
      </c>
      <c r="C38" s="19"/>
      <c r="D38" s="19">
        <v>25</v>
      </c>
      <c r="E38" s="19"/>
      <c r="F38" s="19"/>
      <c r="G38" s="19"/>
      <c r="H38" s="19"/>
      <c r="I38" s="19">
        <v>25</v>
      </c>
      <c r="X38" s="19">
        <v>27</v>
      </c>
      <c r="Y38" s="19"/>
    </row>
    <row r="39" spans="1:29" x14ac:dyDescent="0.35">
      <c r="A39" t="s">
        <v>55</v>
      </c>
      <c r="C39" s="19"/>
      <c r="D39" s="19"/>
      <c r="E39" s="19">
        <v>25</v>
      </c>
      <c r="F39" s="19">
        <v>50</v>
      </c>
      <c r="G39" s="19">
        <v>75</v>
      </c>
      <c r="H39" s="19">
        <v>84.73</v>
      </c>
      <c r="I39" s="19">
        <v>77.78</v>
      </c>
      <c r="J39" s="19">
        <v>86.12</v>
      </c>
      <c r="K39" s="19">
        <f>(1800-12*25)/18</f>
        <v>83.333333333333329</v>
      </c>
      <c r="L39" s="19">
        <v>79.17</v>
      </c>
      <c r="M39" s="19">
        <v>76.39</v>
      </c>
      <c r="Q39" s="19">
        <v>27</v>
      </c>
      <c r="R39" s="19">
        <v>81.34</v>
      </c>
      <c r="S39" s="19">
        <v>85.84</v>
      </c>
      <c r="T39" s="19">
        <v>90.34</v>
      </c>
      <c r="U39" s="19">
        <v>93.34</v>
      </c>
      <c r="V39" s="19">
        <v>78.34</v>
      </c>
      <c r="W39" s="19">
        <v>96.34</v>
      </c>
      <c r="X39" s="19">
        <v>81.34</v>
      </c>
      <c r="Y39" s="19">
        <v>83.07</v>
      </c>
      <c r="Z39" s="19">
        <v>95.65</v>
      </c>
      <c r="AA39" s="19">
        <v>85.84</v>
      </c>
      <c r="AB39" s="19">
        <v>91.5</v>
      </c>
    </row>
    <row r="40" spans="1:29" x14ac:dyDescent="0.35">
      <c r="A40" t="s">
        <v>59</v>
      </c>
      <c r="C40" s="19"/>
      <c r="D40" s="19"/>
      <c r="E40" s="19">
        <v>25</v>
      </c>
      <c r="F40" s="19">
        <v>50</v>
      </c>
      <c r="G40" s="19"/>
      <c r="H40" s="19"/>
      <c r="I40" s="19"/>
      <c r="S40" s="19">
        <v>27</v>
      </c>
      <c r="W40" s="19">
        <v>27</v>
      </c>
      <c r="X40" s="19"/>
      <c r="Y40" s="19"/>
    </row>
    <row r="41" spans="1:29" x14ac:dyDescent="0.35">
      <c r="A41" t="s">
        <v>60</v>
      </c>
      <c r="C41" s="19"/>
      <c r="D41" s="19"/>
      <c r="E41" s="19">
        <v>25</v>
      </c>
      <c r="F41" s="19">
        <v>75</v>
      </c>
      <c r="G41" s="19"/>
      <c r="H41" s="19"/>
      <c r="I41" s="19"/>
    </row>
    <row r="42" spans="1:29" x14ac:dyDescent="0.35">
      <c r="A42" t="s">
        <v>65</v>
      </c>
      <c r="C42" s="19"/>
      <c r="D42" s="19"/>
      <c r="E42" s="19"/>
      <c r="F42" s="19">
        <v>50</v>
      </c>
      <c r="G42" s="19">
        <v>25</v>
      </c>
      <c r="H42" s="19">
        <v>50</v>
      </c>
      <c r="I42" s="19">
        <v>50</v>
      </c>
      <c r="K42" s="19">
        <v>50</v>
      </c>
      <c r="L42" s="19">
        <v>79.17</v>
      </c>
      <c r="M42" s="19">
        <v>76.39</v>
      </c>
      <c r="N42" s="19">
        <v>88.84</v>
      </c>
      <c r="O42" s="19"/>
      <c r="P42" s="19"/>
      <c r="Q42" s="19"/>
      <c r="R42" s="19">
        <v>27</v>
      </c>
      <c r="S42" s="19"/>
      <c r="T42" s="19">
        <v>27</v>
      </c>
      <c r="U42" s="19">
        <v>27</v>
      </c>
      <c r="V42" s="19">
        <v>27</v>
      </c>
      <c r="W42" s="19">
        <v>27</v>
      </c>
      <c r="X42" s="19">
        <v>27</v>
      </c>
      <c r="Y42" s="19">
        <v>54</v>
      </c>
      <c r="AA42" s="19">
        <v>54</v>
      </c>
    </row>
    <row r="43" spans="1:29" x14ac:dyDescent="0.35">
      <c r="A43" t="s">
        <v>62</v>
      </c>
      <c r="C43" s="19"/>
      <c r="D43" s="19"/>
      <c r="E43" s="19"/>
      <c r="F43" s="19">
        <v>75</v>
      </c>
      <c r="G43" s="19"/>
      <c r="H43" s="19"/>
      <c r="I43" s="19"/>
      <c r="J43" s="19">
        <v>25</v>
      </c>
      <c r="M43" s="19">
        <v>25</v>
      </c>
      <c r="P43" s="19">
        <f>3*27</f>
        <v>81</v>
      </c>
      <c r="Q43" s="19">
        <v>54</v>
      </c>
      <c r="S43" s="19">
        <v>54</v>
      </c>
      <c r="U43" s="19">
        <v>27</v>
      </c>
      <c r="V43" s="19">
        <v>27</v>
      </c>
      <c r="W43" s="19">
        <v>27</v>
      </c>
      <c r="X43" s="19">
        <v>27</v>
      </c>
      <c r="Y43" s="19">
        <v>54</v>
      </c>
      <c r="AB43" s="21">
        <v>27</v>
      </c>
    </row>
    <row r="44" spans="1:29" x14ac:dyDescent="0.35">
      <c r="A44" t="s">
        <v>67</v>
      </c>
      <c r="C44" s="19"/>
      <c r="D44" s="19"/>
      <c r="E44" s="19"/>
      <c r="F44" s="19">
        <v>25</v>
      </c>
      <c r="G44" s="19">
        <v>75</v>
      </c>
      <c r="H44" s="19">
        <v>25</v>
      </c>
      <c r="I44" s="19">
        <v>50</v>
      </c>
      <c r="J44" s="19">
        <v>50</v>
      </c>
      <c r="K44" s="19">
        <v>50</v>
      </c>
      <c r="L44" s="19">
        <v>25</v>
      </c>
      <c r="M44" s="19">
        <v>25</v>
      </c>
      <c r="N44" s="19">
        <v>27</v>
      </c>
      <c r="O44" s="19"/>
      <c r="P44" s="19">
        <v>54</v>
      </c>
      <c r="Q44" s="19"/>
      <c r="R44" s="19">
        <v>29</v>
      </c>
      <c r="S44" s="19"/>
      <c r="Z44" s="19">
        <v>54</v>
      </c>
    </row>
    <row r="45" spans="1:29" x14ac:dyDescent="0.35">
      <c r="A45" t="s">
        <v>76</v>
      </c>
      <c r="C45" s="19"/>
      <c r="D45" s="19"/>
      <c r="E45" s="19"/>
      <c r="F45" s="19"/>
      <c r="G45" s="19">
        <v>25</v>
      </c>
      <c r="H45" s="19"/>
      <c r="I45" s="19"/>
    </row>
    <row r="46" spans="1:29" x14ac:dyDescent="0.35">
      <c r="A46" s="26" t="s">
        <v>107</v>
      </c>
      <c r="C46" s="19"/>
      <c r="D46" s="19"/>
      <c r="E46" s="19"/>
      <c r="F46" s="19"/>
      <c r="G46" s="19">
        <v>25</v>
      </c>
      <c r="H46" s="19"/>
      <c r="I46" s="19"/>
      <c r="K46" s="25">
        <v>25</v>
      </c>
    </row>
    <row r="47" spans="1:29" x14ac:dyDescent="0.35">
      <c r="A47" t="s">
        <v>80</v>
      </c>
      <c r="C47" s="19"/>
      <c r="D47" s="19"/>
      <c r="E47" s="19"/>
      <c r="F47" s="19"/>
      <c r="G47" s="19">
        <v>25</v>
      </c>
      <c r="H47" s="19">
        <v>25</v>
      </c>
      <c r="I47" s="19"/>
      <c r="L47" s="19">
        <v>25</v>
      </c>
      <c r="T47" s="19">
        <v>27</v>
      </c>
      <c r="U47" s="19">
        <v>27</v>
      </c>
      <c r="V47" s="19">
        <v>78.34</v>
      </c>
      <c r="W47" s="19">
        <v>96.34</v>
      </c>
      <c r="X47" s="19">
        <v>81.34</v>
      </c>
      <c r="Y47" s="19">
        <v>27</v>
      </c>
      <c r="AB47" s="19">
        <v>54</v>
      </c>
    </row>
    <row r="48" spans="1:29" x14ac:dyDescent="0.35">
      <c r="A48" t="s">
        <v>139</v>
      </c>
      <c r="C48" s="19"/>
      <c r="D48" s="19"/>
      <c r="E48" s="19"/>
      <c r="F48" s="19"/>
      <c r="G48" s="19">
        <v>25</v>
      </c>
      <c r="H48" s="19"/>
      <c r="I48" s="19"/>
      <c r="V48" s="19">
        <v>27</v>
      </c>
    </row>
    <row r="49" spans="1:28" x14ac:dyDescent="0.35">
      <c r="A49" t="s">
        <v>79</v>
      </c>
      <c r="G49" s="19">
        <v>25</v>
      </c>
      <c r="H49" s="19"/>
      <c r="I49" s="19"/>
    </row>
    <row r="50" spans="1:28" x14ac:dyDescent="0.35">
      <c r="A50" t="s">
        <v>82</v>
      </c>
      <c r="G50" s="19"/>
      <c r="H50" s="19">
        <v>25</v>
      </c>
      <c r="I50" s="19"/>
    </row>
    <row r="51" spans="1:28" x14ac:dyDescent="0.35">
      <c r="A51" t="s">
        <v>85</v>
      </c>
      <c r="G51" s="19"/>
      <c r="H51" s="19">
        <v>25</v>
      </c>
      <c r="I51" s="19"/>
    </row>
    <row r="52" spans="1:28" x14ac:dyDescent="0.35">
      <c r="A52" t="s">
        <v>84</v>
      </c>
      <c r="G52" s="19"/>
      <c r="H52" s="19">
        <v>25</v>
      </c>
      <c r="I52" s="19">
        <v>50</v>
      </c>
    </row>
    <row r="53" spans="1:28" x14ac:dyDescent="0.35">
      <c r="A53" t="s">
        <v>83</v>
      </c>
      <c r="G53" s="19"/>
      <c r="H53" s="19">
        <v>50</v>
      </c>
      <c r="I53" s="19">
        <v>77.78</v>
      </c>
      <c r="J53" s="19">
        <v>86.12</v>
      </c>
      <c r="K53" s="19">
        <f>(1800-12*25)/18</f>
        <v>83.333333333333329</v>
      </c>
      <c r="L53" s="19">
        <v>79.17</v>
      </c>
      <c r="M53" s="19">
        <v>76.39</v>
      </c>
      <c r="N53" s="19">
        <v>88.84</v>
      </c>
      <c r="O53" s="19">
        <v>84.34</v>
      </c>
      <c r="P53" s="19">
        <v>54</v>
      </c>
      <c r="Q53" s="19">
        <v>83</v>
      </c>
      <c r="R53" s="19">
        <f>27*2</f>
        <v>54</v>
      </c>
      <c r="S53" s="19">
        <v>85.84</v>
      </c>
      <c r="T53" s="19">
        <v>54</v>
      </c>
      <c r="U53" s="19">
        <v>93.34</v>
      </c>
      <c r="V53" s="19">
        <v>78.34</v>
      </c>
      <c r="W53" s="19">
        <v>96.34</v>
      </c>
      <c r="X53" s="19">
        <v>81.34</v>
      </c>
      <c r="Y53" s="19">
        <v>83.07</v>
      </c>
      <c r="Z53" s="19">
        <v>95.65</v>
      </c>
      <c r="AA53" s="19">
        <v>85.84</v>
      </c>
      <c r="AB53" s="19">
        <v>91.5</v>
      </c>
    </row>
    <row r="54" spans="1:28" x14ac:dyDescent="0.35">
      <c r="A54" t="s">
        <v>95</v>
      </c>
      <c r="G54" s="19"/>
      <c r="H54" s="19"/>
      <c r="I54" s="19"/>
      <c r="J54" s="19">
        <v>25</v>
      </c>
      <c r="K54" s="19">
        <v>62.5</v>
      </c>
      <c r="L54" s="19">
        <v>79.17</v>
      </c>
      <c r="W54" s="19">
        <v>27</v>
      </c>
      <c r="X54" s="19"/>
      <c r="Y54" s="19"/>
    </row>
    <row r="55" spans="1:28" x14ac:dyDescent="0.35">
      <c r="A55" t="s">
        <v>94</v>
      </c>
      <c r="G55" s="19"/>
      <c r="H55" s="19"/>
      <c r="I55" s="19"/>
      <c r="J55" s="19">
        <v>25</v>
      </c>
      <c r="M55" s="19">
        <v>25</v>
      </c>
    </row>
    <row r="56" spans="1:28" x14ac:dyDescent="0.35">
      <c r="A56" t="s">
        <v>98</v>
      </c>
      <c r="G56" s="19"/>
      <c r="H56" s="19"/>
      <c r="I56" s="19"/>
      <c r="J56" s="19">
        <v>25</v>
      </c>
      <c r="L56" s="19">
        <v>50</v>
      </c>
      <c r="M56" s="19">
        <v>25</v>
      </c>
    </row>
    <row r="57" spans="1:28" x14ac:dyDescent="0.35">
      <c r="A57" t="s">
        <v>97</v>
      </c>
      <c r="G57"/>
      <c r="H57"/>
      <c r="I57"/>
      <c r="K57" s="19">
        <v>25</v>
      </c>
      <c r="L57" s="19"/>
      <c r="N57" s="19">
        <v>27</v>
      </c>
      <c r="O57" s="19"/>
      <c r="P57" s="19"/>
      <c r="Q57" s="19"/>
      <c r="V57" s="19">
        <v>27</v>
      </c>
      <c r="W57" s="19"/>
      <c r="X57" s="19">
        <v>27</v>
      </c>
      <c r="Y57" s="19">
        <v>27</v>
      </c>
    </row>
    <row r="58" spans="1:28" x14ac:dyDescent="0.35">
      <c r="A58" t="s">
        <v>99</v>
      </c>
      <c r="G58"/>
      <c r="H58"/>
      <c r="I58"/>
      <c r="K58" s="19">
        <v>25</v>
      </c>
      <c r="L58" s="19"/>
      <c r="V58" s="19">
        <v>54</v>
      </c>
      <c r="W58" s="19">
        <v>96.34</v>
      </c>
      <c r="X58" s="19">
        <v>27</v>
      </c>
      <c r="Y58" s="19"/>
    </row>
    <row r="59" spans="1:28" x14ac:dyDescent="0.35">
      <c r="A59" t="s">
        <v>100</v>
      </c>
      <c r="G59"/>
      <c r="H59"/>
      <c r="I59"/>
      <c r="K59" s="19">
        <v>50</v>
      </c>
      <c r="L59" s="19">
        <v>79.17</v>
      </c>
      <c r="M59" s="19">
        <v>75</v>
      </c>
      <c r="N59" s="19">
        <v>88.84</v>
      </c>
      <c r="O59" s="19">
        <f>27*3</f>
        <v>81</v>
      </c>
      <c r="P59" s="19"/>
      <c r="Q59" s="19"/>
      <c r="S59" s="19">
        <v>81</v>
      </c>
    </row>
    <row r="60" spans="1:28" x14ac:dyDescent="0.35">
      <c r="A60" t="s">
        <v>101</v>
      </c>
      <c r="G60"/>
      <c r="H60"/>
      <c r="I60"/>
      <c r="K60" s="19">
        <v>25</v>
      </c>
      <c r="L60" s="19"/>
    </row>
    <row r="61" spans="1:28" x14ac:dyDescent="0.35">
      <c r="A61" t="s">
        <v>108</v>
      </c>
      <c r="G61"/>
      <c r="H61"/>
      <c r="I61"/>
      <c r="K61" s="19"/>
      <c r="L61" s="19">
        <v>25</v>
      </c>
    </row>
    <row r="62" spans="1:28" x14ac:dyDescent="0.35">
      <c r="A62" t="s">
        <v>110</v>
      </c>
      <c r="L62" s="19">
        <v>25</v>
      </c>
    </row>
    <row r="63" spans="1:28" x14ac:dyDescent="0.35">
      <c r="A63" t="s">
        <v>106</v>
      </c>
      <c r="L63" s="19">
        <v>25</v>
      </c>
    </row>
    <row r="64" spans="1:28" x14ac:dyDescent="0.35">
      <c r="A64" t="s">
        <v>104</v>
      </c>
      <c r="L64" s="19">
        <v>25</v>
      </c>
    </row>
    <row r="65" spans="1:28" x14ac:dyDescent="0.35">
      <c r="A65" t="s">
        <v>114</v>
      </c>
      <c r="L65" s="19"/>
      <c r="M65" s="19">
        <v>25</v>
      </c>
      <c r="U65" s="19">
        <v>27</v>
      </c>
    </row>
    <row r="66" spans="1:28" x14ac:dyDescent="0.35">
      <c r="A66" t="s">
        <v>112</v>
      </c>
      <c r="L66" s="19"/>
      <c r="M66" s="19">
        <v>25</v>
      </c>
      <c r="O66" s="19">
        <v>27</v>
      </c>
      <c r="P66" s="19"/>
      <c r="Q66" s="19">
        <v>27</v>
      </c>
      <c r="S66" s="19">
        <v>27</v>
      </c>
    </row>
    <row r="67" spans="1:28" x14ac:dyDescent="0.35">
      <c r="A67" t="s">
        <v>115</v>
      </c>
      <c r="L67" s="19"/>
      <c r="M67" s="19"/>
      <c r="N67" s="19">
        <v>27</v>
      </c>
      <c r="O67" s="19"/>
      <c r="P67" s="19">
        <v>27</v>
      </c>
      <c r="Q67" s="19"/>
      <c r="W67" s="19">
        <v>72.260000000000005</v>
      </c>
      <c r="X67" s="19"/>
      <c r="Y67" s="19"/>
    </row>
    <row r="68" spans="1:28" x14ac:dyDescent="0.35">
      <c r="A68" t="s">
        <v>116</v>
      </c>
      <c r="L68" s="19"/>
      <c r="M68" s="19"/>
      <c r="N68" s="19">
        <v>27</v>
      </c>
      <c r="O68" s="19"/>
      <c r="P68" s="19"/>
      <c r="Q68" s="19"/>
    </row>
    <row r="69" spans="1:28" x14ac:dyDescent="0.35">
      <c r="A69" t="s">
        <v>117</v>
      </c>
      <c r="L69" s="19"/>
      <c r="M69" s="19"/>
      <c r="N69" s="19">
        <v>27</v>
      </c>
      <c r="O69" s="19"/>
      <c r="P69" s="19"/>
      <c r="Q69" s="19"/>
    </row>
    <row r="70" spans="1:28" x14ac:dyDescent="0.35">
      <c r="A70" t="s">
        <v>119</v>
      </c>
      <c r="O70" s="19">
        <v>27</v>
      </c>
      <c r="P70" s="19"/>
      <c r="Q70" s="19"/>
      <c r="R70" s="19">
        <v>27</v>
      </c>
      <c r="S70" s="19"/>
      <c r="V70" s="19">
        <v>27</v>
      </c>
      <c r="W70" s="19"/>
      <c r="X70" s="19"/>
      <c r="Y70" s="19"/>
    </row>
    <row r="71" spans="1:28" x14ac:dyDescent="0.35">
      <c r="A71" t="s">
        <v>120</v>
      </c>
      <c r="O71" s="19">
        <v>54</v>
      </c>
      <c r="P71" s="19"/>
      <c r="Q71" s="19"/>
    </row>
    <row r="72" spans="1:28" x14ac:dyDescent="0.35">
      <c r="A72" t="s">
        <v>127</v>
      </c>
      <c r="O72" s="19"/>
      <c r="P72" s="19"/>
      <c r="Q72" s="19">
        <v>81</v>
      </c>
      <c r="R72" s="19">
        <f>27*2</f>
        <v>54</v>
      </c>
      <c r="S72" s="19">
        <v>54</v>
      </c>
      <c r="W72" s="19">
        <v>27</v>
      </c>
      <c r="X72" s="19">
        <v>81.34</v>
      </c>
      <c r="Y72" s="19">
        <v>83.07</v>
      </c>
      <c r="Z72" s="19">
        <v>95.65</v>
      </c>
      <c r="AA72" s="19">
        <v>85.84</v>
      </c>
      <c r="AB72" s="19">
        <v>91.5</v>
      </c>
    </row>
    <row r="73" spans="1:28" x14ac:dyDescent="0.35">
      <c r="A73" t="s">
        <v>125</v>
      </c>
      <c r="O73" s="19"/>
      <c r="P73" s="19"/>
      <c r="Q73" s="19">
        <v>27</v>
      </c>
    </row>
    <row r="74" spans="1:28" x14ac:dyDescent="0.35">
      <c r="A74" t="s">
        <v>126</v>
      </c>
      <c r="O74" s="19"/>
      <c r="P74" s="19"/>
      <c r="Q74" s="19">
        <v>27</v>
      </c>
    </row>
    <row r="75" spans="1:28" x14ac:dyDescent="0.35">
      <c r="A75" t="s">
        <v>128</v>
      </c>
      <c r="O75" s="19"/>
      <c r="P75" s="19"/>
      <c r="Q75" s="19"/>
      <c r="R75" s="19">
        <v>27</v>
      </c>
      <c r="S75" s="19"/>
    </row>
    <row r="76" spans="1:28" x14ac:dyDescent="0.35">
      <c r="A76" t="s">
        <v>129</v>
      </c>
      <c r="O76" s="19"/>
      <c r="P76" s="19"/>
      <c r="Q76" s="19"/>
      <c r="R76" s="19"/>
      <c r="S76" s="19">
        <v>54</v>
      </c>
      <c r="T76" s="19">
        <v>27</v>
      </c>
      <c r="U76" s="19">
        <v>27</v>
      </c>
      <c r="V76" s="19">
        <v>54</v>
      </c>
      <c r="W76" s="19">
        <v>96.34</v>
      </c>
      <c r="X76" s="19">
        <v>81.34</v>
      </c>
      <c r="Y76"/>
    </row>
    <row r="77" spans="1:28" x14ac:dyDescent="0.35">
      <c r="A77" t="s">
        <v>131</v>
      </c>
      <c r="O77" s="19"/>
      <c r="P77" s="19"/>
      <c r="Q77" s="19"/>
      <c r="R77" s="19"/>
      <c r="S77" s="19">
        <v>27</v>
      </c>
      <c r="T77" s="19">
        <v>27</v>
      </c>
      <c r="Y77"/>
      <c r="AB77" s="21">
        <v>27</v>
      </c>
    </row>
    <row r="78" spans="1:28" x14ac:dyDescent="0.35">
      <c r="A78" t="s">
        <v>132</v>
      </c>
      <c r="O78" s="19"/>
      <c r="P78" s="19"/>
      <c r="Q78" s="19"/>
      <c r="R78" s="19"/>
      <c r="S78" s="19"/>
      <c r="T78" s="19">
        <v>27</v>
      </c>
      <c r="Y78"/>
    </row>
    <row r="79" spans="1:28" x14ac:dyDescent="0.35">
      <c r="A79" t="s">
        <v>133</v>
      </c>
      <c r="O79" s="19"/>
      <c r="P79" s="19"/>
      <c r="Q79" s="19"/>
      <c r="R79" s="19"/>
      <c r="S79" s="19"/>
      <c r="T79" s="19">
        <v>27</v>
      </c>
      <c r="Y79"/>
    </row>
    <row r="80" spans="1:28" x14ac:dyDescent="0.35">
      <c r="A80" t="s">
        <v>136</v>
      </c>
      <c r="O80" s="19"/>
      <c r="P80" s="19"/>
      <c r="Q80" s="19"/>
      <c r="R80" s="19"/>
      <c r="S80" s="19"/>
      <c r="T80" s="19"/>
      <c r="U80" s="19">
        <v>27</v>
      </c>
      <c r="V80" s="19">
        <v>27</v>
      </c>
      <c r="X80" s="19">
        <v>27</v>
      </c>
      <c r="Y80" s="19">
        <v>83.07</v>
      </c>
    </row>
    <row r="81" spans="1:28" x14ac:dyDescent="0.35">
      <c r="A81" t="s">
        <v>138</v>
      </c>
      <c r="O81" s="19"/>
      <c r="P81" s="19"/>
      <c r="Q81" s="19"/>
      <c r="R81" s="19"/>
      <c r="S81" s="19"/>
      <c r="T81" s="19"/>
      <c r="U81" s="19"/>
      <c r="V81" s="19">
        <f>27*3</f>
        <v>81</v>
      </c>
      <c r="Y81"/>
    </row>
    <row r="82" spans="1:28" x14ac:dyDescent="0.35">
      <c r="A82" t="s">
        <v>140</v>
      </c>
      <c r="O82" s="19"/>
      <c r="P82" s="19"/>
      <c r="Q82" s="19"/>
      <c r="R82" s="19"/>
      <c r="S82" s="19"/>
      <c r="T82" s="19"/>
      <c r="U82" s="19"/>
      <c r="V82" s="19">
        <v>27</v>
      </c>
      <c r="Y82"/>
    </row>
    <row r="83" spans="1:28" x14ac:dyDescent="0.35">
      <c r="A83" t="s">
        <v>142</v>
      </c>
      <c r="O83" s="19"/>
      <c r="P83" s="19"/>
      <c r="Q83" s="19"/>
      <c r="R83" s="19"/>
      <c r="S83" s="19"/>
      <c r="T83" s="19"/>
      <c r="U83" s="19"/>
      <c r="V83" s="19">
        <v>27</v>
      </c>
      <c r="Y83"/>
    </row>
    <row r="84" spans="1:28" x14ac:dyDescent="0.35">
      <c r="A84" t="s">
        <v>151</v>
      </c>
      <c r="O84" s="19"/>
      <c r="P84" s="19"/>
      <c r="Q84" s="19"/>
      <c r="R84" s="19"/>
      <c r="S84" s="19"/>
      <c r="T84" s="19"/>
      <c r="U84" s="19"/>
      <c r="V84" s="19"/>
      <c r="X84" s="19">
        <v>81.34</v>
      </c>
      <c r="Y84" s="19">
        <v>83.07</v>
      </c>
      <c r="Z84" s="19">
        <v>95.65</v>
      </c>
      <c r="AA84" s="19">
        <v>85.84</v>
      </c>
      <c r="AB84" s="21">
        <v>91.5</v>
      </c>
    </row>
    <row r="85" spans="1:28" x14ac:dyDescent="0.35">
      <c r="A85" t="s">
        <v>148</v>
      </c>
      <c r="O85" s="19"/>
      <c r="P85" s="19"/>
      <c r="Q85" s="19"/>
      <c r="R85" s="19"/>
      <c r="S85" s="19"/>
      <c r="T85" s="19"/>
      <c r="U85" s="19"/>
      <c r="V85" s="19"/>
      <c r="X85" s="19">
        <v>81</v>
      </c>
      <c r="Y85" s="19">
        <v>54</v>
      </c>
      <c r="Z85" s="19">
        <v>27</v>
      </c>
      <c r="AA85" s="19">
        <v>85.84</v>
      </c>
      <c r="AB85" s="21">
        <v>27</v>
      </c>
    </row>
    <row r="86" spans="1:28" x14ac:dyDescent="0.35">
      <c r="A86" t="s">
        <v>143</v>
      </c>
      <c r="O86" s="19"/>
      <c r="P86" s="19"/>
      <c r="Q86" s="19"/>
      <c r="R86" s="19"/>
      <c r="S86" s="19"/>
      <c r="T86" s="19"/>
      <c r="U86" s="19"/>
      <c r="V86" s="19"/>
      <c r="X86" s="19">
        <v>81</v>
      </c>
      <c r="Y86" s="19">
        <v>81</v>
      </c>
      <c r="Z86" s="19">
        <v>27</v>
      </c>
    </row>
    <row r="87" spans="1:28" x14ac:dyDescent="0.35">
      <c r="A87" t="s">
        <v>144</v>
      </c>
      <c r="O87" s="19"/>
      <c r="P87" s="19"/>
      <c r="Q87" s="19"/>
      <c r="R87" s="19"/>
      <c r="S87" s="19"/>
      <c r="T87" s="19"/>
      <c r="U87" s="19"/>
      <c r="V87" s="19"/>
      <c r="X87" s="19">
        <v>27</v>
      </c>
      <c r="Y87"/>
    </row>
    <row r="88" spans="1:28" x14ac:dyDescent="0.35">
      <c r="A88" t="s">
        <v>145</v>
      </c>
      <c r="O88" s="19"/>
      <c r="P88" s="19"/>
      <c r="Q88" s="19"/>
      <c r="R88" s="19"/>
      <c r="S88" s="19"/>
      <c r="T88" s="19"/>
      <c r="U88" s="19"/>
      <c r="V88" s="19"/>
      <c r="X88" s="19">
        <v>27</v>
      </c>
      <c r="Y88"/>
    </row>
    <row r="89" spans="1:28" x14ac:dyDescent="0.35">
      <c r="A89" t="s">
        <v>146</v>
      </c>
      <c r="O89" s="19"/>
      <c r="P89" s="19"/>
      <c r="Q89" s="19"/>
      <c r="R89" s="19"/>
      <c r="S89" s="19"/>
      <c r="T89" s="19"/>
      <c r="U89" s="19"/>
      <c r="V89" s="19"/>
      <c r="X89"/>
      <c r="Y89" s="21">
        <v>27</v>
      </c>
      <c r="Z89" s="21">
        <v>27</v>
      </c>
    </row>
    <row r="90" spans="1:28" x14ac:dyDescent="0.35">
      <c r="A90" t="s">
        <v>147</v>
      </c>
      <c r="O90" s="19"/>
      <c r="P90" s="19"/>
      <c r="Q90" s="19"/>
      <c r="R90" s="19"/>
      <c r="S90" s="19"/>
      <c r="T90" s="19"/>
      <c r="U90" s="19"/>
      <c r="V90" s="19"/>
      <c r="X90"/>
      <c r="Y90" s="19">
        <v>27</v>
      </c>
    </row>
    <row r="91" spans="1:28" x14ac:dyDescent="0.35">
      <c r="A91" t="s">
        <v>149</v>
      </c>
      <c r="O91" s="19"/>
      <c r="P91" s="19"/>
      <c r="Q91" s="19"/>
      <c r="R91" s="19"/>
      <c r="S91" s="19"/>
      <c r="T91" s="19"/>
      <c r="U91" s="19"/>
      <c r="V91" s="19"/>
      <c r="X91"/>
      <c r="Y91" s="19"/>
      <c r="Z91" s="19">
        <v>54</v>
      </c>
      <c r="AA91" s="19">
        <v>85.84</v>
      </c>
      <c r="AB91" s="19">
        <v>91.5</v>
      </c>
    </row>
    <row r="92" spans="1:28" x14ac:dyDescent="0.35">
      <c r="A92" t="s">
        <v>152</v>
      </c>
      <c r="O92" s="19"/>
      <c r="P92" s="19"/>
      <c r="Q92" s="19"/>
      <c r="R92" s="19"/>
      <c r="S92" s="19"/>
      <c r="T92" s="19"/>
      <c r="U92" s="19"/>
      <c r="V92" s="19"/>
      <c r="X92"/>
      <c r="Y92" s="19"/>
      <c r="Z92" s="19"/>
      <c r="AA92" s="19">
        <v>27</v>
      </c>
      <c r="AB92" s="19">
        <v>27</v>
      </c>
    </row>
    <row r="93" spans="1:28" x14ac:dyDescent="0.35">
      <c r="A93" t="s">
        <v>156</v>
      </c>
      <c r="O93" s="19"/>
      <c r="P93" s="19"/>
      <c r="Q93" s="19"/>
      <c r="R93" s="19"/>
      <c r="S93" s="19"/>
      <c r="T93" s="19"/>
      <c r="U93" s="19"/>
      <c r="V93" s="19"/>
      <c r="X93"/>
      <c r="Y93" s="19"/>
      <c r="Z93" s="19"/>
      <c r="AA93" s="19">
        <v>27</v>
      </c>
    </row>
    <row r="94" spans="1:28" x14ac:dyDescent="0.35">
      <c r="A94" t="s">
        <v>154</v>
      </c>
      <c r="O94" s="19"/>
      <c r="P94" s="19"/>
      <c r="Q94" s="19"/>
      <c r="R94" s="19"/>
      <c r="S94" s="19"/>
      <c r="T94" s="19"/>
      <c r="U94" s="19"/>
      <c r="V94" s="19"/>
      <c r="X94"/>
      <c r="Y94" s="19"/>
      <c r="Z94" s="19"/>
      <c r="AA94" s="19">
        <v>27</v>
      </c>
    </row>
    <row r="95" spans="1:28" x14ac:dyDescent="0.35">
      <c r="A95" t="s">
        <v>165</v>
      </c>
      <c r="O95" s="19"/>
      <c r="P95" s="19"/>
      <c r="Q95" s="19"/>
      <c r="R95" s="19"/>
      <c r="S95" s="19"/>
      <c r="T95" s="19"/>
      <c r="U95" s="19"/>
      <c r="V95" s="19"/>
      <c r="X95"/>
      <c r="Y95" s="19"/>
      <c r="Z95" s="19"/>
      <c r="AA95" s="19">
        <v>27</v>
      </c>
      <c r="AB95" s="19">
        <v>27</v>
      </c>
    </row>
    <row r="96" spans="1:28" x14ac:dyDescent="0.35">
      <c r="A96" t="s">
        <v>158</v>
      </c>
      <c r="O96" s="19"/>
      <c r="P96" s="19"/>
      <c r="Q96" s="19"/>
      <c r="R96" s="19"/>
      <c r="S96" s="19"/>
      <c r="T96" s="19"/>
      <c r="U96" s="19"/>
      <c r="V96" s="19"/>
      <c r="X96"/>
      <c r="Y96" s="19"/>
      <c r="Z96" s="19"/>
      <c r="AB96" s="19">
        <v>27</v>
      </c>
    </row>
    <row r="97" spans="1:28" x14ac:dyDescent="0.35">
      <c r="A97" t="s">
        <v>159</v>
      </c>
      <c r="G97"/>
      <c r="H97"/>
      <c r="I97"/>
      <c r="L97"/>
      <c r="O97"/>
      <c r="P97"/>
      <c r="Q97"/>
      <c r="S97"/>
      <c r="X97"/>
      <c r="Y97"/>
      <c r="AB97" s="21">
        <v>27</v>
      </c>
    </row>
    <row r="98" spans="1:28" x14ac:dyDescent="0.35">
      <c r="A98" t="s">
        <v>169</v>
      </c>
      <c r="G98"/>
      <c r="H98"/>
      <c r="I98"/>
      <c r="L98"/>
      <c r="O98"/>
      <c r="P98"/>
      <c r="Q98"/>
      <c r="S98"/>
      <c r="X98"/>
      <c r="Y98"/>
      <c r="AB98" s="19">
        <v>27</v>
      </c>
    </row>
    <row r="99" spans="1:28" x14ac:dyDescent="0.35">
      <c r="A99" t="s">
        <v>160</v>
      </c>
      <c r="G99"/>
      <c r="H99"/>
      <c r="I99"/>
      <c r="L99"/>
      <c r="O99"/>
      <c r="P99"/>
      <c r="Q99"/>
      <c r="S99"/>
      <c r="X99"/>
      <c r="Y99"/>
      <c r="AB99" s="19">
        <v>27</v>
      </c>
    </row>
    <row r="100" spans="1:28" x14ac:dyDescent="0.35">
      <c r="A100" t="s">
        <v>161</v>
      </c>
      <c r="G100"/>
      <c r="H100"/>
      <c r="I100"/>
      <c r="L100"/>
      <c r="O100"/>
      <c r="P100"/>
      <c r="Q100"/>
      <c r="S100"/>
      <c r="X100"/>
      <c r="Y100"/>
      <c r="AB100" s="19">
        <v>27</v>
      </c>
    </row>
    <row r="101" spans="1:28" x14ac:dyDescent="0.35">
      <c r="A101" t="s">
        <v>162</v>
      </c>
      <c r="G101"/>
      <c r="H101"/>
      <c r="I101"/>
      <c r="L101"/>
      <c r="O101"/>
      <c r="P101"/>
      <c r="Q101"/>
      <c r="S101"/>
      <c r="X101"/>
      <c r="Y101"/>
      <c r="AB101" s="19">
        <v>27</v>
      </c>
    </row>
    <row r="102" spans="1:28" x14ac:dyDescent="0.35">
      <c r="A102" t="s">
        <v>163</v>
      </c>
      <c r="G102"/>
      <c r="H102"/>
      <c r="I102"/>
      <c r="L102"/>
      <c r="O102"/>
      <c r="P102"/>
      <c r="Q102"/>
      <c r="S102"/>
      <c r="X102"/>
      <c r="Y102"/>
      <c r="AB102" s="19">
        <v>27</v>
      </c>
    </row>
    <row r="103" spans="1:28" x14ac:dyDescent="0.35">
      <c r="U103" s="22"/>
      <c r="Y103"/>
    </row>
    <row r="104" spans="1:28" x14ac:dyDescent="0.35">
      <c r="A104" t="s">
        <v>137</v>
      </c>
      <c r="B104" s="20">
        <f t="shared" ref="B104:U104" si="1">SUM(B2:B80)</f>
        <v>1799.9999999999998</v>
      </c>
      <c r="C104" s="20">
        <f t="shared" si="1"/>
        <v>1800.1200000000001</v>
      </c>
      <c r="D104" s="20">
        <f t="shared" si="1"/>
        <v>1825.1200000000001</v>
      </c>
      <c r="E104" s="20">
        <f t="shared" si="1"/>
        <v>1775.04</v>
      </c>
      <c r="F104" s="20">
        <f t="shared" si="1"/>
        <v>1850.04</v>
      </c>
      <c r="G104" s="20">
        <f t="shared" si="1"/>
        <v>1800.0399999999997</v>
      </c>
      <c r="H104" s="20">
        <f t="shared" si="1"/>
        <v>1800.14</v>
      </c>
      <c r="I104" s="20">
        <f t="shared" si="1"/>
        <v>1800.0399999999997</v>
      </c>
      <c r="J104" s="20">
        <f t="shared" si="1"/>
        <v>1800.1599999999994</v>
      </c>
      <c r="K104" s="20">
        <f t="shared" si="1"/>
        <v>1825.0066666666664</v>
      </c>
      <c r="L104" s="20">
        <f t="shared" si="1"/>
        <v>1800.0600000000004</v>
      </c>
      <c r="M104" s="20">
        <f t="shared" si="1"/>
        <v>1800.0200000000004</v>
      </c>
      <c r="N104" s="20">
        <f t="shared" si="1"/>
        <v>1950.1199999999997</v>
      </c>
      <c r="O104" s="20">
        <f t="shared" si="1"/>
        <v>1950.1199999999997</v>
      </c>
      <c r="P104" s="20">
        <f t="shared" si="1"/>
        <v>1950.1199999999997</v>
      </c>
      <c r="Q104" s="20">
        <f t="shared" si="1"/>
        <v>1951.9399999999998</v>
      </c>
      <c r="R104" s="20">
        <f t="shared" si="1"/>
        <v>1952.1199999999997</v>
      </c>
      <c r="S104" s="20">
        <f t="shared" si="1"/>
        <v>1950.1199999999997</v>
      </c>
      <c r="T104" s="20">
        <f t="shared" si="1"/>
        <v>1950.1199999999997</v>
      </c>
      <c r="U104" s="20">
        <f t="shared" si="1"/>
        <v>1950.1199999999997</v>
      </c>
      <c r="V104" s="20">
        <f>SUM(V2:V83)</f>
        <v>1950.12</v>
      </c>
      <c r="W104" s="20">
        <f>SUM(W2:W83)</f>
        <v>1950.1299999999994</v>
      </c>
      <c r="X104" s="20">
        <f>SUM(X2:X88)</f>
        <v>1950.1199999999997</v>
      </c>
      <c r="Y104" s="20">
        <f>SUM(Y2:Y90)</f>
        <v>1950.1199999999994</v>
      </c>
      <c r="Z104" s="20">
        <f>SUM(Z2:Z91)</f>
        <v>1950.0500000000006</v>
      </c>
      <c r="AA104" s="20">
        <f>SUM(AA2:AA96)</f>
        <v>1950.1199999999994</v>
      </c>
      <c r="AB104" s="20">
        <f>SUM(AB2:AB102)</f>
        <v>1950</v>
      </c>
    </row>
    <row r="105" spans="1:28" x14ac:dyDescent="0.35">
      <c r="A105" t="s">
        <v>73</v>
      </c>
      <c r="B105" s="20">
        <f>SUM(B3:B28)</f>
        <v>1716.6666666666665</v>
      </c>
      <c r="C105" s="20">
        <f>SUM(C3:C35)</f>
        <v>1729.2800000000002</v>
      </c>
      <c r="D105" s="20">
        <f>SUM(D3:D38)</f>
        <v>1754.2800000000002</v>
      </c>
      <c r="E105" s="20">
        <f>SUM(E3:E41)</f>
        <v>1697.26</v>
      </c>
      <c r="F105" s="20">
        <f>SUM(F3:F44)</f>
        <v>1772.26</v>
      </c>
      <c r="G105" s="20">
        <f>SUM(G3:G49)</f>
        <v>1722.2599999999998</v>
      </c>
      <c r="H105" s="20">
        <f>SUM(H3:H53)</f>
        <v>1715.41</v>
      </c>
      <c r="I105" s="20">
        <f>SUM(I3:I53)</f>
        <v>1722.2599999999998</v>
      </c>
      <c r="J105" s="20">
        <f>SUM(J3:J56)</f>
        <v>1714.0399999999995</v>
      </c>
      <c r="K105" s="20">
        <f>SUM(K3:K59)</f>
        <v>1716.6733333333332</v>
      </c>
      <c r="L105" s="20">
        <f>SUM(L3:L59)</f>
        <v>1620.8900000000003</v>
      </c>
      <c r="M105" s="20">
        <f>SUM(M3:M69)</f>
        <v>1723.6300000000003</v>
      </c>
      <c r="N105" s="20">
        <f>SUM(N3:N69)</f>
        <v>1861.2799999999997</v>
      </c>
      <c r="O105" s="20">
        <f>SUM(O3:O71)</f>
        <v>1865.7799999999997</v>
      </c>
      <c r="P105" s="20">
        <f>SUM(P3:P71)</f>
        <v>1864.2799999999997</v>
      </c>
      <c r="Q105" s="20">
        <f>SUM(Q3:Q74)</f>
        <v>1869.11</v>
      </c>
      <c r="R105" s="20">
        <f>SUM(R3:R75)</f>
        <v>1870.7799999999997</v>
      </c>
      <c r="S105" s="20">
        <f>SUM(S3:S77)</f>
        <v>1864.2799999999997</v>
      </c>
      <c r="T105" s="20">
        <f>SUM(T3:T79)</f>
        <v>1859.7799999999997</v>
      </c>
      <c r="U105" s="20">
        <f>SUM(U3:U80)</f>
        <v>1856.7799999999997</v>
      </c>
      <c r="V105" s="20">
        <f>SUM(V3:V80)</f>
        <v>1736.78</v>
      </c>
      <c r="W105" s="20">
        <f>SUM(W3:W80)</f>
        <v>1853.7899999999993</v>
      </c>
      <c r="X105" s="20">
        <f>X104-X2</f>
        <v>1868.7799999999997</v>
      </c>
      <c r="Y105" s="20">
        <f>Y104-Y2</f>
        <v>1867.0499999999995</v>
      </c>
      <c r="Z105" s="20">
        <f>Z104-Z2</f>
        <v>1854.4000000000005</v>
      </c>
      <c r="AA105" s="20">
        <f>AA104-AA2</f>
        <v>1864.2799999999995</v>
      </c>
      <c r="AB105" s="20">
        <f>AB104-AB2</f>
        <v>1858.5</v>
      </c>
    </row>
    <row r="106" spans="1:28" x14ac:dyDescent="0.35">
      <c r="A106" t="s">
        <v>74</v>
      </c>
      <c r="B106" s="20">
        <f>25*12+83.34*17</f>
        <v>1716.78</v>
      </c>
      <c r="C106" s="20">
        <f>22*25+70.84*17</f>
        <v>1754.28</v>
      </c>
      <c r="D106" s="20">
        <f>20*25+70.84*17</f>
        <v>1704.28</v>
      </c>
      <c r="E106" s="20">
        <f>15*25+77.78*17</f>
        <v>1697.26</v>
      </c>
      <c r="F106" s="20">
        <f>18*25+77.78*17</f>
        <v>1772.26</v>
      </c>
      <c r="G106" s="23">
        <f>17*77.78+25*16</f>
        <v>1722.26</v>
      </c>
      <c r="H106" s="23">
        <f>11*25+84.73*17</f>
        <v>1715.41</v>
      </c>
      <c r="I106" s="23">
        <f>17*25+77.78*17</f>
        <v>1747.26</v>
      </c>
      <c r="J106" s="23">
        <f>10*25+86.12*17</f>
        <v>1714.04</v>
      </c>
      <c r="K106" s="23">
        <f>14*25+83.33*17</f>
        <v>1766.61</v>
      </c>
      <c r="L106" s="23">
        <f>15*25+79.17*17</f>
        <v>1720.89</v>
      </c>
      <c r="M106" s="23">
        <f>17*25+76.39*17</f>
        <v>1723.63</v>
      </c>
      <c r="N106" s="23">
        <f>14*27+88.84*17</f>
        <v>1888.28</v>
      </c>
      <c r="O106" s="23">
        <f>16*27+84.34*17</f>
        <v>1865.78</v>
      </c>
      <c r="P106" s="23">
        <f>15*27+85.84*17</f>
        <v>1864.28</v>
      </c>
      <c r="Q106" s="23">
        <f>17*27+82.83*17</f>
        <v>1867.11</v>
      </c>
      <c r="R106" s="23">
        <f>18*27+82.83*17</f>
        <v>1894.11</v>
      </c>
      <c r="S106" s="23">
        <f>15*27+85.84*17</f>
        <v>1864.28</v>
      </c>
      <c r="T106" s="23">
        <f>12*27+85.84*17</f>
        <v>1783.28</v>
      </c>
      <c r="U106" s="23">
        <f>9*27+85.84*17</f>
        <v>1702.28</v>
      </c>
      <c r="V106" s="23">
        <f>19*27+85.84*17</f>
        <v>1972.28</v>
      </c>
      <c r="W106" s="23">
        <f>7*28+85.84*17.25</f>
        <v>1676.74</v>
      </c>
      <c r="X106" s="23">
        <f>18*27+81.34*17</f>
        <v>1868.78</v>
      </c>
      <c r="Y106" s="23">
        <f>22*27+83.07*15</f>
        <v>1840.05</v>
      </c>
      <c r="Z106" s="23">
        <f>11*27+95.65*18</f>
        <v>2018.7</v>
      </c>
      <c r="AA106" s="23">
        <f>14*27+85.84*17</f>
        <v>1837.28</v>
      </c>
      <c r="AB106" s="23">
        <f>14*27+91.5*12</f>
        <v>1476</v>
      </c>
    </row>
    <row r="107" spans="1:28" x14ac:dyDescent="0.35">
      <c r="B107" s="24">
        <f t="shared" ref="B107:G107" si="2">B106/B105</f>
        <v>1.0000660194174757</v>
      </c>
      <c r="C107" s="24">
        <f t="shared" si="2"/>
        <v>1.0144568837897852</v>
      </c>
      <c r="D107" s="24">
        <f t="shared" si="2"/>
        <v>0.97149827849602099</v>
      </c>
      <c r="E107" s="24">
        <f t="shared" si="2"/>
        <v>1</v>
      </c>
      <c r="F107" s="24">
        <f t="shared" si="2"/>
        <v>1</v>
      </c>
      <c r="G107" s="24">
        <f t="shared" si="2"/>
        <v>1.0000000000000002</v>
      </c>
      <c r="H107" s="24">
        <f t="shared" ref="H107:I107" si="3">H106/H105</f>
        <v>1</v>
      </c>
      <c r="I107" s="24">
        <f t="shared" si="3"/>
        <v>1.0145158106209284</v>
      </c>
      <c r="J107" s="24">
        <f t="shared" ref="J107:K107" si="4">J106/J105</f>
        <v>1.0000000000000002</v>
      </c>
      <c r="K107" s="24">
        <f t="shared" si="4"/>
        <v>1.0290892074205538</v>
      </c>
      <c r="L107" s="24">
        <f t="shared" ref="L107:M107" si="5">L106/L105</f>
        <v>1.0616945011691106</v>
      </c>
      <c r="M107" s="24">
        <f t="shared" si="5"/>
        <v>0.99999999999999989</v>
      </c>
      <c r="N107" s="24">
        <f t="shared" ref="N107:O107" si="6">N106/N105</f>
        <v>1.0145061463079172</v>
      </c>
      <c r="O107" s="24">
        <f t="shared" si="6"/>
        <v>1.0000000000000002</v>
      </c>
      <c r="P107" s="24">
        <f t="shared" ref="P107" si="7">P106/P105</f>
        <v>1.0000000000000002</v>
      </c>
      <c r="Q107" s="24">
        <f t="shared" ref="Q107:V107" si="8">Q106/Q105</f>
        <v>0.99892997201876832</v>
      </c>
      <c r="R107" s="24">
        <f t="shared" si="8"/>
        <v>1.0124707341322872</v>
      </c>
      <c r="S107" s="24">
        <f t="shared" si="8"/>
        <v>1.0000000000000002</v>
      </c>
      <c r="T107" s="24">
        <f t="shared" si="8"/>
        <v>0.95886610244222448</v>
      </c>
      <c r="U107" s="24">
        <f>U106/U105</f>
        <v>0.91679143463415169</v>
      </c>
      <c r="V107" s="24">
        <f t="shared" si="8"/>
        <v>1.1355957576664863</v>
      </c>
      <c r="W107" s="24">
        <f t="shared" ref="W107:X107" si="9">W106/W105</f>
        <v>0.90449295767050242</v>
      </c>
      <c r="X107" s="24">
        <f t="shared" si="9"/>
        <v>1.0000000000000002</v>
      </c>
      <c r="Y107" s="24">
        <f t="shared" ref="Y107:Z107" si="10">Y106/Y105</f>
        <v>0.98553868402024614</v>
      </c>
      <c r="Z107" s="24">
        <f t="shared" si="10"/>
        <v>1.0886000862812766</v>
      </c>
      <c r="AA107" s="24">
        <f t="shared" ref="AA107:AB107" si="11">AA106/AA105</f>
        <v>0.98551719698757723</v>
      </c>
      <c r="AB107" s="24">
        <f t="shared" si="11"/>
        <v>0.79418886198547212</v>
      </c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30"/>
  <sheetViews>
    <sheetView tabSelected="1" topLeftCell="A303" workbookViewId="0">
      <selection activeCell="A335" sqref="A335"/>
    </sheetView>
  </sheetViews>
  <sheetFormatPr defaultRowHeight="14.5" x14ac:dyDescent="0.35"/>
  <cols>
    <col min="1" max="1" width="10.54296875" bestFit="1" customWidth="1"/>
  </cols>
  <sheetData>
    <row r="1" spans="1:16" x14ac:dyDescent="0.35">
      <c r="A1" s="17" t="s">
        <v>26</v>
      </c>
      <c r="B1" s="7" t="s">
        <v>41</v>
      </c>
      <c r="C1" s="6" t="s">
        <v>27</v>
      </c>
      <c r="D1" s="6" t="s">
        <v>28</v>
      </c>
      <c r="E1" s="6" t="s">
        <v>29</v>
      </c>
      <c r="F1" s="6" t="s">
        <v>30</v>
      </c>
      <c r="G1" s="6" t="s">
        <v>31</v>
      </c>
      <c r="H1" s="6" t="s">
        <v>32</v>
      </c>
      <c r="I1" s="7" t="s">
        <v>33</v>
      </c>
      <c r="J1" s="6" t="s">
        <v>40</v>
      </c>
      <c r="K1" s="6" t="s">
        <v>34</v>
      </c>
      <c r="L1" s="6" t="s">
        <v>35</v>
      </c>
      <c r="M1" s="6" t="s">
        <v>36</v>
      </c>
      <c r="N1" s="6" t="s">
        <v>37</v>
      </c>
      <c r="O1" s="6" t="s">
        <v>38</v>
      </c>
      <c r="P1" s="7" t="s">
        <v>39</v>
      </c>
    </row>
    <row r="2" spans="1:16" x14ac:dyDescent="0.35">
      <c r="A2" s="14">
        <v>45448</v>
      </c>
      <c r="B2" s="3">
        <v>6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3">
        <v>4</v>
      </c>
      <c r="J2" s="2">
        <v>6</v>
      </c>
      <c r="K2" s="2" t="s">
        <v>12</v>
      </c>
      <c r="L2" s="2" t="s">
        <v>81</v>
      </c>
      <c r="M2" s="2" t="s">
        <v>118</v>
      </c>
      <c r="N2" s="2" t="s">
        <v>13</v>
      </c>
      <c r="O2" s="2" t="s">
        <v>14</v>
      </c>
      <c r="P2" s="3" t="s">
        <v>15</v>
      </c>
    </row>
    <row r="3" spans="1:16" x14ac:dyDescent="0.35">
      <c r="A3" s="14">
        <v>45448</v>
      </c>
      <c r="B3" s="3">
        <v>5</v>
      </c>
      <c r="C3" s="2" t="s">
        <v>12</v>
      </c>
      <c r="D3" s="2" t="s">
        <v>81</v>
      </c>
      <c r="E3" s="2" t="s">
        <v>118</v>
      </c>
      <c r="F3" s="2" t="s">
        <v>13</v>
      </c>
      <c r="G3" s="2" t="s">
        <v>14</v>
      </c>
      <c r="H3" s="2" t="s">
        <v>15</v>
      </c>
      <c r="I3" s="3">
        <v>7</v>
      </c>
      <c r="J3" s="2">
        <v>1</v>
      </c>
      <c r="K3" s="2" t="s">
        <v>7</v>
      </c>
      <c r="L3" s="2" t="s">
        <v>8</v>
      </c>
      <c r="M3" s="2" t="s">
        <v>9</v>
      </c>
      <c r="N3" s="2" t="s">
        <v>18</v>
      </c>
      <c r="O3" s="2" t="s">
        <v>10</v>
      </c>
      <c r="P3" s="3" t="s">
        <v>11</v>
      </c>
    </row>
    <row r="4" spans="1:16" x14ac:dyDescent="0.35">
      <c r="A4" s="15">
        <v>45448</v>
      </c>
      <c r="B4" s="5">
        <v>2</v>
      </c>
      <c r="C4" s="4" t="s">
        <v>7</v>
      </c>
      <c r="D4" s="4" t="s">
        <v>8</v>
      </c>
      <c r="E4" s="4" t="s">
        <v>9</v>
      </c>
      <c r="F4" s="4" t="s">
        <v>18</v>
      </c>
      <c r="G4" s="4" t="s">
        <v>10</v>
      </c>
      <c r="H4" s="4" t="s">
        <v>11</v>
      </c>
      <c r="I4" s="5">
        <v>1</v>
      </c>
      <c r="J4" s="4">
        <v>2</v>
      </c>
      <c r="K4" s="4" t="s">
        <v>1</v>
      </c>
      <c r="L4" s="4" t="s">
        <v>2</v>
      </c>
      <c r="M4" s="4" t="s">
        <v>3</v>
      </c>
      <c r="N4" s="4" t="s">
        <v>4</v>
      </c>
      <c r="O4" s="4" t="s">
        <v>5</v>
      </c>
      <c r="P4" s="5" t="s">
        <v>6</v>
      </c>
    </row>
    <row r="5" spans="1:16" x14ac:dyDescent="0.35">
      <c r="A5" s="16">
        <v>45455</v>
      </c>
      <c r="B5" s="7">
        <v>7</v>
      </c>
      <c r="C5" s="6" t="s">
        <v>1</v>
      </c>
      <c r="D5" s="6" t="s">
        <v>7</v>
      </c>
      <c r="E5" s="6" t="s">
        <v>16</v>
      </c>
      <c r="F5" s="6" t="s">
        <v>6</v>
      </c>
      <c r="G5" s="6" t="s">
        <v>14</v>
      </c>
      <c r="H5" s="6" t="s">
        <v>25</v>
      </c>
      <c r="I5" s="7">
        <v>10</v>
      </c>
      <c r="J5" s="6">
        <v>13</v>
      </c>
      <c r="K5" s="6" t="s">
        <v>17</v>
      </c>
      <c r="L5" s="6" t="s">
        <v>5</v>
      </c>
      <c r="M5" s="6" t="s">
        <v>3</v>
      </c>
      <c r="N5" s="6" t="s">
        <v>42</v>
      </c>
      <c r="O5" s="6" t="s">
        <v>10</v>
      </c>
      <c r="P5" s="7" t="s">
        <v>25</v>
      </c>
    </row>
    <row r="6" spans="1:16" x14ac:dyDescent="0.35">
      <c r="A6" s="14">
        <v>45462</v>
      </c>
      <c r="B6" s="3">
        <v>4</v>
      </c>
      <c r="C6" s="8" t="s">
        <v>1</v>
      </c>
      <c r="D6" s="8" t="s">
        <v>7</v>
      </c>
      <c r="E6" s="8" t="s">
        <v>18</v>
      </c>
      <c r="F6" s="8" t="s">
        <v>12</v>
      </c>
      <c r="G6" s="8" t="s">
        <v>6</v>
      </c>
      <c r="H6" s="8" t="s">
        <v>3</v>
      </c>
      <c r="I6" s="9">
        <v>4</v>
      </c>
      <c r="J6" s="10">
        <v>2</v>
      </c>
      <c r="K6" s="10" t="s">
        <v>21</v>
      </c>
      <c r="L6" s="10" t="s">
        <v>5</v>
      </c>
      <c r="M6" s="10" t="s">
        <v>4</v>
      </c>
      <c r="N6" s="10" t="s">
        <v>2</v>
      </c>
      <c r="O6" s="10" t="s">
        <v>20</v>
      </c>
      <c r="P6" s="11" t="s">
        <v>13</v>
      </c>
    </row>
    <row r="7" spans="1:16" x14ac:dyDescent="0.35">
      <c r="A7" s="14">
        <v>45462</v>
      </c>
      <c r="B7" s="3">
        <v>3</v>
      </c>
      <c r="C7" s="10" t="s">
        <v>21</v>
      </c>
      <c r="D7" s="10" t="s">
        <v>5</v>
      </c>
      <c r="E7" s="10" t="s">
        <v>4</v>
      </c>
      <c r="F7" s="10" t="s">
        <v>2</v>
      </c>
      <c r="G7" s="10" t="s">
        <v>20</v>
      </c>
      <c r="H7" s="10" t="s">
        <v>13</v>
      </c>
      <c r="I7" s="11">
        <v>3</v>
      </c>
      <c r="J7" s="2">
        <v>0</v>
      </c>
      <c r="K7" s="2" t="s">
        <v>19</v>
      </c>
      <c r="L7" s="2" t="s">
        <v>81</v>
      </c>
      <c r="M7" s="2" t="s">
        <v>9</v>
      </c>
      <c r="N7" s="2" t="s">
        <v>8</v>
      </c>
      <c r="O7" s="2" t="s">
        <v>10</v>
      </c>
      <c r="P7" s="3" t="s">
        <v>11</v>
      </c>
    </row>
    <row r="8" spans="1:16" x14ac:dyDescent="0.35">
      <c r="A8" s="15">
        <v>45462</v>
      </c>
      <c r="B8" s="5">
        <v>4</v>
      </c>
      <c r="C8" s="4" t="s">
        <v>19</v>
      </c>
      <c r="D8" s="4" t="s">
        <v>81</v>
      </c>
      <c r="E8" s="4" t="s">
        <v>9</v>
      </c>
      <c r="F8" s="4" t="s">
        <v>8</v>
      </c>
      <c r="G8" s="4" t="s">
        <v>10</v>
      </c>
      <c r="H8" s="4" t="s">
        <v>11</v>
      </c>
      <c r="I8" s="5">
        <v>2</v>
      </c>
      <c r="J8" s="12">
        <v>4</v>
      </c>
      <c r="K8" s="12" t="s">
        <v>1</v>
      </c>
      <c r="L8" s="12" t="s">
        <v>7</v>
      </c>
      <c r="M8" s="12" t="s">
        <v>18</v>
      </c>
      <c r="N8" s="12" t="s">
        <v>12</v>
      </c>
      <c r="O8" s="12" t="s">
        <v>6</v>
      </c>
      <c r="P8" s="13" t="s">
        <v>3</v>
      </c>
    </row>
    <row r="9" spans="1:16" x14ac:dyDescent="0.35">
      <c r="A9" s="14">
        <v>45469</v>
      </c>
      <c r="B9" s="3">
        <v>6</v>
      </c>
      <c r="C9" s="8" t="s">
        <v>6</v>
      </c>
      <c r="D9" s="8" t="s">
        <v>5</v>
      </c>
      <c r="E9" s="8" t="s">
        <v>23</v>
      </c>
      <c r="F9" s="8" t="s">
        <v>19</v>
      </c>
      <c r="G9" s="8" t="s">
        <v>10</v>
      </c>
      <c r="H9" s="9" t="s">
        <v>11</v>
      </c>
      <c r="I9" s="8">
        <v>4</v>
      </c>
      <c r="J9" s="11">
        <v>2</v>
      </c>
      <c r="K9" s="10" t="s">
        <v>9</v>
      </c>
      <c r="L9" s="10" t="s">
        <v>7</v>
      </c>
      <c r="M9" s="10" t="s">
        <v>81</v>
      </c>
      <c r="N9" s="10" t="s">
        <v>21</v>
      </c>
      <c r="O9" s="10" t="s">
        <v>24</v>
      </c>
      <c r="P9" s="10" t="s">
        <v>118</v>
      </c>
    </row>
    <row r="10" spans="1:16" x14ac:dyDescent="0.35">
      <c r="A10" s="14">
        <v>45469</v>
      </c>
      <c r="B10" s="3">
        <v>6</v>
      </c>
      <c r="C10" s="10" t="s">
        <v>9</v>
      </c>
      <c r="D10" s="10" t="s">
        <v>7</v>
      </c>
      <c r="E10" s="10" t="s">
        <v>81</v>
      </c>
      <c r="F10" s="10" t="s">
        <v>21</v>
      </c>
      <c r="G10" s="10" t="s">
        <v>24</v>
      </c>
      <c r="H10" s="11" t="s">
        <v>118</v>
      </c>
      <c r="I10" s="10">
        <v>2</v>
      </c>
      <c r="J10" s="3">
        <v>3</v>
      </c>
      <c r="K10" s="2" t="s">
        <v>1</v>
      </c>
      <c r="L10" s="2" t="s">
        <v>3</v>
      </c>
      <c r="M10" s="2" t="s">
        <v>18</v>
      </c>
      <c r="N10" s="2" t="s">
        <v>4</v>
      </c>
      <c r="O10" s="2" t="s">
        <v>12</v>
      </c>
      <c r="P10" s="2" t="s">
        <v>2</v>
      </c>
    </row>
    <row r="11" spans="1:16" x14ac:dyDescent="0.35">
      <c r="A11" s="15">
        <v>45469</v>
      </c>
      <c r="B11" s="5">
        <v>7</v>
      </c>
      <c r="C11" s="4" t="s">
        <v>1</v>
      </c>
      <c r="D11" s="4" t="s">
        <v>3</v>
      </c>
      <c r="E11" s="4" t="s">
        <v>18</v>
      </c>
      <c r="F11" s="4" t="s">
        <v>4</v>
      </c>
      <c r="G11" s="4" t="s">
        <v>12</v>
      </c>
      <c r="H11" s="5" t="s">
        <v>2</v>
      </c>
      <c r="I11" s="4">
        <v>3</v>
      </c>
      <c r="J11" s="13">
        <v>3</v>
      </c>
      <c r="K11" s="12" t="s">
        <v>6</v>
      </c>
      <c r="L11" s="12" t="s">
        <v>5</v>
      </c>
      <c r="M11" s="12" t="s">
        <v>23</v>
      </c>
      <c r="N11" s="12" t="s">
        <v>19</v>
      </c>
      <c r="O11" s="12" t="s">
        <v>10</v>
      </c>
      <c r="P11" s="12" t="s">
        <v>11</v>
      </c>
    </row>
    <row r="12" spans="1:16" x14ac:dyDescent="0.35">
      <c r="A12" s="14">
        <v>45476</v>
      </c>
      <c r="B12" s="3">
        <v>7</v>
      </c>
      <c r="C12" s="8" t="s">
        <v>1</v>
      </c>
      <c r="D12" s="8" t="s">
        <v>9</v>
      </c>
      <c r="E12" s="8" t="s">
        <v>6</v>
      </c>
      <c r="F12" s="8" t="s">
        <v>43</v>
      </c>
      <c r="G12" s="8" t="s">
        <v>118</v>
      </c>
      <c r="H12" s="8" t="s">
        <v>13</v>
      </c>
      <c r="I12" s="9">
        <v>6</v>
      </c>
      <c r="J12" s="10">
        <v>5</v>
      </c>
      <c r="K12" s="10" t="s">
        <v>19</v>
      </c>
      <c r="L12" s="10" t="s">
        <v>7</v>
      </c>
      <c r="M12" s="10" t="s">
        <v>24</v>
      </c>
      <c r="N12" s="10" t="s">
        <v>5</v>
      </c>
      <c r="O12" s="10" t="s">
        <v>11</v>
      </c>
      <c r="P12" s="11" t="s">
        <v>18</v>
      </c>
    </row>
    <row r="13" spans="1:16" x14ac:dyDescent="0.35">
      <c r="A13" s="14">
        <v>45476</v>
      </c>
      <c r="B13" s="3">
        <v>4</v>
      </c>
      <c r="C13" s="10" t="s">
        <v>19</v>
      </c>
      <c r="D13" s="10" t="s">
        <v>7</v>
      </c>
      <c r="E13" s="10" t="s">
        <v>24</v>
      </c>
      <c r="F13" s="10" t="s">
        <v>5</v>
      </c>
      <c r="G13" s="10" t="s">
        <v>11</v>
      </c>
      <c r="H13" s="10" t="s">
        <v>18</v>
      </c>
      <c r="I13" s="11">
        <v>6</v>
      </c>
      <c r="J13" s="2">
        <v>3</v>
      </c>
      <c r="K13" s="2" t="s">
        <v>4</v>
      </c>
      <c r="L13" s="2" t="s">
        <v>10</v>
      </c>
      <c r="M13" s="2" t="s">
        <v>81</v>
      </c>
      <c r="N13" s="2" t="s">
        <v>21</v>
      </c>
      <c r="O13" s="2" t="s">
        <v>2</v>
      </c>
      <c r="P13" s="3" t="s">
        <v>3</v>
      </c>
    </row>
    <row r="14" spans="1:16" x14ac:dyDescent="0.35">
      <c r="A14" s="15">
        <v>45476</v>
      </c>
      <c r="B14" s="5">
        <v>3</v>
      </c>
      <c r="C14" s="4" t="s">
        <v>4</v>
      </c>
      <c r="D14" s="4" t="s">
        <v>10</v>
      </c>
      <c r="E14" s="4" t="s">
        <v>81</v>
      </c>
      <c r="F14" s="4" t="s">
        <v>21</v>
      </c>
      <c r="G14" s="4" t="s">
        <v>2</v>
      </c>
      <c r="H14" s="4" t="s">
        <v>3</v>
      </c>
      <c r="I14" s="5">
        <v>3</v>
      </c>
      <c r="J14" s="12">
        <v>4</v>
      </c>
      <c r="K14" s="12" t="s">
        <v>1</v>
      </c>
      <c r="L14" s="12" t="s">
        <v>9</v>
      </c>
      <c r="M14" s="12" t="s">
        <v>6</v>
      </c>
      <c r="N14" s="12" t="s">
        <v>43</v>
      </c>
      <c r="O14" s="12" t="s">
        <v>118</v>
      </c>
      <c r="P14" s="13" t="s">
        <v>13</v>
      </c>
    </row>
    <row r="15" spans="1:16" x14ac:dyDescent="0.35">
      <c r="A15" s="14">
        <v>45483</v>
      </c>
      <c r="B15" s="3">
        <v>6</v>
      </c>
      <c r="C15" s="8" t="s">
        <v>9</v>
      </c>
      <c r="D15" s="8" t="s">
        <v>81</v>
      </c>
      <c r="E15" s="8" t="s">
        <v>24</v>
      </c>
      <c r="F15" s="8" t="s">
        <v>2</v>
      </c>
      <c r="G15" s="8" t="s">
        <v>11</v>
      </c>
      <c r="H15" s="8" t="s">
        <v>13</v>
      </c>
      <c r="I15" s="9">
        <v>5</v>
      </c>
      <c r="J15" s="10">
        <v>6</v>
      </c>
      <c r="K15" s="10" t="s">
        <v>7</v>
      </c>
      <c r="L15" s="10" t="s">
        <v>8</v>
      </c>
      <c r="M15" s="10" t="s">
        <v>5</v>
      </c>
      <c r="N15" s="10" t="s">
        <v>19</v>
      </c>
      <c r="O15" s="10" t="s">
        <v>6</v>
      </c>
      <c r="P15" s="10" t="s">
        <v>14</v>
      </c>
    </row>
    <row r="16" spans="1:16" x14ac:dyDescent="0.35">
      <c r="A16" s="14">
        <v>45483</v>
      </c>
      <c r="B16" s="3">
        <v>6</v>
      </c>
      <c r="C16" s="10" t="s">
        <v>7</v>
      </c>
      <c r="D16" s="10" t="s">
        <v>8</v>
      </c>
      <c r="E16" s="10" t="s">
        <v>5</v>
      </c>
      <c r="F16" s="10" t="s">
        <v>19</v>
      </c>
      <c r="G16" s="10" t="s">
        <v>6</v>
      </c>
      <c r="H16" s="10" t="s">
        <v>14</v>
      </c>
      <c r="I16" s="11">
        <v>9</v>
      </c>
      <c r="J16" s="2">
        <v>3</v>
      </c>
      <c r="K16" s="4" t="s">
        <v>1</v>
      </c>
      <c r="L16" s="4" t="s">
        <v>10</v>
      </c>
      <c r="M16" s="4" t="s">
        <v>44</v>
      </c>
      <c r="N16" s="4" t="s">
        <v>3</v>
      </c>
      <c r="O16" s="4" t="s">
        <v>20</v>
      </c>
      <c r="P16" s="4" t="s">
        <v>43</v>
      </c>
    </row>
    <row r="17" spans="1:16" x14ac:dyDescent="0.35">
      <c r="A17" s="14">
        <v>45483</v>
      </c>
      <c r="B17" s="5">
        <v>5</v>
      </c>
      <c r="C17" s="4" t="s">
        <v>1</v>
      </c>
      <c r="D17" s="4" t="s">
        <v>10</v>
      </c>
      <c r="E17" s="4" t="s">
        <v>44</v>
      </c>
      <c r="F17" s="4" t="s">
        <v>3</v>
      </c>
      <c r="G17" s="4" t="s">
        <v>20</v>
      </c>
      <c r="H17" s="4" t="s">
        <v>43</v>
      </c>
      <c r="I17" s="5">
        <v>6</v>
      </c>
      <c r="J17" s="12">
        <v>3</v>
      </c>
      <c r="K17" s="8" t="s">
        <v>9</v>
      </c>
      <c r="L17" s="8" t="s">
        <v>81</v>
      </c>
      <c r="M17" s="8" t="s">
        <v>24</v>
      </c>
      <c r="N17" s="8" t="s">
        <v>2</v>
      </c>
      <c r="O17" s="8" t="s">
        <v>11</v>
      </c>
      <c r="P17" s="8" t="s">
        <v>13</v>
      </c>
    </row>
    <row r="18" spans="1:16" x14ac:dyDescent="0.35">
      <c r="A18" s="14">
        <v>45490</v>
      </c>
      <c r="B18" s="3">
        <v>6</v>
      </c>
      <c r="C18" s="8" t="s">
        <v>43</v>
      </c>
      <c r="D18" s="8" t="s">
        <v>4</v>
      </c>
      <c r="E18" s="8" t="s">
        <v>5</v>
      </c>
      <c r="F18" s="8" t="s">
        <v>118</v>
      </c>
      <c r="G18" s="8" t="s">
        <v>19</v>
      </c>
      <c r="H18" s="8" t="s">
        <v>3</v>
      </c>
      <c r="I18" s="9">
        <v>6</v>
      </c>
      <c r="J18" s="10">
        <v>7</v>
      </c>
      <c r="K18" s="10" t="s">
        <v>7</v>
      </c>
      <c r="L18" s="10" t="s">
        <v>10</v>
      </c>
      <c r="M18" s="10" t="s">
        <v>2</v>
      </c>
      <c r="N18" s="10" t="s">
        <v>9</v>
      </c>
      <c r="O18" s="10" t="s">
        <v>44</v>
      </c>
      <c r="P18" s="10" t="s">
        <v>45</v>
      </c>
    </row>
    <row r="19" spans="1:16" x14ac:dyDescent="0.35">
      <c r="A19" s="14">
        <v>45490</v>
      </c>
      <c r="B19" s="3">
        <v>6</v>
      </c>
      <c r="C19" s="10" t="s">
        <v>7</v>
      </c>
      <c r="D19" s="10" t="s">
        <v>10</v>
      </c>
      <c r="E19" s="10" t="s">
        <v>2</v>
      </c>
      <c r="F19" s="10" t="s">
        <v>9</v>
      </c>
      <c r="G19" s="10" t="s">
        <v>44</v>
      </c>
      <c r="H19" s="10" t="s">
        <v>45</v>
      </c>
      <c r="I19" s="11">
        <v>9</v>
      </c>
      <c r="J19" s="2">
        <v>3</v>
      </c>
      <c r="K19" s="2" t="s">
        <v>13</v>
      </c>
      <c r="L19" s="2" t="s">
        <v>14</v>
      </c>
      <c r="M19" s="2" t="s">
        <v>81</v>
      </c>
      <c r="N19" s="2" t="s">
        <v>12</v>
      </c>
      <c r="O19" s="2" t="s">
        <v>1</v>
      </c>
      <c r="P19" s="3" t="s">
        <v>8</v>
      </c>
    </row>
    <row r="20" spans="1:16" x14ac:dyDescent="0.35">
      <c r="A20" s="15">
        <v>45490</v>
      </c>
      <c r="B20" s="5">
        <v>5</v>
      </c>
      <c r="C20" s="2" t="s">
        <v>13</v>
      </c>
      <c r="D20" s="2" t="s">
        <v>14</v>
      </c>
      <c r="E20" s="2" t="s">
        <v>81</v>
      </c>
      <c r="F20" s="2" t="s">
        <v>12</v>
      </c>
      <c r="G20" s="2" t="s">
        <v>1</v>
      </c>
      <c r="H20" s="3" t="s">
        <v>8</v>
      </c>
      <c r="I20" s="5">
        <v>6</v>
      </c>
      <c r="J20" s="12">
        <v>3</v>
      </c>
      <c r="K20" s="8" t="s">
        <v>43</v>
      </c>
      <c r="L20" s="8" t="s">
        <v>4</v>
      </c>
      <c r="M20" s="8" t="s">
        <v>5</v>
      </c>
      <c r="N20" s="8" t="s">
        <v>118</v>
      </c>
      <c r="O20" s="8" t="s">
        <v>19</v>
      </c>
      <c r="P20" s="8" t="s">
        <v>3</v>
      </c>
    </row>
    <row r="21" spans="1:16" x14ac:dyDescent="0.35">
      <c r="A21" s="14">
        <v>45498</v>
      </c>
      <c r="B21" s="3">
        <v>4</v>
      </c>
      <c r="C21" s="8" t="s">
        <v>81</v>
      </c>
      <c r="D21" s="8" t="s">
        <v>10</v>
      </c>
      <c r="E21" s="8" t="s">
        <v>46</v>
      </c>
      <c r="F21" s="8" t="s">
        <v>19</v>
      </c>
      <c r="G21" s="8" t="s">
        <v>11</v>
      </c>
      <c r="H21" s="8" t="s">
        <v>3</v>
      </c>
      <c r="I21" s="9">
        <v>3</v>
      </c>
      <c r="J21" s="10">
        <v>4</v>
      </c>
      <c r="K21" s="10" t="s">
        <v>118</v>
      </c>
      <c r="L21" s="10" t="s">
        <v>6</v>
      </c>
      <c r="M21" s="10" t="s">
        <v>45</v>
      </c>
      <c r="N21" s="10" t="s">
        <v>4</v>
      </c>
      <c r="O21" s="10" t="s">
        <v>8</v>
      </c>
      <c r="P21" s="10" t="s">
        <v>49</v>
      </c>
    </row>
    <row r="22" spans="1:16" x14ac:dyDescent="0.35">
      <c r="A22" s="14">
        <v>45498</v>
      </c>
      <c r="B22" s="3">
        <v>5</v>
      </c>
      <c r="C22" s="10" t="s">
        <v>118</v>
      </c>
      <c r="D22" s="10" t="s">
        <v>6</v>
      </c>
      <c r="E22" s="10" t="s">
        <v>45</v>
      </c>
      <c r="F22" s="10" t="s">
        <v>4</v>
      </c>
      <c r="G22" s="10" t="s">
        <v>8</v>
      </c>
      <c r="H22" s="10" t="s">
        <v>49</v>
      </c>
      <c r="I22" s="11">
        <v>6</v>
      </c>
      <c r="J22" s="2">
        <v>4</v>
      </c>
      <c r="K22" s="2" t="s">
        <v>47</v>
      </c>
      <c r="L22" s="2" t="s">
        <v>1</v>
      </c>
      <c r="M22" s="2" t="s">
        <v>13</v>
      </c>
      <c r="N22" s="2" t="s">
        <v>7</v>
      </c>
      <c r="O22" s="2" t="s">
        <v>12</v>
      </c>
      <c r="P22" s="3" t="s">
        <v>48</v>
      </c>
    </row>
    <row r="23" spans="1:16" x14ac:dyDescent="0.35">
      <c r="A23" s="14">
        <v>45498</v>
      </c>
      <c r="B23" s="5">
        <v>5</v>
      </c>
      <c r="C23" s="2" t="s">
        <v>47</v>
      </c>
      <c r="D23" s="2" t="s">
        <v>1</v>
      </c>
      <c r="E23" s="2" t="s">
        <v>13</v>
      </c>
      <c r="F23" s="2" t="s">
        <v>7</v>
      </c>
      <c r="G23" s="2" t="s">
        <v>12</v>
      </c>
      <c r="H23" s="3" t="s">
        <v>48</v>
      </c>
      <c r="I23" s="5">
        <v>6</v>
      </c>
      <c r="J23" s="12">
        <v>5</v>
      </c>
      <c r="K23" s="8" t="s">
        <v>81</v>
      </c>
      <c r="L23" s="8" t="s">
        <v>10</v>
      </c>
      <c r="M23" s="8" t="s">
        <v>46</v>
      </c>
      <c r="N23" s="8" t="s">
        <v>19</v>
      </c>
      <c r="O23" s="8" t="s">
        <v>11</v>
      </c>
      <c r="P23" s="8" t="s">
        <v>3</v>
      </c>
    </row>
    <row r="24" spans="1:16" x14ac:dyDescent="0.35">
      <c r="A24" s="14">
        <v>45504</v>
      </c>
      <c r="B24" s="3">
        <v>3</v>
      </c>
      <c r="C24" s="8" t="s">
        <v>81</v>
      </c>
      <c r="D24" s="8" t="s">
        <v>10</v>
      </c>
      <c r="E24" s="8" t="s">
        <v>170</v>
      </c>
      <c r="F24" s="8" t="s">
        <v>45</v>
      </c>
      <c r="G24" s="8" t="s">
        <v>11</v>
      </c>
      <c r="H24" s="8" t="s">
        <v>5</v>
      </c>
      <c r="I24" s="9">
        <v>4</v>
      </c>
      <c r="J24" s="10">
        <v>0</v>
      </c>
      <c r="K24" s="10" t="s">
        <v>1</v>
      </c>
      <c r="L24" s="10" t="s">
        <v>9</v>
      </c>
      <c r="M24" s="10" t="s">
        <v>51</v>
      </c>
      <c r="N24" s="10" t="s">
        <v>7</v>
      </c>
      <c r="O24" s="10" t="s">
        <v>3</v>
      </c>
      <c r="P24" s="10" t="s">
        <v>2</v>
      </c>
    </row>
    <row r="25" spans="1:16" x14ac:dyDescent="0.35">
      <c r="A25" s="14">
        <v>45504</v>
      </c>
      <c r="B25" s="3">
        <v>5</v>
      </c>
      <c r="C25" s="10" t="s">
        <v>1</v>
      </c>
      <c r="D25" s="10" t="s">
        <v>9</v>
      </c>
      <c r="E25" s="10" t="s">
        <v>51</v>
      </c>
      <c r="F25" s="10" t="s">
        <v>7</v>
      </c>
      <c r="G25" s="10" t="s">
        <v>3</v>
      </c>
      <c r="H25" s="10" t="s">
        <v>2</v>
      </c>
      <c r="I25" s="11">
        <v>3</v>
      </c>
      <c r="J25" s="2">
        <v>9</v>
      </c>
      <c r="K25" s="2" t="s">
        <v>44</v>
      </c>
      <c r="L25" s="2" t="s">
        <v>19</v>
      </c>
      <c r="M25" s="2" t="s">
        <v>8</v>
      </c>
      <c r="N25" s="2" t="s">
        <v>4</v>
      </c>
      <c r="O25" s="2" t="s">
        <v>23</v>
      </c>
      <c r="P25" s="3" t="s">
        <v>24</v>
      </c>
    </row>
    <row r="26" spans="1:16" x14ac:dyDescent="0.35">
      <c r="A26" s="14">
        <v>45504</v>
      </c>
      <c r="B26" s="5">
        <v>7</v>
      </c>
      <c r="C26" s="2" t="s">
        <v>44</v>
      </c>
      <c r="D26" s="2" t="s">
        <v>19</v>
      </c>
      <c r="E26" s="2" t="s">
        <v>8</v>
      </c>
      <c r="F26" s="2" t="s">
        <v>4</v>
      </c>
      <c r="G26" s="2" t="s">
        <v>23</v>
      </c>
      <c r="H26" s="3" t="s">
        <v>24</v>
      </c>
      <c r="I26" s="5">
        <v>7</v>
      </c>
      <c r="J26" s="12">
        <v>3</v>
      </c>
      <c r="K26" s="8" t="s">
        <v>81</v>
      </c>
      <c r="L26" s="8" t="s">
        <v>10</v>
      </c>
      <c r="M26" s="8" t="s">
        <v>170</v>
      </c>
      <c r="N26" s="8" t="s">
        <v>45</v>
      </c>
      <c r="O26" s="8" t="s">
        <v>11</v>
      </c>
      <c r="P26" s="8" t="s">
        <v>5</v>
      </c>
    </row>
    <row r="27" spans="1:16" x14ac:dyDescent="0.35">
      <c r="A27" s="14">
        <v>45511</v>
      </c>
      <c r="B27" s="3">
        <v>4</v>
      </c>
      <c r="C27" s="8" t="s">
        <v>47</v>
      </c>
      <c r="D27" s="8" t="s">
        <v>4</v>
      </c>
      <c r="E27" s="8" t="s">
        <v>81</v>
      </c>
      <c r="F27" s="8" t="s">
        <v>21</v>
      </c>
      <c r="G27" s="8" t="s">
        <v>5</v>
      </c>
      <c r="H27" s="8" t="s">
        <v>45</v>
      </c>
      <c r="I27" s="9">
        <v>5</v>
      </c>
      <c r="J27" s="10">
        <v>1</v>
      </c>
      <c r="K27" s="10" t="s">
        <v>10</v>
      </c>
      <c r="L27" s="10" t="s">
        <v>11</v>
      </c>
      <c r="M27" s="10" t="s">
        <v>19</v>
      </c>
      <c r="N27" s="10" t="s">
        <v>6</v>
      </c>
      <c r="O27" s="10" t="s">
        <v>118</v>
      </c>
      <c r="P27" s="10" t="s">
        <v>12</v>
      </c>
    </row>
    <row r="28" spans="1:16" x14ac:dyDescent="0.35">
      <c r="A28" s="14">
        <v>45511</v>
      </c>
      <c r="B28" s="3">
        <v>4</v>
      </c>
      <c r="C28" s="10" t="s">
        <v>10</v>
      </c>
      <c r="D28" s="10" t="s">
        <v>11</v>
      </c>
      <c r="E28" s="10" t="s">
        <v>19</v>
      </c>
      <c r="F28" s="10" t="s">
        <v>6</v>
      </c>
      <c r="G28" s="10" t="s">
        <v>118</v>
      </c>
      <c r="H28" s="10" t="s">
        <v>12</v>
      </c>
      <c r="I28" s="11">
        <v>5</v>
      </c>
      <c r="J28" s="2">
        <v>5</v>
      </c>
      <c r="K28" s="2" t="s">
        <v>1</v>
      </c>
      <c r="L28" s="2" t="s">
        <v>13</v>
      </c>
      <c r="M28" s="2" t="s">
        <v>44</v>
      </c>
      <c r="N28" s="2" t="s">
        <v>2</v>
      </c>
      <c r="O28" s="2" t="s">
        <v>8</v>
      </c>
      <c r="P28" s="3" t="s">
        <v>7</v>
      </c>
    </row>
    <row r="29" spans="1:16" x14ac:dyDescent="0.35">
      <c r="A29" s="14">
        <v>45511</v>
      </c>
      <c r="B29" s="5">
        <v>5</v>
      </c>
      <c r="C29" s="2" t="s">
        <v>1</v>
      </c>
      <c r="D29" s="2" t="s">
        <v>13</v>
      </c>
      <c r="E29" s="2" t="s">
        <v>44</v>
      </c>
      <c r="F29" s="2" t="s">
        <v>2</v>
      </c>
      <c r="G29" s="2" t="s">
        <v>8</v>
      </c>
      <c r="H29" s="3" t="s">
        <v>7</v>
      </c>
      <c r="I29" s="5">
        <v>6</v>
      </c>
      <c r="J29" s="12">
        <v>4</v>
      </c>
      <c r="K29" s="8" t="s">
        <v>47</v>
      </c>
      <c r="L29" s="8" t="s">
        <v>4</v>
      </c>
      <c r="M29" s="8" t="s">
        <v>81</v>
      </c>
      <c r="N29" s="8" t="s">
        <v>21</v>
      </c>
      <c r="O29" s="8" t="s">
        <v>5</v>
      </c>
      <c r="P29" s="8" t="s">
        <v>45</v>
      </c>
    </row>
    <row r="30" spans="1:16" x14ac:dyDescent="0.35">
      <c r="A30" s="14">
        <v>45518</v>
      </c>
      <c r="B30" s="3">
        <v>4</v>
      </c>
      <c r="C30" s="8" t="s">
        <v>44</v>
      </c>
      <c r="D30" s="8" t="s">
        <v>24</v>
      </c>
      <c r="E30" s="8" t="s">
        <v>52</v>
      </c>
      <c r="F30" s="8" t="s">
        <v>13</v>
      </c>
      <c r="G30" s="8" t="s">
        <v>118</v>
      </c>
      <c r="H30" s="8" t="s">
        <v>2</v>
      </c>
      <c r="I30" s="9">
        <v>2</v>
      </c>
      <c r="J30" s="10">
        <v>7</v>
      </c>
      <c r="K30" s="10" t="s">
        <v>1</v>
      </c>
      <c r="L30" s="10" t="s">
        <v>23</v>
      </c>
      <c r="M30" s="10" t="s">
        <v>12</v>
      </c>
      <c r="N30" s="10" t="s">
        <v>4</v>
      </c>
      <c r="O30" s="10" t="s">
        <v>7</v>
      </c>
      <c r="P30" s="10" t="s">
        <v>5</v>
      </c>
    </row>
    <row r="31" spans="1:16" x14ac:dyDescent="0.35">
      <c r="A31" s="14">
        <v>45518</v>
      </c>
      <c r="B31" s="3">
        <v>4</v>
      </c>
      <c r="C31" s="10" t="s">
        <v>1</v>
      </c>
      <c r="D31" s="10" t="s">
        <v>23</v>
      </c>
      <c r="E31" s="10" t="s">
        <v>12</v>
      </c>
      <c r="F31" s="10" t="s">
        <v>4</v>
      </c>
      <c r="G31" s="10" t="s">
        <v>7</v>
      </c>
      <c r="H31" s="10" t="s">
        <v>5</v>
      </c>
      <c r="I31" s="11">
        <v>4</v>
      </c>
      <c r="J31" s="2">
        <v>6</v>
      </c>
      <c r="K31" s="2" t="s">
        <v>81</v>
      </c>
      <c r="L31" s="2" t="s">
        <v>9</v>
      </c>
      <c r="M31" s="2" t="s">
        <v>19</v>
      </c>
      <c r="N31" s="2" t="s">
        <v>10</v>
      </c>
      <c r="O31" s="2" t="s">
        <v>21</v>
      </c>
      <c r="P31" s="3" t="s">
        <v>47</v>
      </c>
    </row>
    <row r="32" spans="1:16" x14ac:dyDescent="0.35">
      <c r="A32" s="14">
        <v>45518</v>
      </c>
      <c r="B32" s="5">
        <v>3</v>
      </c>
      <c r="C32" s="2" t="s">
        <v>81</v>
      </c>
      <c r="D32" s="2" t="s">
        <v>9</v>
      </c>
      <c r="E32" s="2" t="s">
        <v>19</v>
      </c>
      <c r="F32" s="2" t="s">
        <v>10</v>
      </c>
      <c r="G32" s="2" t="s">
        <v>21</v>
      </c>
      <c r="H32" s="3" t="s">
        <v>47</v>
      </c>
      <c r="I32" s="5">
        <v>4</v>
      </c>
      <c r="J32" s="12">
        <v>3</v>
      </c>
      <c r="K32" s="8" t="s">
        <v>44</v>
      </c>
      <c r="L32" s="8" t="s">
        <v>24</v>
      </c>
      <c r="M32" s="8" t="s">
        <v>52</v>
      </c>
      <c r="N32" s="8" t="s">
        <v>13</v>
      </c>
      <c r="O32" s="8" t="s">
        <v>118</v>
      </c>
      <c r="P32" s="8" t="s">
        <v>2</v>
      </c>
    </row>
    <row r="33" spans="1:16" x14ac:dyDescent="0.35">
      <c r="A33" s="14">
        <v>45525</v>
      </c>
      <c r="B33" s="3">
        <v>5</v>
      </c>
      <c r="C33" s="8" t="s">
        <v>13</v>
      </c>
      <c r="D33" s="8" t="s">
        <v>81</v>
      </c>
      <c r="E33" s="8" t="s">
        <v>9</v>
      </c>
      <c r="F33" s="8" t="s">
        <v>12</v>
      </c>
      <c r="G33" s="8" t="s">
        <v>170</v>
      </c>
      <c r="H33" s="8" t="s">
        <v>53</v>
      </c>
      <c r="I33" s="9">
        <v>7</v>
      </c>
      <c r="J33" s="10">
        <v>1</v>
      </c>
      <c r="K33" s="10" t="s">
        <v>10</v>
      </c>
      <c r="L33" s="10" t="s">
        <v>2</v>
      </c>
      <c r="M33" s="10" t="s">
        <v>44</v>
      </c>
      <c r="N33" s="10" t="s">
        <v>4</v>
      </c>
      <c r="O33" s="10" t="s">
        <v>24</v>
      </c>
      <c r="P33" s="10" t="s">
        <v>118</v>
      </c>
    </row>
    <row r="34" spans="1:16" x14ac:dyDescent="0.35">
      <c r="A34" s="14">
        <v>45525</v>
      </c>
      <c r="B34" s="3">
        <v>4</v>
      </c>
      <c r="C34" s="10" t="s">
        <v>10</v>
      </c>
      <c r="D34" s="10" t="s">
        <v>2</v>
      </c>
      <c r="E34" s="10" t="s">
        <v>44</v>
      </c>
      <c r="F34" s="10" t="s">
        <v>4</v>
      </c>
      <c r="G34" s="10" t="s">
        <v>24</v>
      </c>
      <c r="H34" s="10" t="s">
        <v>118</v>
      </c>
      <c r="I34" s="11">
        <v>5</v>
      </c>
      <c r="J34" s="2">
        <v>2</v>
      </c>
      <c r="K34" s="2" t="s">
        <v>1</v>
      </c>
      <c r="L34" s="2" t="s">
        <v>19</v>
      </c>
      <c r="M34" s="2" t="s">
        <v>5</v>
      </c>
      <c r="N34" s="2" t="s">
        <v>18</v>
      </c>
      <c r="O34" s="2" t="s">
        <v>45</v>
      </c>
      <c r="P34" s="3" t="s">
        <v>7</v>
      </c>
    </row>
    <row r="35" spans="1:16" x14ac:dyDescent="0.35">
      <c r="A35" s="14">
        <v>45525</v>
      </c>
      <c r="B35" s="5">
        <v>4</v>
      </c>
      <c r="C35" s="2" t="s">
        <v>1</v>
      </c>
      <c r="D35" s="2" t="s">
        <v>19</v>
      </c>
      <c r="E35" s="2" t="s">
        <v>5</v>
      </c>
      <c r="F35" s="2" t="s">
        <v>18</v>
      </c>
      <c r="G35" s="2" t="s">
        <v>45</v>
      </c>
      <c r="H35" s="3" t="s">
        <v>7</v>
      </c>
      <c r="I35" s="5">
        <v>2</v>
      </c>
      <c r="J35" s="12">
        <v>1</v>
      </c>
      <c r="K35" s="8" t="s">
        <v>13</v>
      </c>
      <c r="L35" s="8" t="s">
        <v>81</v>
      </c>
      <c r="M35" s="8" t="s">
        <v>9</v>
      </c>
      <c r="N35" s="8" t="s">
        <v>12</v>
      </c>
      <c r="O35" s="8" t="s">
        <v>170</v>
      </c>
      <c r="P35" s="8" t="s">
        <v>53</v>
      </c>
    </row>
    <row r="36" spans="1:16" x14ac:dyDescent="0.35">
      <c r="A36" s="14">
        <v>45532</v>
      </c>
      <c r="B36" s="3">
        <v>4</v>
      </c>
      <c r="C36" s="8" t="s">
        <v>19</v>
      </c>
      <c r="D36" s="8" t="s">
        <v>6</v>
      </c>
      <c r="E36" s="8" t="s">
        <v>44</v>
      </c>
      <c r="F36" s="8" t="s">
        <v>45</v>
      </c>
      <c r="G36" s="8" t="s">
        <v>18</v>
      </c>
      <c r="H36" s="8" t="s">
        <v>49</v>
      </c>
      <c r="I36" s="9">
        <v>4</v>
      </c>
      <c r="J36" s="10">
        <v>7</v>
      </c>
      <c r="K36" s="10" t="s">
        <v>81</v>
      </c>
      <c r="L36" s="10" t="s">
        <v>9</v>
      </c>
      <c r="M36" s="10" t="s">
        <v>21</v>
      </c>
      <c r="N36" s="10" t="s">
        <v>11</v>
      </c>
      <c r="O36" s="10" t="s">
        <v>10</v>
      </c>
      <c r="P36" s="10" t="s">
        <v>118</v>
      </c>
    </row>
    <row r="37" spans="1:16" x14ac:dyDescent="0.35">
      <c r="A37" s="14">
        <v>45532</v>
      </c>
      <c r="B37" s="3">
        <v>5</v>
      </c>
      <c r="C37" s="10" t="s">
        <v>81</v>
      </c>
      <c r="D37" s="10" t="s">
        <v>9</v>
      </c>
      <c r="E37" s="10" t="s">
        <v>21</v>
      </c>
      <c r="F37" s="10" t="s">
        <v>11</v>
      </c>
      <c r="G37" s="10" t="s">
        <v>10</v>
      </c>
      <c r="H37" s="10" t="s">
        <v>118</v>
      </c>
      <c r="I37" s="11">
        <v>6</v>
      </c>
      <c r="J37" s="2">
        <v>4</v>
      </c>
      <c r="K37" s="2" t="s">
        <v>1</v>
      </c>
      <c r="L37" s="2" t="s">
        <v>4</v>
      </c>
      <c r="M37" s="2" t="s">
        <v>12</v>
      </c>
      <c r="N37" s="2" t="s">
        <v>23</v>
      </c>
      <c r="O37" s="2" t="s">
        <v>5</v>
      </c>
      <c r="P37" s="3" t="s">
        <v>24</v>
      </c>
    </row>
    <row r="38" spans="1:16" x14ac:dyDescent="0.35">
      <c r="A38" s="14">
        <v>45532</v>
      </c>
      <c r="B38" s="5">
        <v>4</v>
      </c>
      <c r="C38" s="2" t="s">
        <v>1</v>
      </c>
      <c r="D38" s="2" t="s">
        <v>4</v>
      </c>
      <c r="E38" s="2" t="s">
        <v>12</v>
      </c>
      <c r="F38" s="2" t="s">
        <v>23</v>
      </c>
      <c r="G38" s="2" t="s">
        <v>5</v>
      </c>
      <c r="H38" s="3" t="s">
        <v>24</v>
      </c>
      <c r="I38" s="5">
        <v>1</v>
      </c>
      <c r="J38" s="8">
        <v>4</v>
      </c>
      <c r="K38" s="8" t="s">
        <v>19</v>
      </c>
      <c r="L38" s="8" t="s">
        <v>6</v>
      </c>
      <c r="M38" s="8" t="s">
        <v>44</v>
      </c>
      <c r="N38" s="8" t="s">
        <v>45</v>
      </c>
      <c r="O38" s="8" t="s">
        <v>18</v>
      </c>
      <c r="P38" s="8" t="s">
        <v>49</v>
      </c>
    </row>
    <row r="39" spans="1:16" x14ac:dyDescent="0.35">
      <c r="A39" s="14">
        <v>45539</v>
      </c>
      <c r="B39" s="3">
        <v>6</v>
      </c>
      <c r="C39" s="8" t="s">
        <v>10</v>
      </c>
      <c r="D39" s="8" t="s">
        <v>44</v>
      </c>
      <c r="E39" s="8" t="s">
        <v>81</v>
      </c>
      <c r="F39" s="8" t="s">
        <v>3</v>
      </c>
      <c r="G39" s="8" t="s">
        <v>4</v>
      </c>
      <c r="H39" s="8" t="s">
        <v>24</v>
      </c>
      <c r="I39" s="9">
        <v>5</v>
      </c>
      <c r="J39" s="10">
        <v>5</v>
      </c>
      <c r="K39" s="10" t="s">
        <v>13</v>
      </c>
      <c r="L39" s="10" t="s">
        <v>5</v>
      </c>
      <c r="M39" s="10" t="s">
        <v>118</v>
      </c>
      <c r="N39" s="10" t="s">
        <v>8</v>
      </c>
      <c r="O39" s="10" t="s">
        <v>45</v>
      </c>
      <c r="P39" s="10" t="s">
        <v>6</v>
      </c>
    </row>
    <row r="40" spans="1:16" x14ac:dyDescent="0.35">
      <c r="A40" s="14">
        <v>45539</v>
      </c>
      <c r="B40" s="3">
        <v>5</v>
      </c>
      <c r="C40" s="10" t="s">
        <v>13</v>
      </c>
      <c r="D40" s="10" t="s">
        <v>5</v>
      </c>
      <c r="E40" s="10" t="s">
        <v>118</v>
      </c>
      <c r="F40" s="10" t="s">
        <v>8</v>
      </c>
      <c r="G40" s="10" t="s">
        <v>45</v>
      </c>
      <c r="H40" s="10" t="s">
        <v>6</v>
      </c>
      <c r="I40" s="11">
        <v>7</v>
      </c>
      <c r="J40" s="2">
        <v>2</v>
      </c>
      <c r="K40" s="2" t="s">
        <v>1</v>
      </c>
      <c r="L40" s="2" t="s">
        <v>9</v>
      </c>
      <c r="M40" s="2" t="s">
        <v>18</v>
      </c>
      <c r="N40" s="2" t="s">
        <v>54</v>
      </c>
      <c r="O40" s="2" t="s">
        <v>11</v>
      </c>
      <c r="P40" s="3" t="s">
        <v>2</v>
      </c>
    </row>
    <row r="41" spans="1:16" x14ac:dyDescent="0.35">
      <c r="A41" s="14">
        <v>45539</v>
      </c>
      <c r="B41" s="5">
        <v>5</v>
      </c>
      <c r="C41" s="2" t="s">
        <v>1</v>
      </c>
      <c r="D41" s="2" t="s">
        <v>9</v>
      </c>
      <c r="E41" s="2" t="s">
        <v>18</v>
      </c>
      <c r="F41" s="2" t="s">
        <v>54</v>
      </c>
      <c r="G41" s="2" t="s">
        <v>11</v>
      </c>
      <c r="H41" s="3" t="s">
        <v>2</v>
      </c>
      <c r="I41" s="5">
        <v>5</v>
      </c>
      <c r="J41" s="8">
        <v>5</v>
      </c>
      <c r="K41" s="8" t="s">
        <v>10</v>
      </c>
      <c r="L41" s="8" t="s">
        <v>44</v>
      </c>
      <c r="M41" s="8" t="s">
        <v>81</v>
      </c>
      <c r="N41" s="8" t="s">
        <v>3</v>
      </c>
      <c r="O41" s="8" t="s">
        <v>4</v>
      </c>
      <c r="P41" s="8" t="s">
        <v>24</v>
      </c>
    </row>
    <row r="42" spans="1:16" x14ac:dyDescent="0.35">
      <c r="A42" s="14">
        <v>45546</v>
      </c>
      <c r="B42" s="3">
        <v>5</v>
      </c>
      <c r="C42" s="8" t="s">
        <v>9</v>
      </c>
      <c r="D42" s="8" t="s">
        <v>81</v>
      </c>
      <c r="E42" s="8" t="s">
        <v>11</v>
      </c>
      <c r="F42" s="8" t="s">
        <v>6</v>
      </c>
      <c r="G42" s="8" t="s">
        <v>2</v>
      </c>
      <c r="H42" s="8" t="s">
        <v>4</v>
      </c>
      <c r="I42" s="9">
        <v>5</v>
      </c>
      <c r="J42" s="10">
        <v>9</v>
      </c>
      <c r="K42" s="10" t="s">
        <v>1</v>
      </c>
      <c r="L42" s="10" t="s">
        <v>118</v>
      </c>
      <c r="M42" s="10" t="s">
        <v>14</v>
      </c>
      <c r="N42" s="10" t="s">
        <v>3</v>
      </c>
      <c r="O42" s="10" t="s">
        <v>44</v>
      </c>
      <c r="P42" s="10" t="s">
        <v>45</v>
      </c>
    </row>
    <row r="43" spans="1:16" x14ac:dyDescent="0.35">
      <c r="A43" s="14">
        <v>45546</v>
      </c>
      <c r="B43" s="3">
        <v>4</v>
      </c>
      <c r="C43" s="10" t="s">
        <v>1</v>
      </c>
      <c r="D43" s="10" t="s">
        <v>118</v>
      </c>
      <c r="E43" s="10" t="s">
        <v>14</v>
      </c>
      <c r="F43" s="10" t="s">
        <v>3</v>
      </c>
      <c r="G43" s="10" t="s">
        <v>44</v>
      </c>
      <c r="H43" s="10" t="s">
        <v>45</v>
      </c>
      <c r="I43" s="11">
        <v>5</v>
      </c>
      <c r="J43" s="2">
        <v>3</v>
      </c>
      <c r="K43" s="2" t="s">
        <v>10</v>
      </c>
      <c r="L43" s="2" t="s">
        <v>18</v>
      </c>
      <c r="M43" s="2" t="s">
        <v>5</v>
      </c>
      <c r="N43" s="2" t="s">
        <v>19</v>
      </c>
      <c r="O43" s="2" t="s">
        <v>13</v>
      </c>
      <c r="P43" s="3" t="s">
        <v>24</v>
      </c>
    </row>
    <row r="44" spans="1:16" x14ac:dyDescent="0.35">
      <c r="A44" s="14">
        <v>45546</v>
      </c>
      <c r="B44" s="5">
        <v>4</v>
      </c>
      <c r="C44" s="2" t="s">
        <v>10</v>
      </c>
      <c r="D44" s="2" t="s">
        <v>18</v>
      </c>
      <c r="E44" s="2" t="s">
        <v>5</v>
      </c>
      <c r="F44" s="2" t="s">
        <v>19</v>
      </c>
      <c r="G44" s="2" t="s">
        <v>13</v>
      </c>
      <c r="H44" s="3" t="s">
        <v>24</v>
      </c>
      <c r="I44" s="5">
        <v>4</v>
      </c>
      <c r="J44" s="8">
        <v>3</v>
      </c>
      <c r="K44" s="8" t="s">
        <v>9</v>
      </c>
      <c r="L44" s="8" t="s">
        <v>81</v>
      </c>
      <c r="M44" s="8" t="s">
        <v>11</v>
      </c>
      <c r="N44" s="8" t="s">
        <v>6</v>
      </c>
      <c r="O44" s="8" t="s">
        <v>2</v>
      </c>
      <c r="P44" s="8" t="s">
        <v>4</v>
      </c>
    </row>
    <row r="45" spans="1:16" x14ac:dyDescent="0.35">
      <c r="A45" s="14">
        <v>45553</v>
      </c>
      <c r="B45" s="3">
        <v>4</v>
      </c>
      <c r="C45" s="8" t="s">
        <v>1</v>
      </c>
      <c r="D45" s="8" t="s">
        <v>4</v>
      </c>
      <c r="E45" s="8" t="s">
        <v>81</v>
      </c>
      <c r="F45" s="8" t="s">
        <v>18</v>
      </c>
      <c r="G45" s="8" t="s">
        <v>3</v>
      </c>
      <c r="H45" s="8" t="s">
        <v>43</v>
      </c>
      <c r="I45" s="9">
        <v>3</v>
      </c>
      <c r="J45" s="10">
        <v>0</v>
      </c>
      <c r="K45" s="10" t="s">
        <v>13</v>
      </c>
      <c r="L45" s="10" t="s">
        <v>55</v>
      </c>
      <c r="M45" s="10" t="s">
        <v>14</v>
      </c>
      <c r="N45" s="10" t="s">
        <v>118</v>
      </c>
      <c r="O45" s="10" t="s">
        <v>19</v>
      </c>
      <c r="P45" s="10" t="s">
        <v>2</v>
      </c>
    </row>
    <row r="46" spans="1:16" x14ac:dyDescent="0.35">
      <c r="A46" s="14">
        <v>45553</v>
      </c>
      <c r="B46" s="3">
        <v>3</v>
      </c>
      <c r="C46" s="10" t="s">
        <v>13</v>
      </c>
      <c r="D46" s="10" t="s">
        <v>55</v>
      </c>
      <c r="E46" s="10" t="s">
        <v>14</v>
      </c>
      <c r="F46" s="10" t="s">
        <v>118</v>
      </c>
      <c r="G46" s="10" t="s">
        <v>19</v>
      </c>
      <c r="H46" s="10" t="s">
        <v>2</v>
      </c>
      <c r="I46" s="11">
        <v>1</v>
      </c>
      <c r="J46" s="2">
        <v>1</v>
      </c>
      <c r="K46" s="2" t="s">
        <v>17</v>
      </c>
      <c r="L46" s="2" t="s">
        <v>9</v>
      </c>
      <c r="M46" s="2" t="s">
        <v>10</v>
      </c>
      <c r="N46" s="2" t="s">
        <v>54</v>
      </c>
      <c r="O46" s="2" t="s">
        <v>45</v>
      </c>
      <c r="P46" s="3" t="s">
        <v>5</v>
      </c>
    </row>
    <row r="47" spans="1:16" x14ac:dyDescent="0.35">
      <c r="A47" s="14">
        <v>45553</v>
      </c>
      <c r="B47" s="5">
        <v>5</v>
      </c>
      <c r="C47" s="2" t="s">
        <v>17</v>
      </c>
      <c r="D47" s="2" t="s">
        <v>9</v>
      </c>
      <c r="E47" s="2" t="s">
        <v>10</v>
      </c>
      <c r="F47" s="2" t="s">
        <v>54</v>
      </c>
      <c r="G47" s="2" t="s">
        <v>45</v>
      </c>
      <c r="H47" s="3" t="s">
        <v>5</v>
      </c>
      <c r="I47" s="5">
        <v>3</v>
      </c>
      <c r="J47" s="8">
        <v>4</v>
      </c>
      <c r="K47" s="8" t="s">
        <v>1</v>
      </c>
      <c r="L47" s="8" t="s">
        <v>4</v>
      </c>
      <c r="M47" s="8" t="s">
        <v>81</v>
      </c>
      <c r="N47" s="8" t="s">
        <v>18</v>
      </c>
      <c r="O47" s="8" t="s">
        <v>3</v>
      </c>
      <c r="P47" s="8" t="s">
        <v>43</v>
      </c>
    </row>
    <row r="48" spans="1:16" x14ac:dyDescent="0.35">
      <c r="A48" s="14">
        <v>45560</v>
      </c>
      <c r="B48" s="3">
        <v>6</v>
      </c>
      <c r="C48" s="8" t="s">
        <v>118</v>
      </c>
      <c r="D48" s="8" t="s">
        <v>12</v>
      </c>
      <c r="E48" s="8" t="s">
        <v>81</v>
      </c>
      <c r="F48" s="8" t="s">
        <v>42</v>
      </c>
      <c r="G48" s="8" t="s">
        <v>16</v>
      </c>
      <c r="H48" s="8"/>
      <c r="I48" s="9">
        <v>9</v>
      </c>
      <c r="J48" s="10">
        <v>3</v>
      </c>
      <c r="K48" s="10" t="s">
        <v>14</v>
      </c>
      <c r="L48" s="10" t="s">
        <v>13</v>
      </c>
      <c r="M48" s="10" t="s">
        <v>10</v>
      </c>
      <c r="N48" s="10" t="s">
        <v>19</v>
      </c>
      <c r="O48" s="10" t="s">
        <v>4</v>
      </c>
      <c r="P48" s="10"/>
    </row>
    <row r="49" spans="1:16" x14ac:dyDescent="0.35">
      <c r="A49" s="14">
        <v>45560</v>
      </c>
      <c r="B49" s="3">
        <v>4</v>
      </c>
      <c r="C49" s="10" t="s">
        <v>14</v>
      </c>
      <c r="D49" s="10" t="s">
        <v>13</v>
      </c>
      <c r="E49" s="10" t="s">
        <v>10</v>
      </c>
      <c r="F49" s="10" t="s">
        <v>19</v>
      </c>
      <c r="G49" s="10" t="s">
        <v>4</v>
      </c>
      <c r="H49" s="10"/>
      <c r="I49" s="11">
        <v>7</v>
      </c>
      <c r="J49" s="2">
        <v>4</v>
      </c>
      <c r="K49" s="2" t="s">
        <v>1</v>
      </c>
      <c r="L49" s="2" t="s">
        <v>3</v>
      </c>
      <c r="M49" s="2" t="s">
        <v>59</v>
      </c>
      <c r="N49" s="2" t="s">
        <v>60</v>
      </c>
      <c r="O49" s="2" t="s">
        <v>2</v>
      </c>
      <c r="P49" s="3"/>
    </row>
    <row r="50" spans="1:16" x14ac:dyDescent="0.35">
      <c r="A50" s="14">
        <v>45560</v>
      </c>
      <c r="B50" s="5">
        <v>7</v>
      </c>
      <c r="C50" s="2" t="s">
        <v>1</v>
      </c>
      <c r="D50" s="2" t="s">
        <v>3</v>
      </c>
      <c r="E50" s="2" t="s">
        <v>59</v>
      </c>
      <c r="F50" s="2" t="s">
        <v>60</v>
      </c>
      <c r="G50" s="2" t="s">
        <v>2</v>
      </c>
      <c r="H50" s="3"/>
      <c r="I50" s="5">
        <v>7</v>
      </c>
      <c r="J50" s="8">
        <v>11</v>
      </c>
      <c r="K50" s="8" t="s">
        <v>118</v>
      </c>
      <c r="L50" s="8" t="s">
        <v>12</v>
      </c>
      <c r="M50" s="8" t="s">
        <v>81</v>
      </c>
      <c r="N50" s="8" t="s">
        <v>42</v>
      </c>
      <c r="O50" s="8" t="s">
        <v>16</v>
      </c>
      <c r="P50" s="8"/>
    </row>
    <row r="51" spans="1:16" x14ac:dyDescent="0.35">
      <c r="A51" s="14">
        <v>45568</v>
      </c>
      <c r="B51" s="3">
        <v>6</v>
      </c>
      <c r="C51" s="8" t="s">
        <v>118</v>
      </c>
      <c r="D51" s="8" t="s">
        <v>81</v>
      </c>
      <c r="E51" s="8" t="s">
        <v>13</v>
      </c>
      <c r="F51" s="8" t="s">
        <v>62</v>
      </c>
      <c r="G51" s="8" t="s">
        <v>55</v>
      </c>
      <c r="H51" s="8" t="s">
        <v>4</v>
      </c>
      <c r="I51" s="9">
        <v>5</v>
      </c>
      <c r="J51" s="10">
        <v>6</v>
      </c>
      <c r="K51" s="10" t="s">
        <v>1</v>
      </c>
      <c r="L51" s="10" t="s">
        <v>19</v>
      </c>
      <c r="M51" s="10" t="s">
        <v>10</v>
      </c>
      <c r="N51" s="10" t="s">
        <v>21</v>
      </c>
      <c r="O51" s="10" t="s">
        <v>43</v>
      </c>
      <c r="P51" s="10" t="s">
        <v>2</v>
      </c>
    </row>
    <row r="52" spans="1:16" x14ac:dyDescent="0.35">
      <c r="A52" s="14">
        <v>45568</v>
      </c>
      <c r="B52" s="3">
        <v>3</v>
      </c>
      <c r="C52" s="10" t="s">
        <v>1</v>
      </c>
      <c r="D52" s="10" t="s">
        <v>19</v>
      </c>
      <c r="E52" s="10" t="s">
        <v>10</v>
      </c>
      <c r="F52" s="10" t="s">
        <v>21</v>
      </c>
      <c r="G52" s="10" t="s">
        <v>43</v>
      </c>
      <c r="H52" s="10" t="s">
        <v>2</v>
      </c>
      <c r="I52" s="11">
        <v>4</v>
      </c>
      <c r="J52" s="2">
        <v>3</v>
      </c>
      <c r="K52" s="2" t="s">
        <v>9</v>
      </c>
      <c r="L52" s="2" t="s">
        <v>60</v>
      </c>
      <c r="M52" s="2" t="s">
        <v>14</v>
      </c>
      <c r="N52" s="2" t="s">
        <v>6</v>
      </c>
      <c r="O52" s="2" t="s">
        <v>11</v>
      </c>
      <c r="P52" s="3" t="s">
        <v>24</v>
      </c>
    </row>
    <row r="53" spans="1:16" x14ac:dyDescent="0.35">
      <c r="A53" s="14">
        <v>45568</v>
      </c>
      <c r="B53" s="5">
        <v>5</v>
      </c>
      <c r="C53" s="2" t="s">
        <v>9</v>
      </c>
      <c r="D53" s="2" t="s">
        <v>60</v>
      </c>
      <c r="E53" s="2" t="s">
        <v>14</v>
      </c>
      <c r="F53" s="2" t="s">
        <v>6</v>
      </c>
      <c r="G53" s="2" t="s">
        <v>11</v>
      </c>
      <c r="H53" s="3" t="s">
        <v>24</v>
      </c>
      <c r="I53" s="5">
        <v>2</v>
      </c>
      <c r="J53" s="8">
        <v>8</v>
      </c>
      <c r="K53" s="8" t="s">
        <v>118</v>
      </c>
      <c r="L53" s="8" t="s">
        <v>81</v>
      </c>
      <c r="M53" s="8" t="s">
        <v>13</v>
      </c>
      <c r="N53" s="8" t="s">
        <v>62</v>
      </c>
      <c r="O53" s="8" t="s">
        <v>55</v>
      </c>
      <c r="P53" s="8" t="s">
        <v>4</v>
      </c>
    </row>
    <row r="54" spans="1:16" x14ac:dyDescent="0.35">
      <c r="A54" s="14">
        <v>45574</v>
      </c>
      <c r="B54" s="3">
        <v>5</v>
      </c>
      <c r="C54" s="8" t="s">
        <v>10</v>
      </c>
      <c r="D54" s="8" t="s">
        <v>13</v>
      </c>
      <c r="E54" s="8" t="s">
        <v>2</v>
      </c>
      <c r="F54" s="8" t="s">
        <v>14</v>
      </c>
      <c r="G54" s="8" t="s">
        <v>6</v>
      </c>
      <c r="H54" s="8" t="s">
        <v>81</v>
      </c>
      <c r="I54" s="9">
        <v>4</v>
      </c>
      <c r="J54" s="10">
        <v>2</v>
      </c>
      <c r="K54" s="10" t="s">
        <v>9</v>
      </c>
      <c r="L54" s="10" t="s">
        <v>118</v>
      </c>
      <c r="M54" s="10" t="s">
        <v>43</v>
      </c>
      <c r="N54" s="10" t="s">
        <v>24</v>
      </c>
      <c r="O54" s="10" t="s">
        <v>54</v>
      </c>
      <c r="P54" s="10" t="s">
        <v>60</v>
      </c>
    </row>
    <row r="55" spans="1:16" x14ac:dyDescent="0.35">
      <c r="A55" s="14">
        <v>45574</v>
      </c>
      <c r="B55" s="3">
        <v>5</v>
      </c>
      <c r="C55" s="10" t="s">
        <v>9</v>
      </c>
      <c r="D55" s="10" t="s">
        <v>118</v>
      </c>
      <c r="E55" s="10" t="s">
        <v>43</v>
      </c>
      <c r="F55" s="10" t="s">
        <v>24</v>
      </c>
      <c r="G55" s="10" t="s">
        <v>54</v>
      </c>
      <c r="H55" s="10" t="s">
        <v>60</v>
      </c>
      <c r="I55" s="11">
        <v>7</v>
      </c>
      <c r="J55" s="2">
        <v>4</v>
      </c>
      <c r="K55" s="2" t="s">
        <v>1</v>
      </c>
      <c r="L55" s="2" t="s">
        <v>59</v>
      </c>
      <c r="M55" s="2" t="s">
        <v>11</v>
      </c>
      <c r="N55" s="2" t="s">
        <v>4</v>
      </c>
      <c r="O55" s="2" t="s">
        <v>19</v>
      </c>
      <c r="P55" s="3" t="s">
        <v>18</v>
      </c>
    </row>
    <row r="56" spans="1:16" x14ac:dyDescent="0.35">
      <c r="A56" s="14">
        <v>45574</v>
      </c>
      <c r="B56" s="5">
        <v>4</v>
      </c>
      <c r="C56" s="2" t="s">
        <v>1</v>
      </c>
      <c r="D56" s="2" t="s">
        <v>59</v>
      </c>
      <c r="E56" s="2" t="s">
        <v>11</v>
      </c>
      <c r="F56" s="2" t="s">
        <v>4</v>
      </c>
      <c r="G56" s="2" t="s">
        <v>19</v>
      </c>
      <c r="H56" s="3" t="s">
        <v>18</v>
      </c>
      <c r="I56" s="5">
        <v>2</v>
      </c>
      <c r="J56" s="8">
        <v>2</v>
      </c>
      <c r="K56" s="8" t="s">
        <v>10</v>
      </c>
      <c r="L56" s="8" t="s">
        <v>13</v>
      </c>
      <c r="M56" s="8" t="s">
        <v>2</v>
      </c>
      <c r="N56" s="8" t="s">
        <v>14</v>
      </c>
      <c r="O56" s="8" t="s">
        <v>6</v>
      </c>
      <c r="P56" s="8" t="s">
        <v>81</v>
      </c>
    </row>
    <row r="57" spans="1:16" x14ac:dyDescent="0.35">
      <c r="A57" s="14">
        <v>45581</v>
      </c>
      <c r="B57" s="3">
        <v>5</v>
      </c>
      <c r="C57" s="8" t="s">
        <v>1</v>
      </c>
      <c r="D57" s="8" t="s">
        <v>45</v>
      </c>
      <c r="E57" s="8" t="s">
        <v>5</v>
      </c>
      <c r="F57" s="8" t="s">
        <v>24</v>
      </c>
      <c r="G57" s="8" t="s">
        <v>62</v>
      </c>
      <c r="H57" s="8" t="s">
        <v>2</v>
      </c>
      <c r="I57" s="9">
        <v>3</v>
      </c>
      <c r="J57" s="10">
        <v>7</v>
      </c>
      <c r="K57" s="10" t="s">
        <v>59</v>
      </c>
      <c r="L57" s="10" t="s">
        <v>81</v>
      </c>
      <c r="M57" s="10" t="s">
        <v>14</v>
      </c>
      <c r="N57" s="10" t="s">
        <v>10</v>
      </c>
      <c r="O57" s="10" t="s">
        <v>118</v>
      </c>
      <c r="P57" s="10" t="s">
        <v>6</v>
      </c>
    </row>
    <row r="58" spans="1:16" x14ac:dyDescent="0.35">
      <c r="A58" s="14">
        <v>45581</v>
      </c>
      <c r="B58" s="3">
        <v>5</v>
      </c>
      <c r="C58" s="10" t="s">
        <v>59</v>
      </c>
      <c r="D58" s="10" t="s">
        <v>81</v>
      </c>
      <c r="E58" s="10" t="s">
        <v>14</v>
      </c>
      <c r="F58" s="10" t="s">
        <v>10</v>
      </c>
      <c r="G58" s="10" t="s">
        <v>118</v>
      </c>
      <c r="H58" s="10" t="s">
        <v>6</v>
      </c>
      <c r="I58" s="11">
        <v>3</v>
      </c>
      <c r="J58" s="2">
        <v>4</v>
      </c>
      <c r="K58" s="2" t="s">
        <v>4</v>
      </c>
      <c r="L58" s="2" t="s">
        <v>19</v>
      </c>
      <c r="M58" s="2" t="s">
        <v>54</v>
      </c>
      <c r="N58" s="2" t="s">
        <v>47</v>
      </c>
      <c r="O58" s="2" t="s">
        <v>18</v>
      </c>
      <c r="P58" s="3" t="s">
        <v>8</v>
      </c>
    </row>
    <row r="59" spans="1:16" x14ac:dyDescent="0.35">
      <c r="A59" s="14">
        <v>45581</v>
      </c>
      <c r="B59" s="5">
        <v>4</v>
      </c>
      <c r="C59" s="2" t="s">
        <v>4</v>
      </c>
      <c r="D59" s="2" t="s">
        <v>19</v>
      </c>
      <c r="E59" s="2" t="s">
        <v>54</v>
      </c>
      <c r="F59" s="2" t="s">
        <v>47</v>
      </c>
      <c r="G59" s="2" t="s">
        <v>18</v>
      </c>
      <c r="H59" s="3" t="s">
        <v>8</v>
      </c>
      <c r="I59" s="5">
        <v>3</v>
      </c>
      <c r="J59" s="8">
        <v>2</v>
      </c>
      <c r="K59" s="8" t="s">
        <v>1</v>
      </c>
      <c r="L59" s="8" t="s">
        <v>45</v>
      </c>
      <c r="M59" s="8" t="s">
        <v>5</v>
      </c>
      <c r="N59" s="8" t="s">
        <v>24</v>
      </c>
      <c r="O59" s="8" t="s">
        <v>62</v>
      </c>
      <c r="P59" s="8" t="s">
        <v>2</v>
      </c>
    </row>
    <row r="60" spans="1:16" x14ac:dyDescent="0.35">
      <c r="A60" s="14">
        <v>45588</v>
      </c>
      <c r="B60" s="3">
        <v>5</v>
      </c>
      <c r="C60" s="8" t="s">
        <v>1</v>
      </c>
      <c r="D60" s="8" t="s">
        <v>53</v>
      </c>
      <c r="E60" s="8" t="s">
        <v>81</v>
      </c>
      <c r="F60" s="8" t="s">
        <v>14</v>
      </c>
      <c r="G60" s="8" t="s">
        <v>4</v>
      </c>
      <c r="H60" s="8" t="s">
        <v>2</v>
      </c>
      <c r="I60" s="9">
        <v>3</v>
      </c>
      <c r="J60" s="10">
        <v>2</v>
      </c>
      <c r="K60" s="10" t="s">
        <v>15</v>
      </c>
      <c r="L60" s="10" t="s">
        <v>55</v>
      </c>
      <c r="M60" s="10" t="s">
        <v>9</v>
      </c>
      <c r="N60" s="10" t="s">
        <v>13</v>
      </c>
      <c r="O60" s="10" t="s">
        <v>118</v>
      </c>
      <c r="P60" s="10" t="s">
        <v>65</v>
      </c>
    </row>
    <row r="61" spans="1:16" x14ac:dyDescent="0.35">
      <c r="A61" s="14">
        <v>45588</v>
      </c>
      <c r="B61" s="3">
        <v>5</v>
      </c>
      <c r="C61" s="10" t="s">
        <v>15</v>
      </c>
      <c r="D61" s="10" t="s">
        <v>55</v>
      </c>
      <c r="E61" s="10" t="s">
        <v>9</v>
      </c>
      <c r="F61" s="10" t="s">
        <v>13</v>
      </c>
      <c r="G61" s="10" t="s">
        <v>118</v>
      </c>
      <c r="H61" s="10" t="s">
        <v>65</v>
      </c>
      <c r="I61" s="11">
        <v>6</v>
      </c>
      <c r="J61" s="2">
        <v>3</v>
      </c>
      <c r="K61" s="2" t="s">
        <v>24</v>
      </c>
      <c r="L61" s="2" t="s">
        <v>18</v>
      </c>
      <c r="M61" s="2" t="s">
        <v>10</v>
      </c>
      <c r="N61" s="2" t="s">
        <v>54</v>
      </c>
      <c r="O61" s="2" t="s">
        <v>5</v>
      </c>
      <c r="P61" s="3" t="s">
        <v>19</v>
      </c>
    </row>
    <row r="62" spans="1:16" x14ac:dyDescent="0.35">
      <c r="A62" s="14">
        <v>45588</v>
      </c>
      <c r="B62" s="5">
        <v>4</v>
      </c>
      <c r="C62" s="2" t="s">
        <v>24</v>
      </c>
      <c r="D62" s="2" t="s">
        <v>18</v>
      </c>
      <c r="E62" s="2" t="s">
        <v>10</v>
      </c>
      <c r="F62" s="2" t="s">
        <v>54</v>
      </c>
      <c r="G62" s="2" t="s">
        <v>5</v>
      </c>
      <c r="H62" s="3" t="s">
        <v>19</v>
      </c>
      <c r="I62" s="5">
        <v>5</v>
      </c>
      <c r="J62" s="8">
        <v>2</v>
      </c>
      <c r="K62" s="8" t="s">
        <v>1</v>
      </c>
      <c r="L62" s="8" t="s">
        <v>53</v>
      </c>
      <c r="M62" s="8" t="s">
        <v>81</v>
      </c>
      <c r="N62" s="8" t="s">
        <v>14</v>
      </c>
      <c r="O62" s="8" t="s">
        <v>4</v>
      </c>
      <c r="P62" s="8" t="s">
        <v>2</v>
      </c>
    </row>
    <row r="63" spans="1:16" x14ac:dyDescent="0.35">
      <c r="A63" s="14">
        <v>45595</v>
      </c>
      <c r="B63" s="3">
        <v>5</v>
      </c>
      <c r="C63" s="8" t="s">
        <v>1</v>
      </c>
      <c r="D63" s="8" t="s">
        <v>19</v>
      </c>
      <c r="E63" s="8" t="s">
        <v>4</v>
      </c>
      <c r="F63" s="8" t="s">
        <v>65</v>
      </c>
      <c r="G63" s="8" t="s">
        <v>18</v>
      </c>
      <c r="H63" s="8" t="s">
        <v>15</v>
      </c>
      <c r="I63" s="9">
        <v>0</v>
      </c>
      <c r="J63" s="10">
        <v>5</v>
      </c>
      <c r="K63" s="10" t="s">
        <v>81</v>
      </c>
      <c r="L63" s="10" t="s">
        <v>118</v>
      </c>
      <c r="M63" s="10" t="s">
        <v>14</v>
      </c>
      <c r="N63" s="10" t="s">
        <v>53</v>
      </c>
      <c r="O63" s="10" t="s">
        <v>2</v>
      </c>
      <c r="P63" s="10" t="s">
        <v>60</v>
      </c>
    </row>
    <row r="64" spans="1:16" x14ac:dyDescent="0.35">
      <c r="A64" s="14">
        <v>45595</v>
      </c>
      <c r="B64" s="3">
        <v>4</v>
      </c>
      <c r="C64" s="10" t="s">
        <v>81</v>
      </c>
      <c r="D64" s="10" t="s">
        <v>118</v>
      </c>
      <c r="E64" s="10" t="s">
        <v>14</v>
      </c>
      <c r="F64" s="10" t="s">
        <v>53</v>
      </c>
      <c r="G64" s="10" t="s">
        <v>2</v>
      </c>
      <c r="H64" s="10" t="s">
        <v>60</v>
      </c>
      <c r="I64" s="11">
        <v>1</v>
      </c>
      <c r="J64" s="2">
        <v>4</v>
      </c>
      <c r="K64" s="2" t="s">
        <v>62</v>
      </c>
      <c r="L64" s="2" t="s">
        <v>5</v>
      </c>
      <c r="M64" s="2" t="s">
        <v>54</v>
      </c>
      <c r="N64" s="2" t="s">
        <v>6</v>
      </c>
      <c r="O64" s="2" t="s">
        <v>24</v>
      </c>
      <c r="P64" s="3" t="s">
        <v>9</v>
      </c>
    </row>
    <row r="65" spans="1:16" x14ac:dyDescent="0.35">
      <c r="A65" s="14">
        <v>45595</v>
      </c>
      <c r="B65" s="5">
        <v>4</v>
      </c>
      <c r="C65" s="2" t="s">
        <v>62</v>
      </c>
      <c r="D65" s="2" t="s">
        <v>5</v>
      </c>
      <c r="E65" s="2" t="s">
        <v>54</v>
      </c>
      <c r="F65" s="2" t="s">
        <v>6</v>
      </c>
      <c r="G65" s="2" t="s">
        <v>24</v>
      </c>
      <c r="H65" s="3" t="s">
        <v>9</v>
      </c>
      <c r="I65" s="5">
        <v>1</v>
      </c>
      <c r="J65" s="8">
        <v>8</v>
      </c>
      <c r="K65" s="8" t="s">
        <v>1</v>
      </c>
      <c r="L65" s="8" t="s">
        <v>19</v>
      </c>
      <c r="M65" s="8" t="s">
        <v>4</v>
      </c>
      <c r="N65" s="8" t="s">
        <v>65</v>
      </c>
      <c r="O65" s="8" t="s">
        <v>18</v>
      </c>
      <c r="P65" s="8" t="s">
        <v>15</v>
      </c>
    </row>
    <row r="66" spans="1:16" x14ac:dyDescent="0.35">
      <c r="A66" s="14">
        <v>45602</v>
      </c>
      <c r="B66" s="3">
        <v>5</v>
      </c>
      <c r="C66" s="8" t="s">
        <v>1</v>
      </c>
      <c r="D66" s="8" t="s">
        <v>118</v>
      </c>
      <c r="E66" s="8" t="s">
        <v>9</v>
      </c>
      <c r="F66" s="8" t="s">
        <v>55</v>
      </c>
      <c r="G66" s="8" t="s">
        <v>24</v>
      </c>
      <c r="H66" s="8" t="s">
        <v>6</v>
      </c>
      <c r="I66" s="9">
        <v>5</v>
      </c>
      <c r="J66" s="10">
        <v>2</v>
      </c>
      <c r="K66" s="10" t="s">
        <v>4</v>
      </c>
      <c r="L66" s="10" t="s">
        <v>10</v>
      </c>
      <c r="M66" s="10" t="s">
        <v>54</v>
      </c>
      <c r="N66" s="10" t="s">
        <v>15</v>
      </c>
      <c r="O66" s="10" t="s">
        <v>81</v>
      </c>
      <c r="P66" s="10" t="s">
        <v>67</v>
      </c>
    </row>
    <row r="67" spans="1:16" x14ac:dyDescent="0.35">
      <c r="A67" s="14">
        <v>45602</v>
      </c>
      <c r="B67" s="3">
        <v>3</v>
      </c>
      <c r="C67" s="10" t="s">
        <v>4</v>
      </c>
      <c r="D67" s="10" t="s">
        <v>10</v>
      </c>
      <c r="E67" s="10" t="s">
        <v>54</v>
      </c>
      <c r="F67" s="10" t="s">
        <v>15</v>
      </c>
      <c r="G67" s="10" t="s">
        <v>81</v>
      </c>
      <c r="H67" s="10" t="s">
        <v>67</v>
      </c>
      <c r="I67" s="11">
        <v>3</v>
      </c>
      <c r="J67" s="2">
        <v>1</v>
      </c>
      <c r="K67" s="2" t="s">
        <v>19</v>
      </c>
      <c r="L67" s="2" t="s">
        <v>5</v>
      </c>
      <c r="M67" s="2" t="s">
        <v>14</v>
      </c>
      <c r="N67" s="2" t="s">
        <v>13</v>
      </c>
      <c r="O67" s="2" t="s">
        <v>2</v>
      </c>
      <c r="P67" s="3" t="s">
        <v>11</v>
      </c>
    </row>
    <row r="68" spans="1:16" x14ac:dyDescent="0.35">
      <c r="A68" s="14">
        <v>45602</v>
      </c>
      <c r="B68" s="5">
        <v>5</v>
      </c>
      <c r="C68" s="2" t="s">
        <v>19</v>
      </c>
      <c r="D68" s="2" t="s">
        <v>5</v>
      </c>
      <c r="E68" s="2" t="s">
        <v>14</v>
      </c>
      <c r="F68" s="2" t="s">
        <v>13</v>
      </c>
      <c r="G68" s="2" t="s">
        <v>2</v>
      </c>
      <c r="H68" s="3" t="s">
        <v>11</v>
      </c>
      <c r="I68" s="5">
        <v>3</v>
      </c>
      <c r="J68" s="8">
        <v>4</v>
      </c>
      <c r="K68" s="8" t="s">
        <v>1</v>
      </c>
      <c r="L68" s="8" t="s">
        <v>118</v>
      </c>
      <c r="M68" s="8" t="s">
        <v>9</v>
      </c>
      <c r="N68" s="8" t="s">
        <v>55</v>
      </c>
      <c r="O68" s="8" t="s">
        <v>24</v>
      </c>
      <c r="P68" s="8" t="s">
        <v>6</v>
      </c>
    </row>
    <row r="69" spans="1:16" x14ac:dyDescent="0.35">
      <c r="A69" s="14">
        <v>45609</v>
      </c>
      <c r="B69" s="3">
        <v>5</v>
      </c>
      <c r="C69" s="8" t="s">
        <v>1</v>
      </c>
      <c r="D69" s="8" t="s">
        <v>10</v>
      </c>
      <c r="E69" s="8" t="s">
        <v>13</v>
      </c>
      <c r="F69" s="8" t="s">
        <v>16</v>
      </c>
      <c r="G69" s="8" t="s">
        <v>15</v>
      </c>
      <c r="H69" s="8" t="s">
        <v>5</v>
      </c>
      <c r="I69" s="9">
        <v>5</v>
      </c>
      <c r="J69" s="10">
        <v>3</v>
      </c>
      <c r="K69" s="10" t="s">
        <v>19</v>
      </c>
      <c r="L69" s="10" t="s">
        <v>4</v>
      </c>
      <c r="M69" s="10" t="s">
        <v>2</v>
      </c>
      <c r="N69" s="10" t="s">
        <v>65</v>
      </c>
      <c r="O69" s="10" t="s">
        <v>11</v>
      </c>
      <c r="P69" s="10" t="s">
        <v>81</v>
      </c>
    </row>
    <row r="70" spans="1:16" x14ac:dyDescent="0.35">
      <c r="A70" s="14">
        <v>45609</v>
      </c>
      <c r="B70" s="3">
        <v>5</v>
      </c>
      <c r="C70" s="10" t="s">
        <v>19</v>
      </c>
      <c r="D70" s="10" t="s">
        <v>4</v>
      </c>
      <c r="E70" s="10" t="s">
        <v>2</v>
      </c>
      <c r="F70" s="10" t="s">
        <v>65</v>
      </c>
      <c r="G70" s="10" t="s">
        <v>11</v>
      </c>
      <c r="H70" s="10" t="s">
        <v>81</v>
      </c>
      <c r="I70" s="11">
        <v>3</v>
      </c>
      <c r="J70" s="2">
        <v>7</v>
      </c>
      <c r="K70" s="2" t="s">
        <v>18</v>
      </c>
      <c r="L70" s="2" t="s">
        <v>79</v>
      </c>
      <c r="M70" s="2" t="s">
        <v>54</v>
      </c>
      <c r="N70" s="2" t="s">
        <v>3</v>
      </c>
      <c r="O70" s="2" t="s">
        <v>14</v>
      </c>
      <c r="P70" s="3" t="s">
        <v>55</v>
      </c>
    </row>
    <row r="71" spans="1:16" x14ac:dyDescent="0.35">
      <c r="A71" s="14">
        <v>45609</v>
      </c>
      <c r="B71" s="5">
        <v>6</v>
      </c>
      <c r="C71" s="2" t="s">
        <v>18</v>
      </c>
      <c r="D71" s="2" t="s">
        <v>79</v>
      </c>
      <c r="E71" s="2" t="s">
        <v>54</v>
      </c>
      <c r="F71" s="2" t="s">
        <v>3</v>
      </c>
      <c r="G71" s="2" t="s">
        <v>14</v>
      </c>
      <c r="H71" s="3" t="s">
        <v>55</v>
      </c>
      <c r="I71" s="5">
        <v>6</v>
      </c>
      <c r="J71" s="8">
        <v>6</v>
      </c>
      <c r="K71" s="8" t="s">
        <v>1</v>
      </c>
      <c r="L71" s="8" t="s">
        <v>10</v>
      </c>
      <c r="M71" s="8" t="s">
        <v>13</v>
      </c>
      <c r="N71" s="8" t="s">
        <v>16</v>
      </c>
      <c r="O71" s="8" t="s">
        <v>15</v>
      </c>
      <c r="P71" s="8" t="s">
        <v>5</v>
      </c>
    </row>
    <row r="72" spans="1:16" x14ac:dyDescent="0.35">
      <c r="A72" s="14">
        <v>45617</v>
      </c>
      <c r="B72" s="3">
        <v>4</v>
      </c>
      <c r="C72" s="8" t="s">
        <v>54</v>
      </c>
      <c r="D72" s="8" t="s">
        <v>107</v>
      </c>
      <c r="E72" s="8" t="s">
        <v>24</v>
      </c>
      <c r="F72" s="8" t="s">
        <v>16</v>
      </c>
      <c r="G72" s="8" t="s">
        <v>19</v>
      </c>
      <c r="H72" s="8" t="s">
        <v>18</v>
      </c>
      <c r="I72" s="9">
        <v>5</v>
      </c>
      <c r="J72" s="10">
        <v>4</v>
      </c>
      <c r="K72" s="10" t="s">
        <v>9</v>
      </c>
      <c r="L72" s="10" t="s">
        <v>81</v>
      </c>
      <c r="M72" s="10" t="s">
        <v>118</v>
      </c>
      <c r="N72" s="10" t="s">
        <v>48</v>
      </c>
      <c r="O72" s="10" t="s">
        <v>55</v>
      </c>
      <c r="P72" s="10" t="s">
        <v>49</v>
      </c>
    </row>
    <row r="73" spans="1:16" x14ac:dyDescent="0.35">
      <c r="A73" s="14">
        <v>45617</v>
      </c>
      <c r="B73" s="3">
        <v>5</v>
      </c>
      <c r="C73" s="10" t="s">
        <v>9</v>
      </c>
      <c r="D73" s="10" t="s">
        <v>81</v>
      </c>
      <c r="E73" s="10" t="s">
        <v>118</v>
      </c>
      <c r="F73" s="10" t="s">
        <v>48</v>
      </c>
      <c r="G73" s="10" t="s">
        <v>55</v>
      </c>
      <c r="H73" s="10" t="s">
        <v>49</v>
      </c>
      <c r="I73" s="11">
        <v>5</v>
      </c>
      <c r="J73" s="2">
        <v>7</v>
      </c>
      <c r="K73" s="2" t="s">
        <v>5</v>
      </c>
      <c r="L73" s="2" t="s">
        <v>80</v>
      </c>
      <c r="M73" s="2" t="s">
        <v>76</v>
      </c>
      <c r="N73" s="2" t="s">
        <v>139</v>
      </c>
      <c r="O73" s="2" t="s">
        <v>15</v>
      </c>
      <c r="P73" s="3" t="s">
        <v>67</v>
      </c>
    </row>
    <row r="74" spans="1:16" x14ac:dyDescent="0.35">
      <c r="A74" s="14">
        <v>45617</v>
      </c>
      <c r="B74" s="5">
        <v>5</v>
      </c>
      <c r="C74" s="2" t="s">
        <v>5</v>
      </c>
      <c r="D74" s="2" t="s">
        <v>80</v>
      </c>
      <c r="E74" s="2" t="s">
        <v>76</v>
      </c>
      <c r="F74" s="2" t="s">
        <v>139</v>
      </c>
      <c r="G74" s="2" t="s">
        <v>15</v>
      </c>
      <c r="H74" s="3" t="s">
        <v>67</v>
      </c>
      <c r="I74" s="5">
        <v>6</v>
      </c>
      <c r="J74" s="8">
        <v>4</v>
      </c>
      <c r="K74" s="8" t="s">
        <v>54</v>
      </c>
      <c r="L74" s="8" t="s">
        <v>107</v>
      </c>
      <c r="M74" s="8" t="s">
        <v>24</v>
      </c>
      <c r="N74" s="8" t="s">
        <v>16</v>
      </c>
      <c r="O74" s="8" t="s">
        <v>19</v>
      </c>
      <c r="P74" s="8" t="s">
        <v>18</v>
      </c>
    </row>
    <row r="75" spans="1:16" x14ac:dyDescent="0.35">
      <c r="A75" s="14">
        <v>45623</v>
      </c>
      <c r="B75" s="3">
        <v>6</v>
      </c>
      <c r="C75" s="8" t="s">
        <v>14</v>
      </c>
      <c r="D75" s="8" t="s">
        <v>10</v>
      </c>
      <c r="E75" s="8" t="s">
        <v>81</v>
      </c>
      <c r="F75" s="8" t="s">
        <v>18</v>
      </c>
      <c r="G75" s="8" t="s">
        <v>2</v>
      </c>
      <c r="H75" s="8" t="s">
        <v>54</v>
      </c>
      <c r="I75" s="9">
        <v>6</v>
      </c>
      <c r="J75" s="10">
        <v>4</v>
      </c>
      <c r="K75" s="10" t="s">
        <v>1</v>
      </c>
      <c r="L75" s="10" t="s">
        <v>67</v>
      </c>
      <c r="M75" s="10" t="s">
        <v>19</v>
      </c>
      <c r="N75" s="10" t="s">
        <v>118</v>
      </c>
      <c r="O75" s="10" t="s">
        <v>15</v>
      </c>
      <c r="P75" s="10" t="s">
        <v>6</v>
      </c>
    </row>
    <row r="76" spans="1:16" x14ac:dyDescent="0.35">
      <c r="A76" s="14">
        <v>45623</v>
      </c>
      <c r="B76" s="3">
        <v>3</v>
      </c>
      <c r="C76" s="10" t="s">
        <v>1</v>
      </c>
      <c r="D76" s="10" t="s">
        <v>67</v>
      </c>
      <c r="E76" s="10" t="s">
        <v>19</v>
      </c>
      <c r="F76" s="10" t="s">
        <v>118</v>
      </c>
      <c r="G76" s="10" t="s">
        <v>15</v>
      </c>
      <c r="H76" s="10" t="s">
        <v>6</v>
      </c>
      <c r="I76" s="11">
        <v>4</v>
      </c>
      <c r="J76" s="2">
        <v>3</v>
      </c>
      <c r="K76" s="2" t="s">
        <v>13</v>
      </c>
      <c r="L76" s="2" t="s">
        <v>11</v>
      </c>
      <c r="M76" s="2" t="s">
        <v>9</v>
      </c>
      <c r="N76" s="2" t="s">
        <v>5</v>
      </c>
      <c r="O76" s="2" t="s">
        <v>4</v>
      </c>
      <c r="P76" s="3" t="s">
        <v>8</v>
      </c>
    </row>
    <row r="77" spans="1:16" x14ac:dyDescent="0.35">
      <c r="A77" s="14">
        <v>45623</v>
      </c>
      <c r="B77" s="5">
        <v>5</v>
      </c>
      <c r="C77" s="2" t="s">
        <v>13</v>
      </c>
      <c r="D77" s="2" t="s">
        <v>11</v>
      </c>
      <c r="E77" s="2" t="s">
        <v>9</v>
      </c>
      <c r="F77" s="2" t="s">
        <v>5</v>
      </c>
      <c r="G77" s="2" t="s">
        <v>4</v>
      </c>
      <c r="H77" s="3" t="s">
        <v>8</v>
      </c>
      <c r="I77" s="5">
        <v>2</v>
      </c>
      <c r="J77" s="8">
        <v>5</v>
      </c>
      <c r="K77" s="8" t="s">
        <v>14</v>
      </c>
      <c r="L77" s="8" t="s">
        <v>10</v>
      </c>
      <c r="M77" s="8" t="s">
        <v>81</v>
      </c>
      <c r="N77" s="8" t="s">
        <v>18</v>
      </c>
      <c r="O77" s="8" t="s">
        <v>2</v>
      </c>
      <c r="P77" s="8" t="s">
        <v>54</v>
      </c>
    </row>
    <row r="78" spans="1:16" x14ac:dyDescent="0.35">
      <c r="A78" s="14">
        <v>45629</v>
      </c>
      <c r="B78" s="3">
        <v>5</v>
      </c>
      <c r="C78" s="8" t="s">
        <v>18</v>
      </c>
      <c r="D78" s="8" t="s">
        <v>83</v>
      </c>
      <c r="E78" s="8" t="s">
        <v>19</v>
      </c>
      <c r="F78" s="8" t="s">
        <v>13</v>
      </c>
      <c r="G78" s="8" t="s">
        <v>67</v>
      </c>
      <c r="H78" s="8" t="s">
        <v>9</v>
      </c>
      <c r="I78" s="9">
        <v>2</v>
      </c>
      <c r="J78" s="10">
        <v>7</v>
      </c>
      <c r="K78" s="10" t="s">
        <v>15</v>
      </c>
      <c r="L78" s="10" t="s">
        <v>65</v>
      </c>
      <c r="M78" s="10" t="s">
        <v>81</v>
      </c>
      <c r="N78" s="10" t="s">
        <v>14</v>
      </c>
      <c r="O78" s="10" t="s">
        <v>16</v>
      </c>
      <c r="P78" s="10" t="s">
        <v>82</v>
      </c>
    </row>
    <row r="79" spans="1:16" x14ac:dyDescent="0.35">
      <c r="A79" s="14">
        <v>45629</v>
      </c>
      <c r="B79" s="3">
        <v>4</v>
      </c>
      <c r="C79" s="10" t="s">
        <v>15</v>
      </c>
      <c r="D79" s="10" t="s">
        <v>65</v>
      </c>
      <c r="E79" s="10" t="s">
        <v>81</v>
      </c>
      <c r="F79" s="10" t="s">
        <v>14</v>
      </c>
      <c r="G79" s="10" t="s">
        <v>16</v>
      </c>
      <c r="H79" s="10" t="s">
        <v>82</v>
      </c>
      <c r="I79" s="11">
        <v>2</v>
      </c>
      <c r="J79" s="2">
        <v>2</v>
      </c>
      <c r="K79" s="2" t="s">
        <v>1</v>
      </c>
      <c r="L79" s="2" t="s">
        <v>4</v>
      </c>
      <c r="M79" s="2" t="s">
        <v>2</v>
      </c>
      <c r="N79" s="2" t="s">
        <v>10</v>
      </c>
      <c r="O79" s="2" t="s">
        <v>55</v>
      </c>
      <c r="P79" s="3" t="s">
        <v>49</v>
      </c>
    </row>
    <row r="80" spans="1:16" x14ac:dyDescent="0.35">
      <c r="A80" s="14">
        <v>45629</v>
      </c>
      <c r="B80" s="5">
        <v>3</v>
      </c>
      <c r="C80" s="2" t="s">
        <v>1</v>
      </c>
      <c r="D80" s="2" t="s">
        <v>4</v>
      </c>
      <c r="E80" s="2" t="s">
        <v>2</v>
      </c>
      <c r="F80" s="2" t="s">
        <v>10</v>
      </c>
      <c r="G80" s="2" t="s">
        <v>55</v>
      </c>
      <c r="H80" s="3" t="s">
        <v>49</v>
      </c>
      <c r="I80" s="5">
        <v>3</v>
      </c>
      <c r="J80" s="8">
        <v>3</v>
      </c>
      <c r="K80" s="8" t="s">
        <v>18</v>
      </c>
      <c r="L80" s="8" t="s">
        <v>83</v>
      </c>
      <c r="M80" s="8" t="s">
        <v>19</v>
      </c>
      <c r="N80" s="8" t="s">
        <v>13</v>
      </c>
      <c r="O80" s="8" t="s">
        <v>67</v>
      </c>
      <c r="P80" s="8" t="s">
        <v>9</v>
      </c>
    </row>
    <row r="81" spans="1:16" x14ac:dyDescent="0.35">
      <c r="A81" s="14">
        <v>45637</v>
      </c>
      <c r="B81" s="3">
        <v>4</v>
      </c>
      <c r="C81" s="8" t="s">
        <v>13</v>
      </c>
      <c r="D81" s="8" t="s">
        <v>55</v>
      </c>
      <c r="E81" s="8" t="s">
        <v>81</v>
      </c>
      <c r="F81" s="8" t="s">
        <v>83</v>
      </c>
      <c r="G81" s="8" t="s">
        <v>16</v>
      </c>
      <c r="H81" s="8" t="s">
        <v>54</v>
      </c>
      <c r="I81" s="9">
        <v>3</v>
      </c>
      <c r="J81" s="10">
        <v>5</v>
      </c>
      <c r="K81" s="10" t="s">
        <v>1</v>
      </c>
      <c r="L81" s="10" t="s">
        <v>118</v>
      </c>
      <c r="M81" s="10" t="s">
        <v>10</v>
      </c>
      <c r="N81" s="10" t="s">
        <v>24</v>
      </c>
      <c r="O81" s="10" t="s">
        <v>19</v>
      </c>
      <c r="P81" s="10" t="s">
        <v>2</v>
      </c>
    </row>
    <row r="82" spans="1:16" x14ac:dyDescent="0.35">
      <c r="A82" s="14">
        <v>45637</v>
      </c>
      <c r="B82" s="3">
        <v>4</v>
      </c>
      <c r="C82" s="10" t="s">
        <v>1</v>
      </c>
      <c r="D82" s="10" t="s">
        <v>118</v>
      </c>
      <c r="E82" s="10" t="s">
        <v>10</v>
      </c>
      <c r="F82" s="10" t="s">
        <v>24</v>
      </c>
      <c r="G82" s="10" t="s">
        <v>19</v>
      </c>
      <c r="H82" s="10" t="s">
        <v>2</v>
      </c>
      <c r="I82" s="11">
        <v>3</v>
      </c>
      <c r="J82" s="2">
        <v>7</v>
      </c>
      <c r="K82" s="2" t="s">
        <v>9</v>
      </c>
      <c r="L82" s="2" t="s">
        <v>11</v>
      </c>
      <c r="M82" s="2" t="s">
        <v>65</v>
      </c>
      <c r="N82" s="2" t="s">
        <v>15</v>
      </c>
      <c r="O82" s="2" t="s">
        <v>8</v>
      </c>
      <c r="P82" s="3" t="s">
        <v>4</v>
      </c>
    </row>
    <row r="83" spans="1:16" x14ac:dyDescent="0.35">
      <c r="A83" s="14">
        <v>45637</v>
      </c>
      <c r="B83" s="5">
        <v>5</v>
      </c>
      <c r="C83" s="2" t="s">
        <v>9</v>
      </c>
      <c r="D83" s="2" t="s">
        <v>11</v>
      </c>
      <c r="E83" s="2" t="s">
        <v>65</v>
      </c>
      <c r="F83" s="2" t="s">
        <v>15</v>
      </c>
      <c r="G83" s="2" t="s">
        <v>8</v>
      </c>
      <c r="H83" s="3" t="s">
        <v>4</v>
      </c>
      <c r="I83" s="5">
        <v>3</v>
      </c>
      <c r="J83" s="8">
        <v>6</v>
      </c>
      <c r="K83" s="8" t="s">
        <v>13</v>
      </c>
      <c r="L83" s="8" t="s">
        <v>55</v>
      </c>
      <c r="M83" s="8" t="s">
        <v>81</v>
      </c>
      <c r="N83" s="8" t="s">
        <v>83</v>
      </c>
      <c r="O83" s="8" t="s">
        <v>16</v>
      </c>
      <c r="P83" s="8" t="s">
        <v>54</v>
      </c>
    </row>
    <row r="84" spans="1:16" x14ac:dyDescent="0.35">
      <c r="A84" s="14">
        <v>45645</v>
      </c>
      <c r="B84" s="3">
        <v>5</v>
      </c>
      <c r="C84" s="8" t="s">
        <v>1</v>
      </c>
      <c r="D84" s="8" t="s">
        <v>7</v>
      </c>
      <c r="E84" s="8" t="s">
        <v>55</v>
      </c>
      <c r="F84" s="8" t="s">
        <v>84</v>
      </c>
      <c r="G84" s="8" t="s">
        <v>4</v>
      </c>
      <c r="H84" s="8" t="s">
        <v>19</v>
      </c>
      <c r="I84" s="9">
        <v>6</v>
      </c>
      <c r="J84" s="10">
        <v>5</v>
      </c>
      <c r="K84" s="10" t="s">
        <v>24</v>
      </c>
      <c r="L84" s="10" t="s">
        <v>13</v>
      </c>
      <c r="M84" s="10" t="s">
        <v>80</v>
      </c>
      <c r="N84" s="10" t="s">
        <v>54</v>
      </c>
      <c r="O84" s="10" t="s">
        <v>10</v>
      </c>
      <c r="P84" s="10" t="s">
        <v>49</v>
      </c>
    </row>
    <row r="85" spans="1:16" x14ac:dyDescent="0.35">
      <c r="A85" s="14">
        <v>45645</v>
      </c>
      <c r="B85" s="3">
        <v>3</v>
      </c>
      <c r="C85" s="10" t="s">
        <v>24</v>
      </c>
      <c r="D85" s="10" t="s">
        <v>13</v>
      </c>
      <c r="E85" s="10" t="s">
        <v>80</v>
      </c>
      <c r="F85" s="10" t="s">
        <v>54</v>
      </c>
      <c r="G85" s="10" t="s">
        <v>10</v>
      </c>
      <c r="H85" s="10" t="s">
        <v>49</v>
      </c>
      <c r="I85" s="11">
        <v>3</v>
      </c>
      <c r="J85" s="2">
        <v>2</v>
      </c>
      <c r="K85" s="2" t="s">
        <v>16</v>
      </c>
      <c r="L85" s="2" t="s">
        <v>9</v>
      </c>
      <c r="M85" s="2" t="s">
        <v>15</v>
      </c>
      <c r="N85" s="2" t="s">
        <v>14</v>
      </c>
      <c r="O85" s="2" t="s">
        <v>47</v>
      </c>
      <c r="P85" s="3" t="s">
        <v>85</v>
      </c>
    </row>
    <row r="86" spans="1:16" x14ac:dyDescent="0.35">
      <c r="A86" s="14">
        <v>45645</v>
      </c>
      <c r="B86" s="5">
        <v>8</v>
      </c>
      <c r="C86" s="2" t="s">
        <v>16</v>
      </c>
      <c r="D86" s="2" t="s">
        <v>9</v>
      </c>
      <c r="E86" s="2" t="s">
        <v>15</v>
      </c>
      <c r="F86" s="2" t="s">
        <v>14</v>
      </c>
      <c r="G86" s="2" t="s">
        <v>47</v>
      </c>
      <c r="H86" s="3" t="s">
        <v>85</v>
      </c>
      <c r="I86" s="5">
        <v>10</v>
      </c>
      <c r="J86" s="8">
        <v>7</v>
      </c>
      <c r="K86" s="8" t="s">
        <v>1</v>
      </c>
      <c r="L86" s="8" t="s">
        <v>7</v>
      </c>
      <c r="M86" s="8" t="s">
        <v>55</v>
      </c>
      <c r="N86" s="8" t="s">
        <v>84</v>
      </c>
      <c r="O86" s="8" t="s">
        <v>4</v>
      </c>
      <c r="P86" s="8" t="s">
        <v>19</v>
      </c>
    </row>
    <row r="87" spans="1:16" x14ac:dyDescent="0.35">
      <c r="A87" s="14">
        <v>45666</v>
      </c>
      <c r="B87" s="3">
        <v>4</v>
      </c>
      <c r="C87" s="8" t="s">
        <v>24</v>
      </c>
      <c r="D87" s="8" t="s">
        <v>55</v>
      </c>
      <c r="E87" s="8" t="s">
        <v>84</v>
      </c>
      <c r="F87" s="8" t="s">
        <v>11</v>
      </c>
      <c r="G87" s="8" t="s">
        <v>18</v>
      </c>
      <c r="H87" s="8" t="s">
        <v>6</v>
      </c>
      <c r="I87" s="9">
        <v>3</v>
      </c>
      <c r="J87" s="10">
        <v>6</v>
      </c>
      <c r="K87" s="10" t="s">
        <v>1</v>
      </c>
      <c r="L87" s="10" t="s">
        <v>4</v>
      </c>
      <c r="M87" s="10" t="s">
        <v>10</v>
      </c>
      <c r="N87" s="10" t="s">
        <v>9</v>
      </c>
      <c r="O87" s="10" t="s">
        <v>2</v>
      </c>
      <c r="P87" s="10" t="s">
        <v>3</v>
      </c>
    </row>
    <row r="88" spans="1:16" x14ac:dyDescent="0.35">
      <c r="A88" s="14">
        <v>45666</v>
      </c>
      <c r="B88" s="3">
        <v>6</v>
      </c>
      <c r="C88" s="10" t="s">
        <v>1</v>
      </c>
      <c r="D88" s="10" t="s">
        <v>4</v>
      </c>
      <c r="E88" s="10" t="s">
        <v>10</v>
      </c>
      <c r="F88" s="10" t="s">
        <v>9</v>
      </c>
      <c r="G88" s="10" t="s">
        <v>2</v>
      </c>
      <c r="H88" s="10" t="s">
        <v>3</v>
      </c>
      <c r="I88" s="11">
        <v>4</v>
      </c>
      <c r="J88" s="2">
        <v>6</v>
      </c>
      <c r="K88" s="2" t="s">
        <v>19</v>
      </c>
      <c r="L88" s="2" t="s">
        <v>65</v>
      </c>
      <c r="M88" s="2" t="s">
        <v>20</v>
      </c>
      <c r="N88" s="2" t="s">
        <v>81</v>
      </c>
      <c r="O88" s="2" t="s">
        <v>15</v>
      </c>
      <c r="P88" s="3" t="s">
        <v>83</v>
      </c>
    </row>
    <row r="89" spans="1:16" x14ac:dyDescent="0.35">
      <c r="A89" s="14">
        <v>45666</v>
      </c>
      <c r="B89" s="5">
        <v>6</v>
      </c>
      <c r="C89" s="2" t="s">
        <v>19</v>
      </c>
      <c r="D89" s="2" t="s">
        <v>65</v>
      </c>
      <c r="E89" s="2" t="s">
        <v>20</v>
      </c>
      <c r="F89" s="2" t="s">
        <v>81</v>
      </c>
      <c r="G89" s="2" t="s">
        <v>15</v>
      </c>
      <c r="H89" s="3" t="s">
        <v>83</v>
      </c>
      <c r="I89" s="5">
        <v>6</v>
      </c>
      <c r="J89" s="8">
        <v>2</v>
      </c>
      <c r="K89" s="8" t="s">
        <v>24</v>
      </c>
      <c r="L89" s="8" t="s">
        <v>55</v>
      </c>
      <c r="M89" s="8" t="s">
        <v>84</v>
      </c>
      <c r="N89" s="8" t="s">
        <v>11</v>
      </c>
      <c r="O89" s="8" t="s">
        <v>18</v>
      </c>
      <c r="P89" s="8" t="s">
        <v>6</v>
      </c>
    </row>
    <row r="90" spans="1:16" x14ac:dyDescent="0.35">
      <c r="A90" s="14">
        <v>45672</v>
      </c>
      <c r="B90" s="3">
        <v>5</v>
      </c>
      <c r="C90" s="8" t="s">
        <v>84</v>
      </c>
      <c r="D90" s="8" t="s">
        <v>6</v>
      </c>
      <c r="E90" s="8" t="s">
        <v>11</v>
      </c>
      <c r="F90" s="8" t="s">
        <v>18</v>
      </c>
      <c r="G90" s="8" t="s">
        <v>118</v>
      </c>
      <c r="H90" s="8" t="s">
        <v>54</v>
      </c>
      <c r="I90" s="9">
        <v>5</v>
      </c>
      <c r="J90" s="10">
        <v>4</v>
      </c>
      <c r="K90" s="10" t="s">
        <v>1</v>
      </c>
      <c r="L90" s="10" t="s">
        <v>9</v>
      </c>
      <c r="M90" s="10" t="s">
        <v>15</v>
      </c>
      <c r="N90" s="10" t="s">
        <v>4</v>
      </c>
      <c r="O90" s="10" t="s">
        <v>19</v>
      </c>
      <c r="P90" s="10" t="s">
        <v>83</v>
      </c>
    </row>
    <row r="91" spans="1:16" x14ac:dyDescent="0.35">
      <c r="A91" s="14">
        <v>45672</v>
      </c>
      <c r="B91" s="3">
        <v>5</v>
      </c>
      <c r="C91" s="10" t="s">
        <v>1</v>
      </c>
      <c r="D91" s="10" t="s">
        <v>9</v>
      </c>
      <c r="E91" s="10" t="s">
        <v>15</v>
      </c>
      <c r="F91" s="10" t="s">
        <v>4</v>
      </c>
      <c r="G91" s="10" t="s">
        <v>19</v>
      </c>
      <c r="H91" s="10" t="s">
        <v>83</v>
      </c>
      <c r="I91" s="11">
        <v>3</v>
      </c>
      <c r="J91" s="2">
        <v>3</v>
      </c>
      <c r="K91" s="2" t="s">
        <v>55</v>
      </c>
      <c r="L91" s="2" t="s">
        <v>81</v>
      </c>
      <c r="M91" s="2" t="s">
        <v>10</v>
      </c>
      <c r="N91" s="2" t="s">
        <v>24</v>
      </c>
      <c r="O91" s="2" t="s">
        <v>5</v>
      </c>
      <c r="P91" s="3" t="s">
        <v>65</v>
      </c>
    </row>
    <row r="92" spans="1:16" x14ac:dyDescent="0.35">
      <c r="A92" s="14">
        <v>45672</v>
      </c>
      <c r="B92" s="5">
        <v>5</v>
      </c>
      <c r="C92" s="2" t="s">
        <v>55</v>
      </c>
      <c r="D92" s="2" t="s">
        <v>81</v>
      </c>
      <c r="E92" s="2" t="s">
        <v>10</v>
      </c>
      <c r="F92" s="2" t="s">
        <v>24</v>
      </c>
      <c r="G92" s="2" t="s">
        <v>5</v>
      </c>
      <c r="H92" s="3" t="s">
        <v>65</v>
      </c>
      <c r="I92" s="5">
        <v>6</v>
      </c>
      <c r="J92" s="8">
        <v>7</v>
      </c>
      <c r="K92" s="8" t="s">
        <v>84</v>
      </c>
      <c r="L92" s="8" t="s">
        <v>6</v>
      </c>
      <c r="M92" s="8" t="s">
        <v>11</v>
      </c>
      <c r="N92" s="8" t="s">
        <v>18</v>
      </c>
      <c r="O92" s="8" t="s">
        <v>118</v>
      </c>
      <c r="P92" s="8" t="s">
        <v>54</v>
      </c>
    </row>
    <row r="93" spans="1:16" x14ac:dyDescent="0.35">
      <c r="A93" s="14">
        <v>45679</v>
      </c>
      <c r="B93" s="3">
        <v>7</v>
      </c>
      <c r="C93" s="8" t="s">
        <v>19</v>
      </c>
      <c r="D93" s="8" t="s">
        <v>5</v>
      </c>
      <c r="E93" s="8" t="s">
        <v>54</v>
      </c>
      <c r="F93" s="8" t="s">
        <v>67</v>
      </c>
      <c r="G93" s="8" t="s">
        <v>83</v>
      </c>
      <c r="H93" s="8" t="s">
        <v>43</v>
      </c>
      <c r="I93" s="9">
        <v>9</v>
      </c>
      <c r="J93" s="10">
        <v>9</v>
      </c>
      <c r="K93" s="10" t="s">
        <v>1</v>
      </c>
      <c r="L93" s="10" t="s">
        <v>55</v>
      </c>
      <c r="M93" s="10" t="s">
        <v>18</v>
      </c>
      <c r="N93" s="10" t="s">
        <v>6</v>
      </c>
      <c r="O93" s="10" t="s">
        <v>24</v>
      </c>
      <c r="P93" s="10" t="s">
        <v>12</v>
      </c>
    </row>
    <row r="94" spans="1:16" x14ac:dyDescent="0.35">
      <c r="A94" s="14">
        <v>45679</v>
      </c>
      <c r="B94" s="3">
        <v>3</v>
      </c>
      <c r="C94" s="10" t="s">
        <v>1</v>
      </c>
      <c r="D94" s="10" t="s">
        <v>55</v>
      </c>
      <c r="E94" s="10" t="s">
        <v>18</v>
      </c>
      <c r="F94" s="10" t="s">
        <v>6</v>
      </c>
      <c r="G94" s="10" t="s">
        <v>24</v>
      </c>
      <c r="H94" s="10" t="s">
        <v>12</v>
      </c>
      <c r="I94" s="11">
        <v>4</v>
      </c>
      <c r="J94" s="2">
        <v>3</v>
      </c>
      <c r="K94" s="2" t="s">
        <v>4</v>
      </c>
      <c r="L94" s="2" t="s">
        <v>52</v>
      </c>
      <c r="M94" s="2" t="s">
        <v>48</v>
      </c>
      <c r="N94" s="2" t="s">
        <v>118</v>
      </c>
      <c r="O94" s="2" t="s">
        <v>81</v>
      </c>
      <c r="P94" s="3" t="s">
        <v>11</v>
      </c>
    </row>
    <row r="95" spans="1:16" x14ac:dyDescent="0.35">
      <c r="A95" s="14">
        <v>45679</v>
      </c>
      <c r="B95" s="5">
        <v>4</v>
      </c>
      <c r="C95" s="2" t="s">
        <v>4</v>
      </c>
      <c r="D95" s="2" t="s">
        <v>52</v>
      </c>
      <c r="E95" s="2" t="s">
        <v>48</v>
      </c>
      <c r="F95" s="2" t="s">
        <v>118</v>
      </c>
      <c r="G95" s="2" t="s">
        <v>81</v>
      </c>
      <c r="H95" s="3" t="s">
        <v>11</v>
      </c>
      <c r="I95" s="5">
        <v>0</v>
      </c>
      <c r="J95" s="8">
        <v>7</v>
      </c>
      <c r="K95" s="8" t="s">
        <v>19</v>
      </c>
      <c r="L95" s="8" t="s">
        <v>5</v>
      </c>
      <c r="M95" s="8" t="s">
        <v>54</v>
      </c>
      <c r="N95" s="8" t="s">
        <v>67</v>
      </c>
      <c r="O95" s="8" t="s">
        <v>83</v>
      </c>
      <c r="P95" s="8" t="s">
        <v>43</v>
      </c>
    </row>
    <row r="96" spans="1:16" x14ac:dyDescent="0.35">
      <c r="A96" s="14">
        <v>45686</v>
      </c>
      <c r="B96" s="3">
        <v>6</v>
      </c>
      <c r="C96" s="8" t="s">
        <v>118</v>
      </c>
      <c r="D96" s="8" t="s">
        <v>45</v>
      </c>
      <c r="E96" s="8" t="s">
        <v>15</v>
      </c>
      <c r="F96" s="8" t="s">
        <v>83</v>
      </c>
      <c r="G96" s="8" t="s">
        <v>11</v>
      </c>
      <c r="H96" s="8" t="s">
        <v>4</v>
      </c>
      <c r="I96" s="9">
        <v>9</v>
      </c>
      <c r="J96" s="10">
        <v>4</v>
      </c>
      <c r="K96" s="10" t="s">
        <v>1</v>
      </c>
      <c r="L96" s="10" t="s">
        <v>9</v>
      </c>
      <c r="M96" s="10" t="s">
        <v>55</v>
      </c>
      <c r="N96" s="10" t="s">
        <v>67</v>
      </c>
      <c r="O96" s="10" t="s">
        <v>2</v>
      </c>
      <c r="P96" s="10" t="s">
        <v>49</v>
      </c>
    </row>
    <row r="97" spans="1:16" x14ac:dyDescent="0.35">
      <c r="A97" s="14">
        <v>45686</v>
      </c>
      <c r="B97" s="3">
        <v>3</v>
      </c>
      <c r="C97" s="10" t="s">
        <v>1</v>
      </c>
      <c r="D97" s="10" t="s">
        <v>9</v>
      </c>
      <c r="E97" s="10" t="s">
        <v>55</v>
      </c>
      <c r="F97" s="10" t="s">
        <v>67</v>
      </c>
      <c r="G97" s="10" t="s">
        <v>2</v>
      </c>
      <c r="H97" s="10" t="s">
        <v>49</v>
      </c>
      <c r="I97" s="11">
        <v>4</v>
      </c>
      <c r="J97" s="2">
        <v>2</v>
      </c>
      <c r="K97" s="2" t="s">
        <v>6</v>
      </c>
      <c r="L97" s="2" t="s">
        <v>10</v>
      </c>
      <c r="M97" s="2" t="s">
        <v>81</v>
      </c>
      <c r="N97" s="2" t="s">
        <v>16</v>
      </c>
      <c r="O97" s="2" t="s">
        <v>24</v>
      </c>
      <c r="P97" s="3" t="s">
        <v>49</v>
      </c>
    </row>
    <row r="98" spans="1:16" x14ac:dyDescent="0.35">
      <c r="A98" s="14">
        <v>45686</v>
      </c>
      <c r="B98" s="5">
        <v>5</v>
      </c>
      <c r="C98" s="2" t="s">
        <v>6</v>
      </c>
      <c r="D98" s="2" t="s">
        <v>10</v>
      </c>
      <c r="E98" s="2" t="s">
        <v>81</v>
      </c>
      <c r="F98" s="2" t="s">
        <v>16</v>
      </c>
      <c r="G98" s="2" t="s">
        <v>24</v>
      </c>
      <c r="H98" s="3" t="s">
        <v>49</v>
      </c>
      <c r="I98" s="5">
        <v>2</v>
      </c>
      <c r="J98" s="8">
        <v>3</v>
      </c>
      <c r="K98" s="8" t="s">
        <v>118</v>
      </c>
      <c r="L98" s="8" t="s">
        <v>45</v>
      </c>
      <c r="M98" s="8" t="s">
        <v>15</v>
      </c>
      <c r="N98" s="8" t="s">
        <v>83</v>
      </c>
      <c r="O98" s="8" t="s">
        <v>11</v>
      </c>
      <c r="P98" s="8" t="s">
        <v>4</v>
      </c>
    </row>
    <row r="99" spans="1:16" x14ac:dyDescent="0.35">
      <c r="A99" s="14">
        <v>45693</v>
      </c>
      <c r="B99" s="3">
        <v>4</v>
      </c>
      <c r="C99" s="8" t="s">
        <v>1</v>
      </c>
      <c r="D99" s="8" t="s">
        <v>4</v>
      </c>
      <c r="E99" s="8" t="s">
        <v>45</v>
      </c>
      <c r="F99" s="8" t="s">
        <v>83</v>
      </c>
      <c r="G99" s="8" t="s">
        <v>3</v>
      </c>
      <c r="H99" s="8" t="s">
        <v>5</v>
      </c>
      <c r="I99" s="9">
        <v>4</v>
      </c>
      <c r="J99" s="10">
        <v>5</v>
      </c>
      <c r="K99" s="10" t="s">
        <v>9</v>
      </c>
      <c r="L99" s="10" t="s">
        <v>10</v>
      </c>
      <c r="M99" s="10" t="s">
        <v>11</v>
      </c>
      <c r="N99" s="10" t="s">
        <v>15</v>
      </c>
      <c r="O99" s="10" t="s">
        <v>19</v>
      </c>
      <c r="P99" s="10" t="s">
        <v>43</v>
      </c>
    </row>
    <row r="100" spans="1:16" x14ac:dyDescent="0.35">
      <c r="A100" s="14">
        <v>45693</v>
      </c>
      <c r="B100" s="3">
        <v>4</v>
      </c>
      <c r="C100" s="10" t="s">
        <v>9</v>
      </c>
      <c r="D100" s="10" t="s">
        <v>10</v>
      </c>
      <c r="E100" s="10" t="s">
        <v>11</v>
      </c>
      <c r="F100" s="10" t="s">
        <v>15</v>
      </c>
      <c r="G100" s="10" t="s">
        <v>19</v>
      </c>
      <c r="H100" s="10" t="s">
        <v>43</v>
      </c>
      <c r="I100" s="11">
        <v>2</v>
      </c>
      <c r="J100" s="2">
        <v>4</v>
      </c>
      <c r="K100" s="2" t="s">
        <v>81</v>
      </c>
      <c r="L100" s="2" t="s">
        <v>2</v>
      </c>
      <c r="M100" s="2" t="s">
        <v>118</v>
      </c>
      <c r="N100" s="2" t="s">
        <v>8</v>
      </c>
      <c r="O100" s="2" t="s">
        <v>55</v>
      </c>
      <c r="P100" s="3" t="s">
        <v>13</v>
      </c>
    </row>
    <row r="101" spans="1:16" x14ac:dyDescent="0.35">
      <c r="A101" s="14">
        <v>45693</v>
      </c>
      <c r="B101" s="5">
        <v>5</v>
      </c>
      <c r="C101" s="2" t="s">
        <v>81</v>
      </c>
      <c r="D101" s="2" t="s">
        <v>2</v>
      </c>
      <c r="E101" s="2" t="s">
        <v>118</v>
      </c>
      <c r="F101" s="2" t="s">
        <v>8</v>
      </c>
      <c r="G101" s="2" t="s">
        <v>55</v>
      </c>
      <c r="H101" s="3" t="s">
        <v>13</v>
      </c>
      <c r="I101" s="5">
        <v>2</v>
      </c>
      <c r="J101" s="8">
        <v>5</v>
      </c>
      <c r="K101" s="8" t="s">
        <v>1</v>
      </c>
      <c r="L101" s="8" t="s">
        <v>4</v>
      </c>
      <c r="M101" s="8" t="s">
        <v>45</v>
      </c>
      <c r="N101" s="8" t="s">
        <v>83</v>
      </c>
      <c r="O101" s="8" t="s">
        <v>3</v>
      </c>
      <c r="P101" s="8" t="s">
        <v>5</v>
      </c>
    </row>
    <row r="102" spans="1:16" x14ac:dyDescent="0.35">
      <c r="A102" s="14">
        <v>45700</v>
      </c>
      <c r="B102" s="3">
        <v>4</v>
      </c>
      <c r="C102" s="8" t="s">
        <v>11</v>
      </c>
      <c r="D102" s="8" t="s">
        <v>1</v>
      </c>
      <c r="E102" s="8" t="s">
        <v>43</v>
      </c>
      <c r="F102" s="8" t="s">
        <v>15</v>
      </c>
      <c r="G102" s="8" t="s">
        <v>81</v>
      </c>
      <c r="H102" s="8" t="s">
        <v>45</v>
      </c>
      <c r="I102" s="9">
        <v>3</v>
      </c>
      <c r="J102" s="10">
        <v>3</v>
      </c>
      <c r="K102" s="10" t="s">
        <v>6</v>
      </c>
      <c r="L102" s="10" t="s">
        <v>67</v>
      </c>
      <c r="M102" s="10" t="s">
        <v>98</v>
      </c>
      <c r="N102" s="10" t="s">
        <v>55</v>
      </c>
      <c r="O102" s="10" t="s">
        <v>5</v>
      </c>
      <c r="P102" s="10" t="s">
        <v>19</v>
      </c>
    </row>
    <row r="103" spans="1:16" x14ac:dyDescent="0.35">
      <c r="A103" s="14">
        <v>45700</v>
      </c>
      <c r="B103" s="3">
        <v>5</v>
      </c>
      <c r="C103" s="10" t="s">
        <v>6</v>
      </c>
      <c r="D103" s="10" t="s">
        <v>67</v>
      </c>
      <c r="E103" s="10" t="s">
        <v>98</v>
      </c>
      <c r="F103" s="10" t="s">
        <v>55</v>
      </c>
      <c r="G103" s="10" t="s">
        <v>5</v>
      </c>
      <c r="H103" s="10" t="s">
        <v>19</v>
      </c>
      <c r="I103" s="11">
        <v>4</v>
      </c>
      <c r="J103" s="2">
        <v>4</v>
      </c>
      <c r="K103" s="2" t="s">
        <v>94</v>
      </c>
      <c r="L103" s="2" t="s">
        <v>10</v>
      </c>
      <c r="M103" s="2" t="s">
        <v>95</v>
      </c>
      <c r="N103" s="2" t="s">
        <v>9</v>
      </c>
      <c r="O103" s="2" t="s">
        <v>8</v>
      </c>
      <c r="P103" s="3" t="s">
        <v>118</v>
      </c>
    </row>
    <row r="104" spans="1:16" x14ac:dyDescent="0.35">
      <c r="A104" s="14">
        <v>45700</v>
      </c>
      <c r="B104" s="5">
        <v>4</v>
      </c>
      <c r="C104" s="2" t="s">
        <v>94</v>
      </c>
      <c r="D104" s="2" t="s">
        <v>10</v>
      </c>
      <c r="E104" s="2" t="s">
        <v>95</v>
      </c>
      <c r="F104" s="2" t="s">
        <v>9</v>
      </c>
      <c r="G104" s="2" t="s">
        <v>8</v>
      </c>
      <c r="H104" s="3" t="s">
        <v>118</v>
      </c>
      <c r="I104" s="5">
        <v>2</v>
      </c>
      <c r="J104" s="8">
        <v>3</v>
      </c>
      <c r="K104" s="8" t="s">
        <v>11</v>
      </c>
      <c r="L104" s="8" t="s">
        <v>1</v>
      </c>
      <c r="M104" s="8" t="s">
        <v>43</v>
      </c>
      <c r="N104" s="8" t="s">
        <v>15</v>
      </c>
      <c r="O104" s="8" t="s">
        <v>81</v>
      </c>
      <c r="P104" s="8" t="s">
        <v>45</v>
      </c>
    </row>
    <row r="105" spans="1:16" x14ac:dyDescent="0.35">
      <c r="A105" s="14">
        <v>45707</v>
      </c>
      <c r="B105" s="3">
        <v>3</v>
      </c>
      <c r="C105" s="8" t="s">
        <v>9</v>
      </c>
      <c r="D105" s="8" t="s">
        <v>10</v>
      </c>
      <c r="E105" s="8" t="s">
        <v>43</v>
      </c>
      <c r="F105" s="8" t="s">
        <v>55</v>
      </c>
      <c r="G105" s="8" t="s">
        <v>2</v>
      </c>
      <c r="H105" s="8" t="s">
        <v>49</v>
      </c>
      <c r="I105" s="9">
        <v>2</v>
      </c>
      <c r="J105" s="10">
        <v>1</v>
      </c>
      <c r="K105" s="10" t="s">
        <v>1</v>
      </c>
      <c r="L105" s="10" t="s">
        <v>67</v>
      </c>
      <c r="M105" s="10" t="s">
        <v>24</v>
      </c>
      <c r="N105" s="10" t="s">
        <v>118</v>
      </c>
      <c r="O105" s="10" t="s">
        <v>5</v>
      </c>
      <c r="P105" s="10" t="s">
        <v>49</v>
      </c>
    </row>
    <row r="106" spans="1:16" x14ac:dyDescent="0.35">
      <c r="A106" s="14">
        <v>45707</v>
      </c>
      <c r="B106" s="3">
        <v>3</v>
      </c>
      <c r="C106" s="10" t="s">
        <v>1</v>
      </c>
      <c r="D106" s="10" t="s">
        <v>67</v>
      </c>
      <c r="E106" s="10" t="s">
        <v>24</v>
      </c>
      <c r="F106" s="10" t="s">
        <v>118</v>
      </c>
      <c r="G106" s="10" t="s">
        <v>5</v>
      </c>
      <c r="H106" s="10" t="s">
        <v>49</v>
      </c>
      <c r="I106" s="11">
        <v>4</v>
      </c>
      <c r="J106" s="2">
        <v>3</v>
      </c>
      <c r="K106" s="2" t="s">
        <v>15</v>
      </c>
      <c r="L106" s="2" t="s">
        <v>6</v>
      </c>
      <c r="M106" s="2" t="s">
        <v>11</v>
      </c>
      <c r="N106" s="2" t="s">
        <v>81</v>
      </c>
      <c r="O106" s="2" t="s">
        <v>62</v>
      </c>
      <c r="P106" s="3" t="s">
        <v>19</v>
      </c>
    </row>
    <row r="107" spans="1:16" x14ac:dyDescent="0.35">
      <c r="A107" s="14">
        <v>45707</v>
      </c>
      <c r="B107" s="5">
        <v>4</v>
      </c>
      <c r="C107" s="2" t="s">
        <v>15</v>
      </c>
      <c r="D107" s="2" t="s">
        <v>6</v>
      </c>
      <c r="E107" s="2" t="s">
        <v>11</v>
      </c>
      <c r="F107" s="2" t="s">
        <v>81</v>
      </c>
      <c r="G107" s="2" t="s">
        <v>62</v>
      </c>
      <c r="H107" s="3" t="s">
        <v>19</v>
      </c>
      <c r="I107" s="5">
        <v>6</v>
      </c>
      <c r="J107" s="8">
        <v>3</v>
      </c>
      <c r="K107" s="8" t="s">
        <v>9</v>
      </c>
      <c r="L107" s="8" t="s">
        <v>10</v>
      </c>
      <c r="M107" s="8" t="s">
        <v>43</v>
      </c>
      <c r="N107" s="8" t="s">
        <v>55</v>
      </c>
      <c r="O107" s="8" t="s">
        <v>2</v>
      </c>
      <c r="P107" s="8" t="s">
        <v>49</v>
      </c>
    </row>
    <row r="108" spans="1:16" x14ac:dyDescent="0.35">
      <c r="A108" s="14">
        <v>45714</v>
      </c>
      <c r="B108" s="3">
        <v>6</v>
      </c>
      <c r="C108" s="8" t="s">
        <v>11</v>
      </c>
      <c r="D108" s="8" t="s">
        <v>43</v>
      </c>
      <c r="E108" s="8" t="s">
        <v>5</v>
      </c>
      <c r="F108" s="8" t="s">
        <v>55</v>
      </c>
      <c r="G108" s="8" t="s">
        <v>83</v>
      </c>
      <c r="H108" s="8" t="s">
        <v>18</v>
      </c>
      <c r="I108" s="9">
        <v>9</v>
      </c>
      <c r="J108" s="10">
        <v>9</v>
      </c>
      <c r="K108" s="10" t="s">
        <v>81</v>
      </c>
      <c r="L108" s="10" t="s">
        <v>10</v>
      </c>
      <c r="M108" s="10" t="s">
        <v>2</v>
      </c>
      <c r="N108" s="10" t="s">
        <v>3</v>
      </c>
      <c r="O108" s="10" t="s">
        <v>13</v>
      </c>
      <c r="P108" s="10" t="s">
        <v>15</v>
      </c>
    </row>
    <row r="109" spans="1:16" x14ac:dyDescent="0.35">
      <c r="A109" s="14">
        <v>45714</v>
      </c>
      <c r="B109" s="3">
        <v>4</v>
      </c>
      <c r="C109" s="10" t="s">
        <v>81</v>
      </c>
      <c r="D109" s="10" t="s">
        <v>10</v>
      </c>
      <c r="E109" s="10" t="s">
        <v>2</v>
      </c>
      <c r="F109" s="10" t="s">
        <v>3</v>
      </c>
      <c r="G109" s="10" t="s">
        <v>13</v>
      </c>
      <c r="H109" s="10" t="s">
        <v>15</v>
      </c>
      <c r="I109" s="11">
        <v>4</v>
      </c>
      <c r="J109" s="2">
        <v>0</v>
      </c>
      <c r="K109" s="2" t="s">
        <v>1</v>
      </c>
      <c r="L109" s="2" t="s">
        <v>118</v>
      </c>
      <c r="M109" s="2" t="s">
        <v>24</v>
      </c>
      <c r="N109" s="2" t="s">
        <v>19</v>
      </c>
      <c r="O109" s="2" t="s">
        <v>6</v>
      </c>
      <c r="P109" s="3" t="s">
        <v>4</v>
      </c>
    </row>
    <row r="110" spans="1:16" x14ac:dyDescent="0.35">
      <c r="A110" s="14">
        <v>45714</v>
      </c>
      <c r="B110" s="5">
        <v>3</v>
      </c>
      <c r="C110" s="2" t="s">
        <v>1</v>
      </c>
      <c r="D110" s="2" t="s">
        <v>118</v>
      </c>
      <c r="E110" s="2" t="s">
        <v>24</v>
      </c>
      <c r="F110" s="2" t="s">
        <v>19</v>
      </c>
      <c r="G110" s="2" t="s">
        <v>6</v>
      </c>
      <c r="H110" s="3" t="s">
        <v>4</v>
      </c>
      <c r="I110" s="5">
        <v>3</v>
      </c>
      <c r="J110" s="8">
        <v>3</v>
      </c>
      <c r="K110" s="8" t="s">
        <v>11</v>
      </c>
      <c r="L110" s="8" t="s">
        <v>43</v>
      </c>
      <c r="M110" s="8" t="s">
        <v>5</v>
      </c>
      <c r="N110" s="8" t="s">
        <v>55</v>
      </c>
      <c r="O110" s="8" t="s">
        <v>83</v>
      </c>
      <c r="P110" s="8" t="s">
        <v>18</v>
      </c>
    </row>
    <row r="111" spans="1:16" x14ac:dyDescent="0.35">
      <c r="A111" s="14">
        <v>45721</v>
      </c>
      <c r="B111" s="3">
        <v>5</v>
      </c>
      <c r="C111" s="8" t="s">
        <v>13</v>
      </c>
      <c r="D111" s="8" t="s">
        <v>6</v>
      </c>
      <c r="E111" s="8" t="s">
        <v>19</v>
      </c>
      <c r="F111" s="8" t="s">
        <v>55</v>
      </c>
      <c r="G111" s="8" t="s">
        <v>65</v>
      </c>
      <c r="H111" s="8" t="s">
        <v>11</v>
      </c>
      <c r="I111" s="9">
        <v>4</v>
      </c>
      <c r="J111" s="10">
        <v>8</v>
      </c>
      <c r="K111" s="10" t="s">
        <v>9</v>
      </c>
      <c r="L111" s="10" t="s">
        <v>10</v>
      </c>
      <c r="M111" s="10" t="s">
        <v>97</v>
      </c>
      <c r="N111" s="10" t="s">
        <v>24</v>
      </c>
      <c r="O111" s="10" t="s">
        <v>18</v>
      </c>
      <c r="P111" s="10" t="s">
        <v>49</v>
      </c>
    </row>
    <row r="112" spans="1:16" x14ac:dyDescent="0.35">
      <c r="A112" s="14">
        <v>45721</v>
      </c>
      <c r="B112" s="3">
        <v>5</v>
      </c>
      <c r="C112" s="10" t="s">
        <v>9</v>
      </c>
      <c r="D112" s="10" t="s">
        <v>10</v>
      </c>
      <c r="E112" s="10" t="s">
        <v>97</v>
      </c>
      <c r="F112" s="10" t="s">
        <v>24</v>
      </c>
      <c r="G112" s="10" t="s">
        <v>18</v>
      </c>
      <c r="H112" s="10" t="s">
        <v>49</v>
      </c>
      <c r="I112" s="11">
        <v>6</v>
      </c>
      <c r="J112" s="2">
        <v>1</v>
      </c>
      <c r="K112" s="2" t="s">
        <v>1</v>
      </c>
      <c r="L112" s="2" t="s">
        <v>4</v>
      </c>
      <c r="M112" s="2" t="s">
        <v>15</v>
      </c>
      <c r="N112" s="2" t="s">
        <v>2</v>
      </c>
      <c r="O112" s="2" t="s">
        <v>49</v>
      </c>
      <c r="P112" s="3" t="s">
        <v>49</v>
      </c>
    </row>
    <row r="113" spans="1:16" x14ac:dyDescent="0.35">
      <c r="A113" s="14">
        <v>45721</v>
      </c>
      <c r="B113" s="5">
        <v>3</v>
      </c>
      <c r="C113" s="2" t="s">
        <v>1</v>
      </c>
      <c r="D113" s="2" t="s">
        <v>4</v>
      </c>
      <c r="E113" s="2" t="s">
        <v>15</v>
      </c>
      <c r="F113" s="2" t="s">
        <v>2</v>
      </c>
      <c r="G113" s="2" t="s">
        <v>49</v>
      </c>
      <c r="H113" s="3" t="s">
        <v>49</v>
      </c>
      <c r="I113" s="5">
        <v>3</v>
      </c>
      <c r="J113" s="8">
        <v>4</v>
      </c>
      <c r="K113" s="8" t="s">
        <v>13</v>
      </c>
      <c r="L113" s="8" t="s">
        <v>6</v>
      </c>
      <c r="M113" s="8" t="s">
        <v>19</v>
      </c>
      <c r="N113" s="8" t="s">
        <v>55</v>
      </c>
      <c r="O113" s="8" t="s">
        <v>65</v>
      </c>
      <c r="P113" s="8" t="s">
        <v>11</v>
      </c>
    </row>
    <row r="114" spans="1:16" x14ac:dyDescent="0.35">
      <c r="A114" s="14">
        <v>45728</v>
      </c>
      <c r="B114" s="3">
        <v>4</v>
      </c>
      <c r="C114" s="8" t="s">
        <v>4</v>
      </c>
      <c r="D114" s="8" t="s">
        <v>10</v>
      </c>
      <c r="E114" s="8" t="s">
        <v>2</v>
      </c>
      <c r="F114" s="8" t="s">
        <v>15</v>
      </c>
      <c r="G114" s="8" t="s">
        <v>99</v>
      </c>
      <c r="H114" s="8" t="s">
        <v>49</v>
      </c>
      <c r="I114" s="9">
        <v>1</v>
      </c>
      <c r="J114" s="10">
        <v>4</v>
      </c>
      <c r="K114" s="10" t="s">
        <v>81</v>
      </c>
      <c r="L114" s="10" t="s">
        <v>12</v>
      </c>
      <c r="M114" s="10" t="s">
        <v>11</v>
      </c>
      <c r="N114" s="10" t="s">
        <v>6</v>
      </c>
      <c r="O114" s="10" t="s">
        <v>13</v>
      </c>
      <c r="P114" s="10" t="s">
        <v>170</v>
      </c>
    </row>
    <row r="115" spans="1:16" x14ac:dyDescent="0.35">
      <c r="A115" s="14">
        <v>45728</v>
      </c>
      <c r="B115" s="3">
        <v>5</v>
      </c>
      <c r="C115" s="10" t="s">
        <v>81</v>
      </c>
      <c r="D115" s="10" t="s">
        <v>12</v>
      </c>
      <c r="E115" s="10" t="s">
        <v>11</v>
      </c>
      <c r="F115" s="10" t="s">
        <v>6</v>
      </c>
      <c r="G115" s="10" t="s">
        <v>13</v>
      </c>
      <c r="H115" s="10" t="s">
        <v>170</v>
      </c>
      <c r="I115" s="11">
        <v>5</v>
      </c>
      <c r="J115" s="2">
        <v>5</v>
      </c>
      <c r="K115" s="2" t="s">
        <v>1</v>
      </c>
      <c r="L115" s="2" t="s">
        <v>100</v>
      </c>
      <c r="M115" s="2" t="s">
        <v>19</v>
      </c>
      <c r="N115" s="2" t="s">
        <v>95</v>
      </c>
      <c r="O115" s="2" t="s">
        <v>8</v>
      </c>
      <c r="P115" s="3" t="s">
        <v>43</v>
      </c>
    </row>
    <row r="116" spans="1:16" x14ac:dyDescent="0.35">
      <c r="A116" s="14">
        <v>45728</v>
      </c>
      <c r="B116" s="5">
        <v>3</v>
      </c>
      <c r="C116" s="2" t="s">
        <v>1</v>
      </c>
      <c r="D116" s="2" t="s">
        <v>100</v>
      </c>
      <c r="E116" s="2" t="s">
        <v>19</v>
      </c>
      <c r="F116" s="2" t="s">
        <v>95</v>
      </c>
      <c r="G116" s="2" t="s">
        <v>8</v>
      </c>
      <c r="H116" s="3" t="s">
        <v>43</v>
      </c>
      <c r="I116" s="5">
        <v>3</v>
      </c>
      <c r="J116" s="8">
        <v>4</v>
      </c>
      <c r="K116" s="8" t="s">
        <v>4</v>
      </c>
      <c r="L116" s="8" t="s">
        <v>10</v>
      </c>
      <c r="M116" s="8" t="s">
        <v>2</v>
      </c>
      <c r="N116" s="8" t="s">
        <v>15</v>
      </c>
      <c r="O116" s="8" t="s">
        <v>99</v>
      </c>
      <c r="P116" s="8" t="s">
        <v>49</v>
      </c>
    </row>
    <row r="117" spans="1:16" x14ac:dyDescent="0.35">
      <c r="A117" s="14">
        <v>45735</v>
      </c>
      <c r="B117" s="3">
        <v>4</v>
      </c>
      <c r="C117" s="8" t="s">
        <v>11</v>
      </c>
      <c r="D117" s="8" t="s">
        <v>24</v>
      </c>
      <c r="E117" s="8" t="s">
        <v>10</v>
      </c>
      <c r="F117" s="8" t="s">
        <v>5</v>
      </c>
      <c r="G117" s="8" t="s">
        <v>6</v>
      </c>
      <c r="H117" s="8" t="s">
        <v>100</v>
      </c>
      <c r="I117" s="9">
        <v>5</v>
      </c>
      <c r="J117" s="10">
        <v>1</v>
      </c>
      <c r="K117" s="10" t="s">
        <v>1</v>
      </c>
      <c r="L117" s="10" t="s">
        <v>95</v>
      </c>
      <c r="M117" s="10" t="s">
        <v>15</v>
      </c>
      <c r="N117" s="10" t="s">
        <v>4</v>
      </c>
      <c r="O117" s="10" t="s">
        <v>43</v>
      </c>
      <c r="P117" s="10" t="s">
        <v>49</v>
      </c>
    </row>
    <row r="118" spans="1:16" x14ac:dyDescent="0.35">
      <c r="A118" s="14">
        <v>45735</v>
      </c>
      <c r="B118" s="3">
        <v>2</v>
      </c>
      <c r="C118" s="10" t="s">
        <v>1</v>
      </c>
      <c r="D118" s="10" t="s">
        <v>95</v>
      </c>
      <c r="E118" s="10" t="s">
        <v>15</v>
      </c>
      <c r="F118" s="10" t="s">
        <v>4</v>
      </c>
      <c r="G118" s="10" t="s">
        <v>43</v>
      </c>
      <c r="H118" s="10" t="s">
        <v>49</v>
      </c>
      <c r="I118" s="11">
        <v>2</v>
      </c>
      <c r="J118" s="2">
        <v>2</v>
      </c>
      <c r="K118" s="2" t="s">
        <v>55</v>
      </c>
      <c r="L118" s="2" t="s">
        <v>53</v>
      </c>
      <c r="M118" s="2" t="s">
        <v>81</v>
      </c>
      <c r="N118" s="2" t="s">
        <v>67</v>
      </c>
      <c r="O118" s="2" t="s">
        <v>13</v>
      </c>
      <c r="P118" s="3" t="s">
        <v>83</v>
      </c>
    </row>
    <row r="119" spans="1:16" x14ac:dyDescent="0.35">
      <c r="A119" s="14">
        <v>45735</v>
      </c>
      <c r="B119" s="5">
        <v>5</v>
      </c>
      <c r="C119" s="2" t="s">
        <v>55</v>
      </c>
      <c r="D119" s="2" t="s">
        <v>53</v>
      </c>
      <c r="E119" s="2" t="s">
        <v>81</v>
      </c>
      <c r="F119" s="2" t="s">
        <v>67</v>
      </c>
      <c r="G119" s="2" t="s">
        <v>13</v>
      </c>
      <c r="H119" s="3" t="s">
        <v>83</v>
      </c>
      <c r="I119" s="5">
        <v>7</v>
      </c>
      <c r="J119" s="8">
        <v>6</v>
      </c>
      <c r="K119" s="8" t="s">
        <v>11</v>
      </c>
      <c r="L119" s="8" t="s">
        <v>24</v>
      </c>
      <c r="M119" s="8" t="s">
        <v>10</v>
      </c>
      <c r="N119" s="8" t="s">
        <v>5</v>
      </c>
      <c r="O119" s="8" t="s">
        <v>6</v>
      </c>
      <c r="P119" s="8" t="s">
        <v>100</v>
      </c>
    </row>
    <row r="120" spans="1:16" x14ac:dyDescent="0.35">
      <c r="A120" s="14">
        <v>45742</v>
      </c>
      <c r="B120" s="3">
        <v>5</v>
      </c>
      <c r="C120" s="8" t="s">
        <v>19</v>
      </c>
      <c r="D120" s="8" t="s">
        <v>95</v>
      </c>
      <c r="E120" s="8" t="s">
        <v>5</v>
      </c>
      <c r="F120" s="8" t="s">
        <v>4</v>
      </c>
      <c r="G120" s="8" t="s">
        <v>10</v>
      </c>
      <c r="H120" s="8" t="s">
        <v>11</v>
      </c>
      <c r="I120" s="9">
        <v>4</v>
      </c>
      <c r="J120" s="10">
        <v>4</v>
      </c>
      <c r="K120" s="10" t="s">
        <v>1</v>
      </c>
      <c r="L120" s="10" t="s">
        <v>15</v>
      </c>
      <c r="M120" s="10" t="s">
        <v>55</v>
      </c>
      <c r="N120" s="10" t="s">
        <v>65</v>
      </c>
      <c r="O120" s="10" t="s">
        <v>81</v>
      </c>
      <c r="P120" s="10" t="s">
        <v>24</v>
      </c>
    </row>
    <row r="121" spans="1:16" x14ac:dyDescent="0.35">
      <c r="A121" s="14">
        <v>45742</v>
      </c>
      <c r="B121" s="3">
        <v>5</v>
      </c>
      <c r="C121" s="10" t="s">
        <v>1</v>
      </c>
      <c r="D121" s="10" t="s">
        <v>15</v>
      </c>
      <c r="E121" s="10" t="s">
        <v>55</v>
      </c>
      <c r="F121" s="10" t="s">
        <v>65</v>
      </c>
      <c r="G121" s="10" t="s">
        <v>81</v>
      </c>
      <c r="H121" s="10" t="s">
        <v>24</v>
      </c>
      <c r="I121" s="11">
        <v>5</v>
      </c>
      <c r="J121" s="2">
        <v>5</v>
      </c>
      <c r="K121" s="2" t="s">
        <v>13</v>
      </c>
      <c r="L121" s="2" t="s">
        <v>6</v>
      </c>
      <c r="M121" s="2" t="s">
        <v>101</v>
      </c>
      <c r="N121" s="2" t="s">
        <v>8</v>
      </c>
      <c r="O121" s="2" t="s">
        <v>67</v>
      </c>
      <c r="P121" s="3" t="s">
        <v>83</v>
      </c>
    </row>
    <row r="122" spans="1:16" x14ac:dyDescent="0.35">
      <c r="A122" s="14">
        <v>45742</v>
      </c>
      <c r="B122" s="5">
        <v>4</v>
      </c>
      <c r="C122" s="2" t="s">
        <v>13</v>
      </c>
      <c r="D122" s="2" t="s">
        <v>6</v>
      </c>
      <c r="E122" s="2" t="s">
        <v>101</v>
      </c>
      <c r="F122" s="2" t="s">
        <v>8</v>
      </c>
      <c r="G122" s="2" t="s">
        <v>67</v>
      </c>
      <c r="H122" s="3" t="s">
        <v>83</v>
      </c>
      <c r="I122" s="5">
        <v>6</v>
      </c>
      <c r="J122" s="8">
        <v>5</v>
      </c>
      <c r="K122" s="8" t="s">
        <v>19</v>
      </c>
      <c r="L122" s="8" t="s">
        <v>95</v>
      </c>
      <c r="M122" s="8" t="s">
        <v>5</v>
      </c>
      <c r="N122" s="8" t="s">
        <v>4</v>
      </c>
      <c r="O122" s="8" t="s">
        <v>10</v>
      </c>
      <c r="P122" s="8" t="s">
        <v>11</v>
      </c>
    </row>
    <row r="123" spans="1:16" x14ac:dyDescent="0.35">
      <c r="A123" s="14">
        <v>45749</v>
      </c>
      <c r="B123" s="3">
        <v>5</v>
      </c>
      <c r="C123" s="8" t="s">
        <v>13</v>
      </c>
      <c r="D123" s="8" t="s">
        <v>98</v>
      </c>
      <c r="E123" s="8" t="s">
        <v>9</v>
      </c>
      <c r="F123" s="8" t="s">
        <v>65</v>
      </c>
      <c r="G123" s="8" t="s">
        <v>54</v>
      </c>
      <c r="H123" s="8" t="s">
        <v>6</v>
      </c>
      <c r="I123" s="9">
        <v>6</v>
      </c>
      <c r="J123" s="10">
        <v>7</v>
      </c>
      <c r="K123" s="10" t="s">
        <v>24</v>
      </c>
      <c r="L123" s="10" t="s">
        <v>1</v>
      </c>
      <c r="M123" s="10" t="s">
        <v>19</v>
      </c>
      <c r="N123" s="10" t="s">
        <v>18</v>
      </c>
      <c r="O123" s="10" t="s">
        <v>15</v>
      </c>
      <c r="P123" s="10" t="s">
        <v>55</v>
      </c>
    </row>
    <row r="124" spans="1:16" x14ac:dyDescent="0.35">
      <c r="A124" s="14">
        <v>45749</v>
      </c>
      <c r="B124" s="3">
        <v>3</v>
      </c>
      <c r="C124" s="10" t="s">
        <v>24</v>
      </c>
      <c r="D124" s="10" t="s">
        <v>1</v>
      </c>
      <c r="E124" s="10" t="s">
        <v>19</v>
      </c>
      <c r="F124" s="10" t="s">
        <v>18</v>
      </c>
      <c r="G124" s="10" t="s">
        <v>15</v>
      </c>
      <c r="H124" s="10" t="s">
        <v>55</v>
      </c>
      <c r="I124" s="11">
        <v>1</v>
      </c>
      <c r="J124" s="2">
        <v>5</v>
      </c>
      <c r="K124" s="2" t="s">
        <v>100</v>
      </c>
      <c r="L124" s="2" t="s">
        <v>10</v>
      </c>
      <c r="M124" s="2" t="s">
        <v>95</v>
      </c>
      <c r="N124" s="2" t="s">
        <v>5</v>
      </c>
      <c r="O124" s="2" t="s">
        <v>8</v>
      </c>
      <c r="P124" s="3" t="s">
        <v>83</v>
      </c>
    </row>
    <row r="125" spans="1:16" x14ac:dyDescent="0.35">
      <c r="A125" s="14">
        <v>45749</v>
      </c>
      <c r="B125" s="5">
        <v>5</v>
      </c>
      <c r="C125" s="2" t="s">
        <v>100</v>
      </c>
      <c r="D125" s="2" t="s">
        <v>10</v>
      </c>
      <c r="E125" s="2" t="s">
        <v>95</v>
      </c>
      <c r="F125" s="2" t="s">
        <v>5</v>
      </c>
      <c r="G125" s="2" t="s">
        <v>8</v>
      </c>
      <c r="H125" s="3" t="s">
        <v>83</v>
      </c>
      <c r="I125" s="5">
        <v>3</v>
      </c>
      <c r="J125" s="8">
        <v>7</v>
      </c>
      <c r="K125" s="8" t="s">
        <v>13</v>
      </c>
      <c r="L125" s="8" t="s">
        <v>98</v>
      </c>
      <c r="M125" s="8" t="s">
        <v>9</v>
      </c>
      <c r="N125" s="8" t="s">
        <v>65</v>
      </c>
      <c r="O125" s="8" t="s">
        <v>54</v>
      </c>
      <c r="P125" s="8" t="s">
        <v>6</v>
      </c>
    </row>
    <row r="126" spans="1:16" x14ac:dyDescent="0.35">
      <c r="A126" s="14">
        <v>45756</v>
      </c>
      <c r="B126" s="3">
        <v>5</v>
      </c>
      <c r="C126" s="8" t="s">
        <v>54</v>
      </c>
      <c r="D126" s="8" t="s">
        <v>13</v>
      </c>
      <c r="E126" s="8" t="s">
        <v>6</v>
      </c>
      <c r="F126" s="8" t="s">
        <v>19</v>
      </c>
      <c r="G126" s="8" t="s">
        <v>104</v>
      </c>
      <c r="H126" s="8" t="s">
        <v>95</v>
      </c>
      <c r="I126" s="9">
        <v>5</v>
      </c>
      <c r="J126" s="10">
        <v>6</v>
      </c>
      <c r="K126" s="10" t="s">
        <v>55</v>
      </c>
      <c r="L126" s="10" t="s">
        <v>98</v>
      </c>
      <c r="M126" s="10" t="s">
        <v>15</v>
      </c>
      <c r="N126" s="10" t="s">
        <v>11</v>
      </c>
      <c r="O126" s="10" t="s">
        <v>9</v>
      </c>
      <c r="P126" s="10" t="s">
        <v>10</v>
      </c>
    </row>
    <row r="127" spans="1:16" x14ac:dyDescent="0.35">
      <c r="A127" s="14">
        <v>45756</v>
      </c>
      <c r="B127" s="3">
        <v>5</v>
      </c>
      <c r="C127" s="10" t="s">
        <v>55</v>
      </c>
      <c r="D127" s="10" t="s">
        <v>98</v>
      </c>
      <c r="E127" s="10" t="s">
        <v>15</v>
      </c>
      <c r="F127" s="10" t="s">
        <v>11</v>
      </c>
      <c r="G127" s="10" t="s">
        <v>9</v>
      </c>
      <c r="H127" s="10" t="s">
        <v>10</v>
      </c>
      <c r="I127" s="11">
        <v>3</v>
      </c>
      <c r="J127" s="2">
        <v>4</v>
      </c>
      <c r="K127" s="2" t="s">
        <v>24</v>
      </c>
      <c r="L127" s="2" t="s">
        <v>65</v>
      </c>
      <c r="M127" s="2" t="s">
        <v>1</v>
      </c>
      <c r="N127" s="2" t="s">
        <v>67</v>
      </c>
      <c r="O127" s="2" t="s">
        <v>21</v>
      </c>
      <c r="P127" s="3" t="s">
        <v>5</v>
      </c>
    </row>
    <row r="128" spans="1:16" x14ac:dyDescent="0.35">
      <c r="A128" s="14">
        <v>45756</v>
      </c>
      <c r="B128" s="5">
        <v>4</v>
      </c>
      <c r="C128" s="2" t="s">
        <v>24</v>
      </c>
      <c r="D128" s="2" t="s">
        <v>65</v>
      </c>
      <c r="E128" s="2" t="s">
        <v>1</v>
      </c>
      <c r="F128" s="2" t="s">
        <v>67</v>
      </c>
      <c r="G128" s="2" t="s">
        <v>21</v>
      </c>
      <c r="H128" s="3" t="s">
        <v>5</v>
      </c>
      <c r="I128" s="5">
        <v>5</v>
      </c>
      <c r="J128" s="8">
        <v>4</v>
      </c>
      <c r="K128" s="8" t="s">
        <v>54</v>
      </c>
      <c r="L128" s="8" t="s">
        <v>13</v>
      </c>
      <c r="M128" s="8" t="s">
        <v>6</v>
      </c>
      <c r="N128" s="8" t="s">
        <v>19</v>
      </c>
      <c r="O128" s="8" t="s">
        <v>104</v>
      </c>
      <c r="P128" s="8" t="s">
        <v>95</v>
      </c>
    </row>
    <row r="129" spans="1:24" x14ac:dyDescent="0.35">
      <c r="A129" s="14">
        <v>45763</v>
      </c>
      <c r="B129" s="3">
        <v>3</v>
      </c>
      <c r="C129" s="8" t="s">
        <v>13</v>
      </c>
      <c r="D129" s="8" t="s">
        <v>105</v>
      </c>
      <c r="E129" s="8" t="s">
        <v>106</v>
      </c>
      <c r="F129" s="8" t="s">
        <v>15</v>
      </c>
      <c r="G129" s="8" t="s">
        <v>5</v>
      </c>
      <c r="H129" s="8" t="s">
        <v>95</v>
      </c>
      <c r="I129" s="9">
        <v>5</v>
      </c>
      <c r="J129" s="10">
        <v>1</v>
      </c>
      <c r="K129" s="10" t="s">
        <v>54</v>
      </c>
      <c r="L129" s="10" t="s">
        <v>65</v>
      </c>
      <c r="M129" s="10" t="s">
        <v>1</v>
      </c>
      <c r="N129" s="10" t="s">
        <v>107</v>
      </c>
      <c r="O129" s="10" t="s">
        <v>11</v>
      </c>
      <c r="P129" s="10" t="s">
        <v>9</v>
      </c>
    </row>
    <row r="130" spans="1:24" x14ac:dyDescent="0.35">
      <c r="A130" s="14">
        <v>45763</v>
      </c>
      <c r="B130" s="3">
        <v>5</v>
      </c>
      <c r="C130" s="10" t="s">
        <v>54</v>
      </c>
      <c r="D130" s="10" t="s">
        <v>65</v>
      </c>
      <c r="E130" s="10" t="s">
        <v>1</v>
      </c>
      <c r="F130" s="10" t="s">
        <v>107</v>
      </c>
      <c r="G130" s="10" t="s">
        <v>11</v>
      </c>
      <c r="H130" s="10" t="s">
        <v>9</v>
      </c>
      <c r="I130" s="11">
        <v>3</v>
      </c>
      <c r="J130" s="2">
        <v>5</v>
      </c>
      <c r="K130" s="2" t="s">
        <v>47</v>
      </c>
      <c r="L130" s="2" t="s">
        <v>55</v>
      </c>
      <c r="M130" s="2" t="s">
        <v>6</v>
      </c>
      <c r="N130" s="2" t="s">
        <v>80</v>
      </c>
      <c r="O130" s="2" t="s">
        <v>100</v>
      </c>
      <c r="P130" s="3" t="s">
        <v>10</v>
      </c>
    </row>
    <row r="131" spans="1:24" x14ac:dyDescent="0.35">
      <c r="A131" s="14">
        <v>45763</v>
      </c>
      <c r="B131" s="5">
        <v>5</v>
      </c>
      <c r="C131" s="2" t="s">
        <v>47</v>
      </c>
      <c r="D131" s="2" t="s">
        <v>55</v>
      </c>
      <c r="E131" s="2" t="s">
        <v>6</v>
      </c>
      <c r="F131" s="2" t="s">
        <v>80</v>
      </c>
      <c r="G131" s="2" t="s">
        <v>100</v>
      </c>
      <c r="H131" s="3" t="s">
        <v>10</v>
      </c>
      <c r="I131" s="5">
        <v>6</v>
      </c>
      <c r="J131" s="8">
        <v>4</v>
      </c>
      <c r="K131" s="8" t="s">
        <v>13</v>
      </c>
      <c r="L131" s="8" t="s">
        <v>105</v>
      </c>
      <c r="M131" s="8" t="s">
        <v>106</v>
      </c>
      <c r="N131" s="8" t="s">
        <v>15</v>
      </c>
      <c r="O131" s="8" t="s">
        <v>5</v>
      </c>
      <c r="P131" s="8" t="s">
        <v>95</v>
      </c>
    </row>
    <row r="132" spans="1:24" x14ac:dyDescent="0.35">
      <c r="A132" s="14">
        <v>45770</v>
      </c>
      <c r="B132" s="3">
        <v>4</v>
      </c>
      <c r="C132" s="8" t="s">
        <v>1</v>
      </c>
      <c r="D132" s="8" t="s">
        <v>6</v>
      </c>
      <c r="E132" s="8" t="s">
        <v>13</v>
      </c>
      <c r="F132" s="8" t="s">
        <v>19</v>
      </c>
      <c r="G132" s="8" t="s">
        <v>83</v>
      </c>
      <c r="H132" s="8" t="s">
        <v>47</v>
      </c>
      <c r="I132" s="9">
        <v>5</v>
      </c>
      <c r="J132" s="10">
        <v>2</v>
      </c>
      <c r="K132" s="10" t="s">
        <v>9</v>
      </c>
      <c r="L132" s="10" t="s">
        <v>5</v>
      </c>
      <c r="M132" s="10" t="s">
        <v>11</v>
      </c>
      <c r="N132" s="10" t="s">
        <v>24</v>
      </c>
      <c r="O132" s="10" t="s">
        <v>65</v>
      </c>
      <c r="P132" s="10" t="s">
        <v>18</v>
      </c>
      <c r="S132" s="2"/>
      <c r="T132" s="2"/>
      <c r="U132" s="2"/>
      <c r="V132" s="2"/>
      <c r="W132" s="2"/>
    </row>
    <row r="133" spans="1:24" x14ac:dyDescent="0.35">
      <c r="A133" s="14">
        <v>45770</v>
      </c>
      <c r="B133" s="3">
        <v>4</v>
      </c>
      <c r="C133" s="10" t="s">
        <v>9</v>
      </c>
      <c r="D133" s="10" t="s">
        <v>5</v>
      </c>
      <c r="E133" s="10" t="s">
        <v>11</v>
      </c>
      <c r="F133" s="10" t="s">
        <v>24</v>
      </c>
      <c r="G133" s="10" t="s">
        <v>65</v>
      </c>
      <c r="H133" s="10" t="s">
        <v>18</v>
      </c>
      <c r="I133" s="11">
        <v>3</v>
      </c>
      <c r="J133" s="2">
        <v>1</v>
      </c>
      <c r="K133" s="2" t="s">
        <v>55</v>
      </c>
      <c r="L133" s="2" t="s">
        <v>54</v>
      </c>
      <c r="M133" s="2" t="s">
        <v>10</v>
      </c>
      <c r="N133" s="2" t="s">
        <v>100</v>
      </c>
      <c r="O133" s="2" t="s">
        <v>2</v>
      </c>
      <c r="P133" s="3" t="s">
        <v>15</v>
      </c>
    </row>
    <row r="134" spans="1:24" x14ac:dyDescent="0.35">
      <c r="A134" s="14">
        <v>45770</v>
      </c>
      <c r="B134" s="5">
        <v>4</v>
      </c>
      <c r="C134" s="2" t="s">
        <v>55</v>
      </c>
      <c r="D134" s="2" t="s">
        <v>54</v>
      </c>
      <c r="E134" s="2" t="s">
        <v>10</v>
      </c>
      <c r="F134" s="2" t="s">
        <v>100</v>
      </c>
      <c r="G134" s="2" t="s">
        <v>2</v>
      </c>
      <c r="H134" s="3" t="s">
        <v>15</v>
      </c>
      <c r="I134" s="5">
        <v>3</v>
      </c>
      <c r="J134" s="8">
        <v>1</v>
      </c>
      <c r="K134" s="8" t="s">
        <v>1</v>
      </c>
      <c r="L134" s="8" t="s">
        <v>6</v>
      </c>
      <c r="M134" s="8" t="s">
        <v>13</v>
      </c>
      <c r="N134" s="8" t="s">
        <v>19</v>
      </c>
      <c r="O134" s="8" t="s">
        <v>83</v>
      </c>
      <c r="P134" s="8" t="s">
        <v>47</v>
      </c>
    </row>
    <row r="135" spans="1:24" x14ac:dyDescent="0.35">
      <c r="A135" s="14">
        <v>45777</v>
      </c>
      <c r="B135" s="3">
        <v>2</v>
      </c>
      <c r="C135" s="8" t="s">
        <v>1</v>
      </c>
      <c r="D135" s="8" t="s">
        <v>19</v>
      </c>
      <c r="E135" s="8" t="s">
        <v>9</v>
      </c>
      <c r="F135" s="8" t="s">
        <v>11</v>
      </c>
      <c r="G135" s="8" t="s">
        <v>3</v>
      </c>
      <c r="H135" s="8" t="s">
        <v>21</v>
      </c>
      <c r="I135" s="9">
        <v>5</v>
      </c>
      <c r="J135" s="10">
        <v>3</v>
      </c>
      <c r="K135" s="10" t="s">
        <v>10</v>
      </c>
      <c r="L135" s="10" t="s">
        <v>6</v>
      </c>
      <c r="M135" s="10" t="s">
        <v>100</v>
      </c>
      <c r="N135" s="10" t="s">
        <v>20</v>
      </c>
      <c r="O135" s="10" t="s">
        <v>65</v>
      </c>
      <c r="P135" s="10" t="s">
        <v>108</v>
      </c>
    </row>
    <row r="136" spans="1:24" x14ac:dyDescent="0.35">
      <c r="A136" s="14">
        <v>45777</v>
      </c>
      <c r="B136" s="3">
        <v>4</v>
      </c>
      <c r="C136" s="10" t="s">
        <v>10</v>
      </c>
      <c r="D136" s="10" t="s">
        <v>6</v>
      </c>
      <c r="E136" s="10" t="s">
        <v>100</v>
      </c>
      <c r="F136" s="10" t="s">
        <v>20</v>
      </c>
      <c r="G136" s="10" t="s">
        <v>65</v>
      </c>
      <c r="H136" s="10" t="s">
        <v>108</v>
      </c>
      <c r="I136" s="11">
        <v>4</v>
      </c>
      <c r="J136" s="2">
        <v>6</v>
      </c>
      <c r="K136" s="2" t="s">
        <v>55</v>
      </c>
      <c r="L136" s="2" t="s">
        <v>18</v>
      </c>
      <c r="M136" s="2" t="s">
        <v>5</v>
      </c>
      <c r="N136" s="2" t="s">
        <v>83</v>
      </c>
      <c r="O136" s="2" t="s">
        <v>54</v>
      </c>
      <c r="P136" s="3" t="s">
        <v>24</v>
      </c>
    </row>
    <row r="137" spans="1:24" x14ac:dyDescent="0.35">
      <c r="A137" s="14">
        <v>45777</v>
      </c>
      <c r="B137" s="5">
        <v>4</v>
      </c>
      <c r="C137" s="2" t="s">
        <v>55</v>
      </c>
      <c r="D137" s="2" t="s">
        <v>18</v>
      </c>
      <c r="E137" s="2" t="s">
        <v>5</v>
      </c>
      <c r="F137" s="2" t="s">
        <v>83</v>
      </c>
      <c r="G137" s="2" t="s">
        <v>54</v>
      </c>
      <c r="H137" s="3" t="s">
        <v>24</v>
      </c>
      <c r="I137" s="5">
        <v>4</v>
      </c>
      <c r="J137" s="8">
        <v>2</v>
      </c>
      <c r="K137" s="8" t="s">
        <v>1</v>
      </c>
      <c r="L137" s="8" t="s">
        <v>19</v>
      </c>
      <c r="M137" s="8" t="s">
        <v>9</v>
      </c>
      <c r="N137" s="8" t="s">
        <v>11</v>
      </c>
      <c r="O137" s="8" t="s">
        <v>3</v>
      </c>
      <c r="P137" s="8" t="s">
        <v>21</v>
      </c>
    </row>
    <row r="138" spans="1:24" x14ac:dyDescent="0.35">
      <c r="A138" s="14">
        <v>45784</v>
      </c>
      <c r="B138" s="3">
        <v>3</v>
      </c>
      <c r="C138" s="8" t="s">
        <v>8</v>
      </c>
      <c r="D138" s="8" t="s">
        <v>11</v>
      </c>
      <c r="E138" s="8" t="s">
        <v>83</v>
      </c>
      <c r="F138" s="8" t="s">
        <v>5</v>
      </c>
      <c r="G138" s="8" t="s">
        <v>81</v>
      </c>
      <c r="H138" s="8" t="s">
        <v>65</v>
      </c>
      <c r="I138" s="9">
        <v>5</v>
      </c>
      <c r="J138" s="10">
        <v>2</v>
      </c>
      <c r="K138" s="10" t="s">
        <v>10</v>
      </c>
      <c r="L138" s="10" t="s">
        <v>18</v>
      </c>
      <c r="M138" s="10" t="s">
        <v>1</v>
      </c>
      <c r="N138" s="10" t="s">
        <v>15</v>
      </c>
      <c r="O138" s="10" t="s">
        <v>118</v>
      </c>
      <c r="P138" s="10" t="s">
        <v>4</v>
      </c>
    </row>
    <row r="139" spans="1:24" x14ac:dyDescent="0.35">
      <c r="A139" s="14">
        <v>45784</v>
      </c>
      <c r="B139" s="3">
        <v>4</v>
      </c>
      <c r="C139" s="10" t="s">
        <v>10</v>
      </c>
      <c r="D139" s="10" t="s">
        <v>18</v>
      </c>
      <c r="E139" s="10" t="s">
        <v>1</v>
      </c>
      <c r="F139" s="10" t="s">
        <v>15</v>
      </c>
      <c r="G139" s="10" t="s">
        <v>118</v>
      </c>
      <c r="H139" s="10" t="s">
        <v>4</v>
      </c>
      <c r="I139" s="11">
        <v>1</v>
      </c>
      <c r="J139" s="2">
        <v>3</v>
      </c>
      <c r="K139" s="2" t="s">
        <v>13</v>
      </c>
      <c r="L139" s="2" t="s">
        <v>19</v>
      </c>
      <c r="M139" s="2" t="s">
        <v>9</v>
      </c>
      <c r="N139" s="2" t="s">
        <v>54</v>
      </c>
      <c r="O139" s="2" t="s">
        <v>6</v>
      </c>
      <c r="P139" s="3" t="s">
        <v>55</v>
      </c>
    </row>
    <row r="140" spans="1:24" x14ac:dyDescent="0.35">
      <c r="A140" s="14">
        <v>45784</v>
      </c>
      <c r="B140" s="5">
        <v>4</v>
      </c>
      <c r="C140" s="2" t="s">
        <v>13</v>
      </c>
      <c r="D140" s="2" t="s">
        <v>19</v>
      </c>
      <c r="E140" s="2" t="s">
        <v>9</v>
      </c>
      <c r="F140" s="2" t="s">
        <v>54</v>
      </c>
      <c r="G140" s="2" t="s">
        <v>6</v>
      </c>
      <c r="H140" s="3" t="s">
        <v>55</v>
      </c>
      <c r="I140" s="5">
        <v>4</v>
      </c>
      <c r="J140" s="8">
        <v>3</v>
      </c>
      <c r="K140" s="8" t="s">
        <v>8</v>
      </c>
      <c r="L140" s="8" t="s">
        <v>11</v>
      </c>
      <c r="M140" s="8" t="s">
        <v>83</v>
      </c>
      <c r="N140" s="8" t="s">
        <v>5</v>
      </c>
      <c r="O140" s="8" t="s">
        <v>81</v>
      </c>
      <c r="P140" s="8" t="s">
        <v>65</v>
      </c>
    </row>
    <row r="141" spans="1:24" x14ac:dyDescent="0.35">
      <c r="A141" s="14">
        <v>45791</v>
      </c>
      <c r="B141" s="3">
        <v>4</v>
      </c>
      <c r="C141" s="8" t="s">
        <v>1</v>
      </c>
      <c r="D141" s="8" t="s">
        <v>54</v>
      </c>
      <c r="E141" s="8" t="s">
        <v>100</v>
      </c>
      <c r="F141" s="8" t="s">
        <v>5</v>
      </c>
      <c r="G141" s="8" t="s">
        <v>67</v>
      </c>
      <c r="H141" s="8" t="s">
        <v>18</v>
      </c>
      <c r="I141" s="9">
        <v>4</v>
      </c>
      <c r="J141" s="10">
        <v>4</v>
      </c>
      <c r="K141" s="10" t="s">
        <v>55</v>
      </c>
      <c r="L141" s="10" t="s">
        <v>118</v>
      </c>
      <c r="M141" s="10" t="s">
        <v>4</v>
      </c>
      <c r="N141" s="10" t="s">
        <v>65</v>
      </c>
      <c r="O141" s="10" t="s">
        <v>94</v>
      </c>
      <c r="P141" s="10" t="s">
        <v>21</v>
      </c>
    </row>
    <row r="142" spans="1:24" x14ac:dyDescent="0.35">
      <c r="A142" s="14">
        <v>45791</v>
      </c>
      <c r="B142" s="3">
        <v>4</v>
      </c>
      <c r="C142" s="10" t="s">
        <v>55</v>
      </c>
      <c r="D142" s="10" t="s">
        <v>118</v>
      </c>
      <c r="E142" s="10" t="s">
        <v>4</v>
      </c>
      <c r="F142" s="10" t="s">
        <v>65</v>
      </c>
      <c r="G142" s="10" t="s">
        <v>94</v>
      </c>
      <c r="H142" s="10" t="s">
        <v>21</v>
      </c>
      <c r="I142" s="11">
        <v>3</v>
      </c>
      <c r="J142" s="2">
        <v>6</v>
      </c>
      <c r="K142" s="2" t="s">
        <v>19</v>
      </c>
      <c r="L142" s="2" t="s">
        <v>112</v>
      </c>
      <c r="M142" s="2" t="s">
        <v>113</v>
      </c>
      <c r="N142" s="2" t="s">
        <v>83</v>
      </c>
      <c r="O142" s="2" t="s">
        <v>10</v>
      </c>
      <c r="P142" s="3" t="s">
        <v>43</v>
      </c>
    </row>
    <row r="143" spans="1:24" x14ac:dyDescent="0.35">
      <c r="A143" s="14">
        <v>45791</v>
      </c>
      <c r="B143" s="5">
        <v>4</v>
      </c>
      <c r="C143" s="2" t="s">
        <v>19</v>
      </c>
      <c r="D143" s="2" t="s">
        <v>112</v>
      </c>
      <c r="E143" s="2" t="s">
        <v>113</v>
      </c>
      <c r="F143" s="2" t="s">
        <v>83</v>
      </c>
      <c r="G143" s="2" t="s">
        <v>10</v>
      </c>
      <c r="H143" s="3" t="s">
        <v>43</v>
      </c>
      <c r="I143" s="5">
        <v>1</v>
      </c>
      <c r="J143" s="8">
        <v>5</v>
      </c>
      <c r="K143" s="8" t="s">
        <v>1</v>
      </c>
      <c r="L143" s="8" t="s">
        <v>54</v>
      </c>
      <c r="M143" s="8" t="s">
        <v>100</v>
      </c>
      <c r="N143" s="8" t="s">
        <v>5</v>
      </c>
      <c r="O143" s="8" t="s">
        <v>67</v>
      </c>
      <c r="P143" s="8" t="s">
        <v>18</v>
      </c>
    </row>
    <row r="144" spans="1:24" x14ac:dyDescent="0.35">
      <c r="A144" s="14">
        <v>45798</v>
      </c>
      <c r="B144" s="3">
        <v>5</v>
      </c>
      <c r="C144" s="8" t="s">
        <v>15</v>
      </c>
      <c r="D144" s="8" t="s">
        <v>5</v>
      </c>
      <c r="E144" s="8" t="s">
        <v>43</v>
      </c>
      <c r="F144" s="8" t="s">
        <v>4</v>
      </c>
      <c r="G144" s="8" t="s">
        <v>65</v>
      </c>
      <c r="H144" s="8"/>
      <c r="I144" s="9">
        <v>5</v>
      </c>
      <c r="J144" s="10">
        <v>7</v>
      </c>
      <c r="K144" s="10" t="s">
        <v>1</v>
      </c>
      <c r="L144" s="10" t="s">
        <v>9</v>
      </c>
      <c r="M144" s="10" t="s">
        <v>18</v>
      </c>
      <c r="N144" s="10" t="s">
        <v>24</v>
      </c>
      <c r="O144" s="10" t="s">
        <v>6</v>
      </c>
      <c r="P144" s="10"/>
      <c r="T144" s="2"/>
      <c r="U144" s="2"/>
      <c r="V144" s="2"/>
      <c r="W144" s="2"/>
      <c r="X144" s="2"/>
    </row>
    <row r="145" spans="1:21" x14ac:dyDescent="0.35">
      <c r="A145" s="14">
        <v>45798</v>
      </c>
      <c r="B145" s="3">
        <v>5</v>
      </c>
      <c r="C145" s="10" t="s">
        <v>1</v>
      </c>
      <c r="D145" s="10" t="s">
        <v>9</v>
      </c>
      <c r="E145" s="10" t="s">
        <v>18</v>
      </c>
      <c r="F145" s="10" t="s">
        <v>24</v>
      </c>
      <c r="G145" s="10" t="s">
        <v>6</v>
      </c>
      <c r="H145" s="10"/>
      <c r="I145" s="11">
        <v>5</v>
      </c>
      <c r="J145" s="2">
        <v>5</v>
      </c>
      <c r="K145" s="2" t="s">
        <v>10</v>
      </c>
      <c r="L145" s="2" t="s">
        <v>19</v>
      </c>
      <c r="M145" s="2" t="s">
        <v>118</v>
      </c>
      <c r="N145" s="2" t="s">
        <v>100</v>
      </c>
      <c r="O145" s="2" t="s">
        <v>83</v>
      </c>
      <c r="P145" s="3"/>
    </row>
    <row r="146" spans="1:21" x14ac:dyDescent="0.35">
      <c r="A146" s="14">
        <v>45798</v>
      </c>
      <c r="B146" s="5">
        <v>3</v>
      </c>
      <c r="C146" s="2" t="s">
        <v>10</v>
      </c>
      <c r="D146" s="2" t="s">
        <v>19</v>
      </c>
      <c r="E146" s="2" t="s">
        <v>118</v>
      </c>
      <c r="F146" s="2" t="s">
        <v>100</v>
      </c>
      <c r="G146" s="2" t="s">
        <v>83</v>
      </c>
      <c r="H146" s="3"/>
      <c r="I146" s="5">
        <v>1</v>
      </c>
      <c r="J146" s="8">
        <v>2</v>
      </c>
      <c r="K146" s="8" t="s">
        <v>15</v>
      </c>
      <c r="L146" s="8" t="s">
        <v>5</v>
      </c>
      <c r="M146" s="8" t="s">
        <v>43</v>
      </c>
      <c r="N146" s="8" t="s">
        <v>4</v>
      </c>
      <c r="O146" s="8" t="s">
        <v>65</v>
      </c>
      <c r="P146" s="8"/>
    </row>
    <row r="147" spans="1:21" x14ac:dyDescent="0.35">
      <c r="A147" s="14">
        <v>45805</v>
      </c>
      <c r="B147" s="3">
        <v>3</v>
      </c>
      <c r="C147" s="8" t="s">
        <v>98</v>
      </c>
      <c r="D147" s="8" t="s">
        <v>15</v>
      </c>
      <c r="E147" s="8" t="s">
        <v>81</v>
      </c>
      <c r="F147" s="8" t="s">
        <v>10</v>
      </c>
      <c r="G147" s="8" t="s">
        <v>4</v>
      </c>
      <c r="H147" s="8" t="s">
        <v>118</v>
      </c>
      <c r="I147" s="9">
        <v>3</v>
      </c>
      <c r="J147" s="10">
        <v>2</v>
      </c>
      <c r="K147" s="10" t="s">
        <v>24</v>
      </c>
      <c r="L147" s="10" t="s">
        <v>13</v>
      </c>
      <c r="M147" s="10" t="s">
        <v>11</v>
      </c>
      <c r="N147" s="10" t="s">
        <v>5</v>
      </c>
      <c r="O147" s="10" t="s">
        <v>19</v>
      </c>
      <c r="P147" s="10" t="s">
        <v>43</v>
      </c>
    </row>
    <row r="148" spans="1:21" x14ac:dyDescent="0.35">
      <c r="A148" s="14">
        <v>45805</v>
      </c>
      <c r="B148" s="3">
        <v>3</v>
      </c>
      <c r="C148" s="10" t="s">
        <v>24</v>
      </c>
      <c r="D148" s="10" t="s">
        <v>13</v>
      </c>
      <c r="E148" s="10" t="s">
        <v>11</v>
      </c>
      <c r="F148" s="10" t="s">
        <v>5</v>
      </c>
      <c r="G148" s="10" t="s">
        <v>19</v>
      </c>
      <c r="H148" s="10" t="s">
        <v>43</v>
      </c>
      <c r="I148" s="11">
        <v>2</v>
      </c>
      <c r="J148" s="2">
        <v>6</v>
      </c>
      <c r="K148" s="2" t="s">
        <v>6</v>
      </c>
      <c r="L148" s="2" t="s">
        <v>100</v>
      </c>
      <c r="M148" s="2" t="s">
        <v>65</v>
      </c>
      <c r="N148" s="2" t="s">
        <v>47</v>
      </c>
      <c r="O148" s="2" t="s">
        <v>9</v>
      </c>
      <c r="P148" s="3" t="s">
        <v>62</v>
      </c>
    </row>
    <row r="149" spans="1:21" x14ac:dyDescent="0.35">
      <c r="A149" s="14">
        <v>45805</v>
      </c>
      <c r="B149" s="5">
        <v>5</v>
      </c>
      <c r="C149" s="2" t="s">
        <v>6</v>
      </c>
      <c r="D149" s="2" t="s">
        <v>100</v>
      </c>
      <c r="E149" s="2" t="s">
        <v>65</v>
      </c>
      <c r="F149" s="2" t="s">
        <v>47</v>
      </c>
      <c r="G149" s="2" t="s">
        <v>9</v>
      </c>
      <c r="H149" s="3" t="s">
        <v>62</v>
      </c>
      <c r="I149" s="5">
        <v>3</v>
      </c>
      <c r="J149" s="8">
        <v>5</v>
      </c>
      <c r="K149" s="8" t="s">
        <v>98</v>
      </c>
      <c r="L149" s="8" t="s">
        <v>15</v>
      </c>
      <c r="M149" s="8" t="s">
        <v>81</v>
      </c>
      <c r="N149" s="8" t="s">
        <v>10</v>
      </c>
      <c r="O149" s="8" t="s">
        <v>4</v>
      </c>
      <c r="P149" s="8" t="s">
        <v>118</v>
      </c>
    </row>
    <row r="150" spans="1:21" x14ac:dyDescent="0.35">
      <c r="A150" s="14">
        <v>45812</v>
      </c>
      <c r="B150" s="3">
        <v>5</v>
      </c>
      <c r="C150" s="8" t="s">
        <v>100</v>
      </c>
      <c r="D150" s="8" t="s">
        <v>43</v>
      </c>
      <c r="E150" s="8" t="s">
        <v>19</v>
      </c>
      <c r="F150" s="8" t="s">
        <v>15</v>
      </c>
      <c r="G150" s="8" t="s">
        <v>18</v>
      </c>
      <c r="H150" s="8" t="s">
        <v>83</v>
      </c>
      <c r="I150" s="9">
        <v>4</v>
      </c>
      <c r="J150" s="10">
        <v>5</v>
      </c>
      <c r="K150" s="10" t="s">
        <v>13</v>
      </c>
      <c r="L150" s="10" t="s">
        <v>116</v>
      </c>
      <c r="M150" s="10" t="s">
        <v>5</v>
      </c>
      <c r="N150" s="10" t="s">
        <v>118</v>
      </c>
      <c r="O150" s="10" t="s">
        <v>2</v>
      </c>
      <c r="P150" s="10" t="s">
        <v>65</v>
      </c>
    </row>
    <row r="151" spans="1:21" x14ac:dyDescent="0.35">
      <c r="A151" s="14">
        <v>45812</v>
      </c>
      <c r="B151" s="3">
        <v>3</v>
      </c>
      <c r="C151" s="10" t="s">
        <v>13</v>
      </c>
      <c r="D151" s="10" t="s">
        <v>116</v>
      </c>
      <c r="E151" s="10" t="s">
        <v>5</v>
      </c>
      <c r="F151" s="10" t="s">
        <v>118</v>
      </c>
      <c r="G151" s="10" t="s">
        <v>2</v>
      </c>
      <c r="H151" s="10" t="s">
        <v>65</v>
      </c>
      <c r="I151" s="11">
        <v>3</v>
      </c>
      <c r="J151" s="2">
        <v>5</v>
      </c>
      <c r="K151" s="2" t="s">
        <v>10</v>
      </c>
      <c r="L151" s="2" t="s">
        <v>24</v>
      </c>
      <c r="M151" s="2" t="s">
        <v>9</v>
      </c>
      <c r="N151" s="2" t="s">
        <v>54</v>
      </c>
      <c r="O151" s="2" t="s">
        <v>6</v>
      </c>
      <c r="P151" s="3" t="s">
        <v>4</v>
      </c>
    </row>
    <row r="152" spans="1:21" x14ac:dyDescent="0.35">
      <c r="A152" s="14">
        <v>45812</v>
      </c>
      <c r="B152" s="5">
        <v>4</v>
      </c>
      <c r="C152" s="2" t="s">
        <v>10</v>
      </c>
      <c r="D152" s="2" t="s">
        <v>24</v>
      </c>
      <c r="E152" s="2" t="s">
        <v>9</v>
      </c>
      <c r="F152" s="2" t="s">
        <v>54</v>
      </c>
      <c r="G152" s="2" t="s">
        <v>6</v>
      </c>
      <c r="H152" s="3" t="s">
        <v>4</v>
      </c>
      <c r="I152" s="5">
        <v>1</v>
      </c>
      <c r="J152" s="8">
        <v>4</v>
      </c>
      <c r="K152" s="8" t="s">
        <v>100</v>
      </c>
      <c r="L152" s="8" t="s">
        <v>43</v>
      </c>
      <c r="M152" s="8" t="s">
        <v>19</v>
      </c>
      <c r="N152" s="8" t="s">
        <v>15</v>
      </c>
      <c r="O152" s="8" t="s">
        <v>18</v>
      </c>
      <c r="P152" s="8" t="s">
        <v>83</v>
      </c>
    </row>
    <row r="153" spans="1:21" x14ac:dyDescent="0.35">
      <c r="A153" s="14">
        <v>45819</v>
      </c>
      <c r="B153" s="3">
        <v>5</v>
      </c>
      <c r="C153" s="8" t="s">
        <v>1</v>
      </c>
      <c r="D153" s="8" t="s">
        <v>118</v>
      </c>
      <c r="E153" s="8" t="s">
        <v>10</v>
      </c>
      <c r="F153" s="8" t="s">
        <v>115</v>
      </c>
      <c r="G153" s="8" t="s">
        <v>3</v>
      </c>
      <c r="H153" s="8" t="s">
        <v>6</v>
      </c>
      <c r="I153" s="9">
        <v>5</v>
      </c>
      <c r="J153" s="10">
        <v>5</v>
      </c>
      <c r="K153" s="10" t="s">
        <v>65</v>
      </c>
      <c r="L153" s="10" t="s">
        <v>4</v>
      </c>
      <c r="M153" s="10" t="s">
        <v>81</v>
      </c>
      <c r="N153" s="10" t="s">
        <v>67</v>
      </c>
      <c r="O153" s="10" t="s">
        <v>5</v>
      </c>
      <c r="P153" s="10" t="s">
        <v>15</v>
      </c>
    </row>
    <row r="154" spans="1:21" x14ac:dyDescent="0.35">
      <c r="A154" s="14">
        <v>45819</v>
      </c>
      <c r="B154" s="3">
        <v>5</v>
      </c>
      <c r="C154" s="10" t="s">
        <v>65</v>
      </c>
      <c r="D154" s="10" t="s">
        <v>4</v>
      </c>
      <c r="E154" s="10" t="s">
        <v>81</v>
      </c>
      <c r="F154" s="10" t="s">
        <v>67</v>
      </c>
      <c r="G154" s="10" t="s">
        <v>5</v>
      </c>
      <c r="H154" s="10" t="s">
        <v>15</v>
      </c>
      <c r="I154" s="11">
        <v>8</v>
      </c>
      <c r="J154" s="2">
        <v>5</v>
      </c>
      <c r="K154" s="2" t="s">
        <v>18</v>
      </c>
      <c r="L154" s="2" t="s">
        <v>100</v>
      </c>
      <c r="M154" s="2" t="s">
        <v>9</v>
      </c>
      <c r="N154" s="2" t="s">
        <v>83</v>
      </c>
      <c r="O154" s="2" t="s">
        <v>24</v>
      </c>
      <c r="P154" s="3" t="s">
        <v>97</v>
      </c>
    </row>
    <row r="155" spans="1:21" x14ac:dyDescent="0.35">
      <c r="A155" s="14">
        <v>45819</v>
      </c>
      <c r="B155" s="5">
        <v>5</v>
      </c>
      <c r="C155" s="2" t="s">
        <v>18</v>
      </c>
      <c r="D155" s="2" t="s">
        <v>100</v>
      </c>
      <c r="E155" s="2" t="s">
        <v>9</v>
      </c>
      <c r="F155" s="2" t="s">
        <v>83</v>
      </c>
      <c r="G155" s="2" t="s">
        <v>24</v>
      </c>
      <c r="H155" s="3" t="s">
        <v>97</v>
      </c>
      <c r="I155" s="5">
        <v>5</v>
      </c>
      <c r="J155" s="8">
        <v>6</v>
      </c>
      <c r="K155" s="8" t="s">
        <v>1</v>
      </c>
      <c r="L155" s="8" t="s">
        <v>118</v>
      </c>
      <c r="M155" s="8" t="s">
        <v>10</v>
      </c>
      <c r="N155" s="8" t="s">
        <v>115</v>
      </c>
      <c r="O155" s="8" t="s">
        <v>3</v>
      </c>
      <c r="P155" s="8" t="s">
        <v>6</v>
      </c>
    </row>
    <row r="156" spans="1:21" x14ac:dyDescent="0.35">
      <c r="A156" s="14">
        <v>45826</v>
      </c>
      <c r="B156" s="3">
        <v>4</v>
      </c>
      <c r="C156" s="8" t="s">
        <v>1</v>
      </c>
      <c r="D156" s="8" t="s">
        <v>5</v>
      </c>
      <c r="E156" s="8" t="s">
        <v>21</v>
      </c>
      <c r="F156" s="8" t="s">
        <v>83</v>
      </c>
      <c r="G156" s="8" t="s">
        <v>4</v>
      </c>
      <c r="H156" s="8" t="s">
        <v>43</v>
      </c>
      <c r="I156" s="9">
        <v>6</v>
      </c>
      <c r="J156" s="10">
        <v>0</v>
      </c>
      <c r="K156" s="10" t="s">
        <v>9</v>
      </c>
      <c r="L156" s="10" t="s">
        <v>10</v>
      </c>
      <c r="M156" s="10" t="s">
        <v>6</v>
      </c>
      <c r="N156" s="10" t="s">
        <v>117</v>
      </c>
      <c r="O156" s="10" t="s">
        <v>19</v>
      </c>
      <c r="P156" s="10" t="s">
        <v>14</v>
      </c>
      <c r="Q156" s="2"/>
      <c r="R156" s="2"/>
      <c r="S156" s="2"/>
      <c r="T156" s="2"/>
      <c r="U156" s="2"/>
    </row>
    <row r="157" spans="1:21" x14ac:dyDescent="0.35">
      <c r="A157" s="14">
        <v>45826</v>
      </c>
      <c r="B157" s="3">
        <v>3</v>
      </c>
      <c r="C157" s="10" t="s">
        <v>9</v>
      </c>
      <c r="D157" s="10" t="s">
        <v>10</v>
      </c>
      <c r="E157" s="10" t="s">
        <v>6</v>
      </c>
      <c r="F157" s="10" t="s">
        <v>117</v>
      </c>
      <c r="G157" s="10" t="s">
        <v>19</v>
      </c>
      <c r="H157" s="10" t="s">
        <v>14</v>
      </c>
      <c r="I157" s="11">
        <v>1</v>
      </c>
      <c r="J157" s="2">
        <v>4</v>
      </c>
      <c r="K157" s="2" t="s">
        <v>47</v>
      </c>
      <c r="L157" s="2" t="s">
        <v>13</v>
      </c>
      <c r="M157" s="2" t="s">
        <v>12</v>
      </c>
      <c r="N157" s="2" t="s">
        <v>81</v>
      </c>
      <c r="O157" s="2" t="s">
        <v>15</v>
      </c>
      <c r="P157" s="3" t="s">
        <v>65</v>
      </c>
    </row>
    <row r="158" spans="1:21" x14ac:dyDescent="0.35">
      <c r="A158" s="14">
        <v>45826</v>
      </c>
      <c r="B158" s="5">
        <v>4</v>
      </c>
      <c r="C158" s="2" t="s">
        <v>47</v>
      </c>
      <c r="D158" s="2" t="s">
        <v>13</v>
      </c>
      <c r="E158" s="2" t="s">
        <v>12</v>
      </c>
      <c r="F158" s="2" t="s">
        <v>81</v>
      </c>
      <c r="G158" s="2" t="s">
        <v>15</v>
      </c>
      <c r="H158" s="3" t="s">
        <v>65</v>
      </c>
      <c r="I158" s="5">
        <v>4</v>
      </c>
      <c r="J158" s="8">
        <v>5</v>
      </c>
      <c r="K158" s="8" t="s">
        <v>1</v>
      </c>
      <c r="L158" s="8" t="s">
        <v>5</v>
      </c>
      <c r="M158" s="8" t="s">
        <v>21</v>
      </c>
      <c r="N158" s="8" t="s">
        <v>83</v>
      </c>
      <c r="O158" s="8" t="s">
        <v>4</v>
      </c>
      <c r="P158" s="8" t="s">
        <v>43</v>
      </c>
    </row>
    <row r="159" spans="1:21" x14ac:dyDescent="0.35">
      <c r="A159" s="14">
        <v>45833</v>
      </c>
      <c r="B159" s="3">
        <v>5</v>
      </c>
      <c r="C159" s="8" t="s">
        <v>6</v>
      </c>
      <c r="D159" s="8" t="s">
        <v>15</v>
      </c>
      <c r="E159" s="8" t="s">
        <v>13</v>
      </c>
      <c r="F159" s="8" t="s">
        <v>19</v>
      </c>
      <c r="G159" s="8" t="s">
        <v>18</v>
      </c>
      <c r="H159" s="8" t="s">
        <v>4</v>
      </c>
      <c r="I159" s="9">
        <v>7</v>
      </c>
      <c r="J159" s="10">
        <v>2</v>
      </c>
      <c r="K159" s="10" t="s">
        <v>1</v>
      </c>
      <c r="L159" s="10" t="s">
        <v>9</v>
      </c>
      <c r="M159" s="10" t="s">
        <v>83</v>
      </c>
      <c r="N159" s="10" t="s">
        <v>81</v>
      </c>
      <c r="O159" s="10" t="s">
        <v>43</v>
      </c>
      <c r="P159" s="10" t="s">
        <v>2</v>
      </c>
    </row>
    <row r="160" spans="1:21" x14ac:dyDescent="0.35">
      <c r="A160" s="14">
        <v>45833</v>
      </c>
      <c r="B160" s="3">
        <v>2</v>
      </c>
      <c r="C160" s="10" t="s">
        <v>1</v>
      </c>
      <c r="D160" s="10" t="s">
        <v>9</v>
      </c>
      <c r="E160" s="10" t="s">
        <v>83</v>
      </c>
      <c r="F160" s="10" t="s">
        <v>81</v>
      </c>
      <c r="G160" s="10" t="s">
        <v>43</v>
      </c>
      <c r="H160" s="10" t="s">
        <v>2</v>
      </c>
      <c r="I160" s="11">
        <v>0</v>
      </c>
      <c r="J160" s="2">
        <v>1</v>
      </c>
      <c r="K160" s="2" t="s">
        <v>54</v>
      </c>
      <c r="L160" s="2" t="s">
        <v>5</v>
      </c>
      <c r="M160" s="2" t="s">
        <v>100</v>
      </c>
      <c r="N160" s="2" t="s">
        <v>14</v>
      </c>
      <c r="O160" s="2" t="s">
        <v>24</v>
      </c>
      <c r="P160" s="3" t="s">
        <v>10</v>
      </c>
    </row>
    <row r="161" spans="1:16" x14ac:dyDescent="0.35">
      <c r="A161" s="14">
        <v>45833</v>
      </c>
      <c r="B161" s="5">
        <v>5</v>
      </c>
      <c r="C161" s="2" t="s">
        <v>54</v>
      </c>
      <c r="D161" s="2" t="s">
        <v>5</v>
      </c>
      <c r="E161" s="2" t="s">
        <v>100</v>
      </c>
      <c r="F161" s="2" t="s">
        <v>14</v>
      </c>
      <c r="G161" s="2" t="s">
        <v>24</v>
      </c>
      <c r="H161" s="3" t="s">
        <v>10</v>
      </c>
      <c r="I161" s="5">
        <v>2</v>
      </c>
      <c r="J161" s="8">
        <v>10</v>
      </c>
      <c r="K161" s="8" t="s">
        <v>6</v>
      </c>
      <c r="L161" s="8" t="s">
        <v>15</v>
      </c>
      <c r="M161" s="8" t="s">
        <v>13</v>
      </c>
      <c r="N161" s="8" t="s">
        <v>19</v>
      </c>
      <c r="O161" s="8" t="s">
        <v>18</v>
      </c>
      <c r="P161" s="8" t="s">
        <v>4</v>
      </c>
    </row>
    <row r="162" spans="1:16" x14ac:dyDescent="0.35">
      <c r="A162" s="14">
        <v>45840</v>
      </c>
      <c r="B162" s="3">
        <v>2</v>
      </c>
      <c r="C162" s="8" t="s">
        <v>6</v>
      </c>
      <c r="D162" s="8" t="s">
        <v>10</v>
      </c>
      <c r="E162" s="8" t="s">
        <v>19</v>
      </c>
      <c r="F162" s="8" t="s">
        <v>81</v>
      </c>
      <c r="G162" s="8" t="s">
        <v>14</v>
      </c>
      <c r="H162" s="8" t="s">
        <v>13</v>
      </c>
      <c r="I162" s="9">
        <v>4</v>
      </c>
      <c r="J162" s="10">
        <v>1</v>
      </c>
      <c r="K162" s="10" t="s">
        <v>13</v>
      </c>
      <c r="L162" s="10" t="s">
        <v>5</v>
      </c>
      <c r="M162" s="10" t="s">
        <v>97</v>
      </c>
      <c r="N162" s="10" t="s">
        <v>62</v>
      </c>
      <c r="O162" s="10" t="s">
        <v>118</v>
      </c>
      <c r="P162" s="10"/>
    </row>
    <row r="163" spans="1:16" x14ac:dyDescent="0.35">
      <c r="A163" s="14">
        <v>45840</v>
      </c>
      <c r="B163" s="3">
        <v>3</v>
      </c>
      <c r="C163" s="10" t="s">
        <v>13</v>
      </c>
      <c r="D163" s="10" t="s">
        <v>5</v>
      </c>
      <c r="E163" s="10" t="s">
        <v>97</v>
      </c>
      <c r="F163" s="10" t="s">
        <v>62</v>
      </c>
      <c r="G163" s="10" t="s">
        <v>118</v>
      </c>
      <c r="H163" s="10"/>
      <c r="I163" s="11">
        <v>1</v>
      </c>
      <c r="J163" s="2">
        <v>2</v>
      </c>
      <c r="K163" s="2" t="s">
        <v>1</v>
      </c>
      <c r="L163" s="2" t="s">
        <v>9</v>
      </c>
      <c r="M163" s="2" t="s">
        <v>15</v>
      </c>
      <c r="N163" s="2" t="s">
        <v>14</v>
      </c>
      <c r="O163" s="2" t="s">
        <v>83</v>
      </c>
      <c r="P163" s="3"/>
    </row>
    <row r="164" spans="1:16" x14ac:dyDescent="0.35">
      <c r="A164" s="14">
        <v>45840</v>
      </c>
      <c r="B164" s="5">
        <v>5</v>
      </c>
      <c r="C164" s="2" t="s">
        <v>1</v>
      </c>
      <c r="D164" s="2" t="s">
        <v>9</v>
      </c>
      <c r="E164" s="2" t="s">
        <v>15</v>
      </c>
      <c r="F164" s="2" t="s">
        <v>14</v>
      </c>
      <c r="G164" s="2" t="s">
        <v>83</v>
      </c>
      <c r="H164" s="3"/>
      <c r="I164" s="5">
        <v>3</v>
      </c>
      <c r="J164" s="8">
        <v>6</v>
      </c>
      <c r="K164" s="8" t="s">
        <v>6</v>
      </c>
      <c r="L164" s="8" t="s">
        <v>10</v>
      </c>
      <c r="M164" s="8" t="s">
        <v>19</v>
      </c>
      <c r="N164" s="8" t="s">
        <v>81</v>
      </c>
      <c r="O164" s="8" t="s">
        <v>14</v>
      </c>
      <c r="P164" s="8" t="s">
        <v>13</v>
      </c>
    </row>
    <row r="165" spans="1:16" x14ac:dyDescent="0.35">
      <c r="A165" s="14">
        <v>45847</v>
      </c>
      <c r="B165" s="3">
        <v>3</v>
      </c>
      <c r="C165" s="8" t="s">
        <v>24</v>
      </c>
      <c r="D165" s="8" t="s">
        <v>54</v>
      </c>
      <c r="E165" s="8" t="s">
        <v>18</v>
      </c>
      <c r="F165" s="8" t="s">
        <v>83</v>
      </c>
      <c r="G165" s="8" t="s">
        <v>19</v>
      </c>
      <c r="H165" s="8" t="s">
        <v>100</v>
      </c>
      <c r="I165" s="9">
        <v>0</v>
      </c>
      <c r="J165" s="10">
        <v>4</v>
      </c>
      <c r="K165" s="10" t="s">
        <v>9</v>
      </c>
      <c r="L165" s="10" t="s">
        <v>43</v>
      </c>
      <c r="M165" s="10" t="s">
        <v>118</v>
      </c>
      <c r="N165" s="10" t="s">
        <v>16</v>
      </c>
      <c r="O165" s="10" t="s">
        <v>15</v>
      </c>
      <c r="P165" s="10" t="s">
        <v>6</v>
      </c>
    </row>
    <row r="166" spans="1:16" x14ac:dyDescent="0.35">
      <c r="A166" s="14">
        <v>45847</v>
      </c>
      <c r="B166" s="3">
        <v>7</v>
      </c>
      <c r="C166" s="10" t="s">
        <v>9</v>
      </c>
      <c r="D166" s="10" t="s">
        <v>43</v>
      </c>
      <c r="E166" s="10" t="s">
        <v>118</v>
      </c>
      <c r="F166" s="10" t="s">
        <v>16</v>
      </c>
      <c r="G166" s="10" t="s">
        <v>15</v>
      </c>
      <c r="H166" s="10" t="s">
        <v>6</v>
      </c>
      <c r="I166" s="11">
        <v>8</v>
      </c>
      <c r="J166" s="2">
        <v>8</v>
      </c>
      <c r="K166" s="2" t="s">
        <v>5</v>
      </c>
      <c r="L166" s="2" t="s">
        <v>10</v>
      </c>
      <c r="M166" s="2" t="s">
        <v>13</v>
      </c>
      <c r="N166" s="2" t="s">
        <v>81</v>
      </c>
      <c r="O166" s="2" t="s">
        <v>14</v>
      </c>
      <c r="P166" s="3" t="s">
        <v>11</v>
      </c>
    </row>
    <row r="167" spans="1:16" x14ac:dyDescent="0.35">
      <c r="A167" s="14">
        <v>45847</v>
      </c>
      <c r="B167" s="5">
        <v>4</v>
      </c>
      <c r="C167" s="2" t="s">
        <v>5</v>
      </c>
      <c r="D167" s="2" t="s">
        <v>10</v>
      </c>
      <c r="E167" s="2" t="s">
        <v>13</v>
      </c>
      <c r="F167" s="2" t="s">
        <v>81</v>
      </c>
      <c r="G167" s="2" t="s">
        <v>14</v>
      </c>
      <c r="H167" s="3" t="s">
        <v>11</v>
      </c>
      <c r="I167" s="5">
        <v>7</v>
      </c>
      <c r="J167" s="8">
        <v>1</v>
      </c>
      <c r="K167" s="8" t="s">
        <v>24</v>
      </c>
      <c r="L167" s="8" t="s">
        <v>54</v>
      </c>
      <c r="M167" s="8" t="s">
        <v>18</v>
      </c>
      <c r="N167" s="8" t="s">
        <v>83</v>
      </c>
      <c r="O167" s="8" t="s">
        <v>19</v>
      </c>
      <c r="P167" s="8" t="s">
        <v>100</v>
      </c>
    </row>
    <row r="168" spans="1:16" x14ac:dyDescent="0.35">
      <c r="A168" s="14">
        <v>45854</v>
      </c>
      <c r="B168" s="3">
        <v>5</v>
      </c>
      <c r="C168" s="8" t="s">
        <v>9</v>
      </c>
      <c r="D168" s="8" t="s">
        <v>119</v>
      </c>
      <c r="E168" s="8" t="s">
        <v>18</v>
      </c>
      <c r="F168" s="8" t="s">
        <v>83</v>
      </c>
      <c r="G168" s="8" t="s">
        <v>16</v>
      </c>
      <c r="H168" s="8" t="s">
        <v>54</v>
      </c>
      <c r="I168" s="9">
        <v>5</v>
      </c>
      <c r="J168" s="10">
        <v>4</v>
      </c>
      <c r="K168" s="10" t="s">
        <v>13</v>
      </c>
      <c r="L168" s="10" t="s">
        <v>5</v>
      </c>
      <c r="M168" s="10" t="s">
        <v>118</v>
      </c>
      <c r="N168" s="10" t="s">
        <v>43</v>
      </c>
      <c r="O168" s="10" t="s">
        <v>112</v>
      </c>
      <c r="P168" s="10" t="s">
        <v>15</v>
      </c>
    </row>
    <row r="169" spans="1:16" x14ac:dyDescent="0.35">
      <c r="A169" s="14">
        <v>45854</v>
      </c>
      <c r="B169" s="3">
        <v>4</v>
      </c>
      <c r="C169" s="10" t="s">
        <v>13</v>
      </c>
      <c r="D169" s="10" t="s">
        <v>5</v>
      </c>
      <c r="E169" s="10" t="s">
        <v>118</v>
      </c>
      <c r="F169" s="10" t="s">
        <v>43</v>
      </c>
      <c r="G169" s="10" t="s">
        <v>112</v>
      </c>
      <c r="H169" s="10" t="s">
        <v>15</v>
      </c>
      <c r="I169" s="11">
        <v>2</v>
      </c>
      <c r="J169" s="2">
        <v>2</v>
      </c>
      <c r="K169" s="2" t="s">
        <v>1</v>
      </c>
      <c r="L169" s="2" t="s">
        <v>100</v>
      </c>
      <c r="M169" s="2" t="s">
        <v>19</v>
      </c>
      <c r="N169" s="2" t="s">
        <v>6</v>
      </c>
      <c r="O169" s="2" t="s">
        <v>45</v>
      </c>
      <c r="P169" s="3" t="s">
        <v>81</v>
      </c>
    </row>
    <row r="170" spans="1:16" x14ac:dyDescent="0.35">
      <c r="A170" s="14">
        <v>45854</v>
      </c>
      <c r="B170" s="5">
        <v>4</v>
      </c>
      <c r="C170" s="2" t="s">
        <v>1</v>
      </c>
      <c r="D170" s="2" t="s">
        <v>100</v>
      </c>
      <c r="E170" s="2" t="s">
        <v>19</v>
      </c>
      <c r="F170" s="2" t="s">
        <v>6</v>
      </c>
      <c r="G170" s="2" t="s">
        <v>45</v>
      </c>
      <c r="H170" s="3" t="s">
        <v>81</v>
      </c>
      <c r="I170" s="5">
        <v>0</v>
      </c>
      <c r="J170" s="8">
        <v>6</v>
      </c>
      <c r="K170" s="8" t="s">
        <v>9</v>
      </c>
      <c r="L170" s="8" t="s">
        <v>119</v>
      </c>
      <c r="M170" s="8" t="s">
        <v>18</v>
      </c>
      <c r="N170" s="8" t="s">
        <v>83</v>
      </c>
      <c r="O170" s="8" t="s">
        <v>16</v>
      </c>
      <c r="P170" s="8" t="s">
        <v>54</v>
      </c>
    </row>
    <row r="171" spans="1:16" x14ac:dyDescent="0.35">
      <c r="A171" s="14">
        <v>45861</v>
      </c>
      <c r="B171" s="3">
        <v>5</v>
      </c>
      <c r="C171" s="8" t="s">
        <v>19</v>
      </c>
      <c r="D171" s="8" t="s">
        <v>13</v>
      </c>
      <c r="E171" s="8" t="s">
        <v>81</v>
      </c>
      <c r="F171" s="8" t="s">
        <v>15</v>
      </c>
      <c r="G171" s="8" t="s">
        <v>100</v>
      </c>
      <c r="H171" s="8" t="s">
        <v>170</v>
      </c>
      <c r="I171" s="9">
        <v>4</v>
      </c>
      <c r="J171" s="10">
        <v>4</v>
      </c>
      <c r="K171" s="10" t="s">
        <v>1</v>
      </c>
      <c r="L171" s="10" t="s">
        <v>83</v>
      </c>
      <c r="M171" s="10" t="s">
        <v>18</v>
      </c>
      <c r="N171" s="10" t="s">
        <v>118</v>
      </c>
      <c r="O171" s="10" t="s">
        <v>45</v>
      </c>
      <c r="P171" s="10" t="s">
        <v>6</v>
      </c>
    </row>
    <row r="172" spans="1:16" x14ac:dyDescent="0.35">
      <c r="A172" s="14">
        <v>45861</v>
      </c>
      <c r="B172" s="3">
        <v>3</v>
      </c>
      <c r="C172" s="10" t="s">
        <v>1</v>
      </c>
      <c r="D172" s="10" t="s">
        <v>83</v>
      </c>
      <c r="E172" s="10" t="s">
        <v>18</v>
      </c>
      <c r="F172" s="10" t="s">
        <v>118</v>
      </c>
      <c r="G172" s="10" t="s">
        <v>45</v>
      </c>
      <c r="H172" s="10" t="s">
        <v>6</v>
      </c>
      <c r="I172" s="11">
        <v>4</v>
      </c>
      <c r="J172" s="2">
        <v>2</v>
      </c>
      <c r="K172" s="2" t="s">
        <v>9</v>
      </c>
      <c r="L172" s="2" t="s">
        <v>5</v>
      </c>
      <c r="M172" s="2" t="s">
        <v>11</v>
      </c>
      <c r="N172" s="2" t="s">
        <v>120</v>
      </c>
      <c r="O172" s="2" t="s">
        <v>43</v>
      </c>
      <c r="P172" s="3" t="s">
        <v>2</v>
      </c>
    </row>
    <row r="173" spans="1:16" x14ac:dyDescent="0.35">
      <c r="A173" s="14">
        <v>45861</v>
      </c>
      <c r="B173" s="5">
        <v>4</v>
      </c>
      <c r="C173" s="2" t="s">
        <v>9</v>
      </c>
      <c r="D173" s="2" t="s">
        <v>5</v>
      </c>
      <c r="E173" s="2" t="s">
        <v>11</v>
      </c>
      <c r="F173" s="2" t="s">
        <v>120</v>
      </c>
      <c r="G173" s="2" t="s">
        <v>43</v>
      </c>
      <c r="H173" s="3" t="s">
        <v>2</v>
      </c>
      <c r="I173" s="5">
        <v>2</v>
      </c>
      <c r="J173" s="8">
        <v>5</v>
      </c>
      <c r="K173" s="8" t="s">
        <v>19</v>
      </c>
      <c r="L173" s="8" t="s">
        <v>13</v>
      </c>
      <c r="M173" s="8" t="s">
        <v>81</v>
      </c>
      <c r="N173" s="8" t="s">
        <v>15</v>
      </c>
      <c r="O173" s="8" t="s">
        <v>100</v>
      </c>
      <c r="P173" s="8" t="s">
        <v>170</v>
      </c>
    </row>
    <row r="174" spans="1:16" x14ac:dyDescent="0.35">
      <c r="A174" s="14">
        <v>45868</v>
      </c>
      <c r="B174" s="3">
        <v>4</v>
      </c>
      <c r="C174" s="8" t="s">
        <v>9</v>
      </c>
      <c r="D174" s="8" t="s">
        <v>13</v>
      </c>
      <c r="E174" s="8" t="s">
        <v>45</v>
      </c>
      <c r="F174" s="8" t="s">
        <v>170</v>
      </c>
      <c r="G174" s="8" t="s">
        <v>54</v>
      </c>
      <c r="H174" s="8" t="s">
        <v>118</v>
      </c>
      <c r="I174" s="9">
        <v>2</v>
      </c>
      <c r="J174" s="10">
        <v>3</v>
      </c>
      <c r="K174" s="10" t="s">
        <v>81</v>
      </c>
      <c r="L174" s="10" t="s">
        <v>43</v>
      </c>
      <c r="M174" s="10" t="s">
        <v>14</v>
      </c>
      <c r="N174" s="10" t="s">
        <v>6</v>
      </c>
      <c r="O174" s="10" t="s">
        <v>120</v>
      </c>
      <c r="P174" s="10" t="s">
        <v>19</v>
      </c>
    </row>
    <row r="175" spans="1:16" x14ac:dyDescent="0.35">
      <c r="A175" s="14">
        <v>45868</v>
      </c>
      <c r="B175" s="3">
        <v>5</v>
      </c>
      <c r="C175" s="10" t="s">
        <v>81</v>
      </c>
      <c r="D175" s="10" t="s">
        <v>43</v>
      </c>
      <c r="E175" s="10" t="s">
        <v>14</v>
      </c>
      <c r="F175" s="10" t="s">
        <v>6</v>
      </c>
      <c r="G175" s="10" t="s">
        <v>120</v>
      </c>
      <c r="H175" s="10" t="s">
        <v>19</v>
      </c>
      <c r="I175" s="11">
        <v>6</v>
      </c>
      <c r="J175" s="2">
        <v>2</v>
      </c>
      <c r="K175" s="2" t="s">
        <v>1</v>
      </c>
      <c r="L175" s="2" t="s">
        <v>18</v>
      </c>
      <c r="M175" s="2" t="s">
        <v>15</v>
      </c>
      <c r="N175" s="2" t="s">
        <v>4</v>
      </c>
      <c r="O175" s="2" t="s">
        <v>11</v>
      </c>
      <c r="P175" s="3" t="s">
        <v>2</v>
      </c>
    </row>
    <row r="176" spans="1:16" x14ac:dyDescent="0.35">
      <c r="A176" s="14">
        <v>45868</v>
      </c>
      <c r="B176" s="5">
        <v>3</v>
      </c>
      <c r="C176" s="2" t="s">
        <v>1</v>
      </c>
      <c r="D176" s="2" t="s">
        <v>18</v>
      </c>
      <c r="E176" s="2" t="s">
        <v>15</v>
      </c>
      <c r="F176" s="2" t="s">
        <v>4</v>
      </c>
      <c r="G176" s="2" t="s">
        <v>11</v>
      </c>
      <c r="H176" s="3" t="s">
        <v>2</v>
      </c>
      <c r="I176" s="5">
        <v>5</v>
      </c>
      <c r="J176" s="8">
        <v>2</v>
      </c>
      <c r="K176" s="8" t="s">
        <v>9</v>
      </c>
      <c r="L176" s="8" t="s">
        <v>13</v>
      </c>
      <c r="M176" s="8" t="s">
        <v>45</v>
      </c>
      <c r="N176" s="8" t="s">
        <v>170</v>
      </c>
      <c r="O176" s="8" t="s">
        <v>54</v>
      </c>
      <c r="P176" s="8" t="s">
        <v>118</v>
      </c>
    </row>
    <row r="177" spans="1:16" x14ac:dyDescent="0.35">
      <c r="A177" s="14">
        <v>45875</v>
      </c>
      <c r="B177" s="3">
        <v>6</v>
      </c>
      <c r="C177" s="8" t="s">
        <v>13</v>
      </c>
      <c r="D177" s="8" t="s">
        <v>15</v>
      </c>
      <c r="E177" s="8" t="s">
        <v>2</v>
      </c>
      <c r="F177" s="8" t="s">
        <v>19</v>
      </c>
      <c r="G177" s="8" t="s">
        <v>62</v>
      </c>
      <c r="H177" s="8"/>
      <c r="I177" s="9">
        <v>6</v>
      </c>
      <c r="J177" s="10">
        <v>9</v>
      </c>
      <c r="K177" s="10" t="s">
        <v>1</v>
      </c>
      <c r="L177" s="10" t="s">
        <v>43</v>
      </c>
      <c r="M177" s="10" t="s">
        <v>4</v>
      </c>
      <c r="N177" s="10" t="s">
        <v>6</v>
      </c>
      <c r="O177" s="10" t="s">
        <v>10</v>
      </c>
      <c r="P177" s="10"/>
    </row>
    <row r="178" spans="1:16" x14ac:dyDescent="0.35">
      <c r="A178" s="14">
        <v>45875</v>
      </c>
      <c r="B178" s="3">
        <v>5</v>
      </c>
      <c r="C178" s="10" t="s">
        <v>1</v>
      </c>
      <c r="D178" s="10" t="s">
        <v>43</v>
      </c>
      <c r="E178" s="10" t="s">
        <v>4</v>
      </c>
      <c r="F178" s="10" t="s">
        <v>6</v>
      </c>
      <c r="G178" s="10" t="s">
        <v>10</v>
      </c>
      <c r="H178" s="10"/>
      <c r="I178" s="11">
        <v>4</v>
      </c>
      <c r="J178" s="2">
        <v>3</v>
      </c>
      <c r="K178" s="2" t="s">
        <v>18</v>
      </c>
      <c r="L178" s="2" t="s">
        <v>45</v>
      </c>
      <c r="M178" s="2" t="s">
        <v>81</v>
      </c>
      <c r="N178" s="2" t="s">
        <v>170</v>
      </c>
      <c r="O178" s="2" t="s">
        <v>83</v>
      </c>
      <c r="P178" s="3"/>
    </row>
    <row r="179" spans="1:16" x14ac:dyDescent="0.35">
      <c r="A179" s="14">
        <v>45875</v>
      </c>
      <c r="B179" s="5">
        <v>3</v>
      </c>
      <c r="C179" s="2" t="s">
        <v>18</v>
      </c>
      <c r="D179" s="2" t="s">
        <v>45</v>
      </c>
      <c r="E179" s="2" t="s">
        <v>81</v>
      </c>
      <c r="F179" s="2" t="s">
        <v>170</v>
      </c>
      <c r="G179" s="2" t="s">
        <v>83</v>
      </c>
      <c r="H179" s="3"/>
      <c r="I179" s="5">
        <v>1</v>
      </c>
      <c r="J179" s="8">
        <v>2</v>
      </c>
      <c r="K179" s="8" t="s">
        <v>13</v>
      </c>
      <c r="L179" s="8" t="s">
        <v>15</v>
      </c>
      <c r="M179" s="8" t="s">
        <v>2</v>
      </c>
      <c r="N179" s="8" t="s">
        <v>19</v>
      </c>
      <c r="O179" s="8" t="s">
        <v>62</v>
      </c>
      <c r="P179" s="8"/>
    </row>
    <row r="180" spans="1:16" x14ac:dyDescent="0.35">
      <c r="A180" s="14">
        <v>45882</v>
      </c>
      <c r="B180" s="3">
        <v>6</v>
      </c>
      <c r="C180" s="27" t="s">
        <v>6</v>
      </c>
      <c r="D180" s="27" t="s">
        <v>42</v>
      </c>
      <c r="E180" s="27" t="s">
        <v>14</v>
      </c>
      <c r="F180" s="27" t="s">
        <v>115</v>
      </c>
      <c r="G180" s="27" t="s">
        <v>10</v>
      </c>
      <c r="H180" s="27"/>
      <c r="I180" s="28">
        <v>6</v>
      </c>
      <c r="J180" s="10">
        <v>6</v>
      </c>
      <c r="K180" s="10" t="s">
        <v>67</v>
      </c>
      <c r="L180" s="10" t="s">
        <v>15</v>
      </c>
      <c r="M180" s="10" t="s">
        <v>2</v>
      </c>
      <c r="N180" s="10" t="s">
        <v>62</v>
      </c>
      <c r="O180" s="10" t="s">
        <v>54</v>
      </c>
      <c r="P180" s="10"/>
    </row>
    <row r="181" spans="1:16" x14ac:dyDescent="0.35">
      <c r="A181" s="14">
        <v>45882</v>
      </c>
      <c r="B181" s="3">
        <v>3</v>
      </c>
      <c r="C181" s="10" t="s">
        <v>67</v>
      </c>
      <c r="D181" s="10" t="s">
        <v>15</v>
      </c>
      <c r="E181" s="10" t="s">
        <v>2</v>
      </c>
      <c r="F181" s="10" t="s">
        <v>62</v>
      </c>
      <c r="G181" s="10" t="s">
        <v>54</v>
      </c>
      <c r="H181" s="10"/>
      <c r="I181" s="11">
        <v>4</v>
      </c>
      <c r="J181" s="2">
        <v>4</v>
      </c>
      <c r="K181" s="2" t="s">
        <v>1</v>
      </c>
      <c r="L181" s="2" t="s">
        <v>4</v>
      </c>
      <c r="M181" s="2" t="s">
        <v>19</v>
      </c>
      <c r="N181" s="2" t="s">
        <v>43</v>
      </c>
      <c r="O181" s="2" t="s">
        <v>45</v>
      </c>
      <c r="P181" s="3"/>
    </row>
    <row r="182" spans="1:16" x14ac:dyDescent="0.35">
      <c r="A182" s="14">
        <v>45882</v>
      </c>
      <c r="B182" s="5">
        <v>4</v>
      </c>
      <c r="C182" s="2" t="s">
        <v>1</v>
      </c>
      <c r="D182" s="2" t="s">
        <v>4</v>
      </c>
      <c r="E182" s="2" t="s">
        <v>19</v>
      </c>
      <c r="F182" s="2" t="s">
        <v>43</v>
      </c>
      <c r="G182" s="2" t="s">
        <v>45</v>
      </c>
      <c r="H182" s="3"/>
      <c r="I182" s="5">
        <v>2</v>
      </c>
      <c r="J182" s="27">
        <v>6</v>
      </c>
      <c r="K182" s="27" t="s">
        <v>6</v>
      </c>
      <c r="L182" s="27" t="s">
        <v>42</v>
      </c>
      <c r="M182" s="27" t="s">
        <v>14</v>
      </c>
      <c r="N182" s="27" t="s">
        <v>115</v>
      </c>
      <c r="O182" s="27" t="s">
        <v>10</v>
      </c>
      <c r="P182" s="28"/>
    </row>
    <row r="183" spans="1:16" x14ac:dyDescent="0.35">
      <c r="A183" s="14">
        <v>45889</v>
      </c>
      <c r="B183" s="3">
        <v>6</v>
      </c>
      <c r="C183" s="8" t="s">
        <v>1</v>
      </c>
      <c r="D183" s="8" t="s">
        <v>15</v>
      </c>
      <c r="E183" s="8" t="s">
        <v>21</v>
      </c>
      <c r="F183" s="8" t="s">
        <v>10</v>
      </c>
      <c r="G183" s="8" t="s">
        <v>24</v>
      </c>
      <c r="H183" s="8" t="s">
        <v>43</v>
      </c>
      <c r="I183" s="9">
        <v>7</v>
      </c>
      <c r="J183" s="10">
        <v>6</v>
      </c>
      <c r="K183" s="10" t="s">
        <v>14</v>
      </c>
      <c r="L183" s="10" t="s">
        <v>6</v>
      </c>
      <c r="M183" s="10" t="s">
        <v>67</v>
      </c>
      <c r="N183" s="10" t="s">
        <v>11</v>
      </c>
      <c r="O183" s="10" t="s">
        <v>9</v>
      </c>
      <c r="P183" s="10" t="s">
        <v>18</v>
      </c>
    </row>
    <row r="184" spans="1:16" x14ac:dyDescent="0.35">
      <c r="A184" s="14">
        <v>45889</v>
      </c>
      <c r="B184" s="3">
        <v>4</v>
      </c>
      <c r="C184" s="10" t="s">
        <v>14</v>
      </c>
      <c r="D184" s="10" t="s">
        <v>6</v>
      </c>
      <c r="E184" s="10" t="s">
        <v>67</v>
      </c>
      <c r="F184" s="10" t="s">
        <v>11</v>
      </c>
      <c r="G184" s="10" t="s">
        <v>9</v>
      </c>
      <c r="H184" s="10" t="s">
        <v>18</v>
      </c>
      <c r="I184" s="11">
        <v>4</v>
      </c>
      <c r="J184" s="2">
        <v>5</v>
      </c>
      <c r="K184" s="2" t="s">
        <v>4</v>
      </c>
      <c r="L184" s="2" t="s">
        <v>45</v>
      </c>
      <c r="M184" s="2" t="s">
        <v>2</v>
      </c>
      <c r="N184" s="2" t="s">
        <v>13</v>
      </c>
      <c r="O184" s="2" t="s">
        <v>118</v>
      </c>
      <c r="P184" s="3" t="s">
        <v>5</v>
      </c>
    </row>
    <row r="185" spans="1:16" x14ac:dyDescent="0.35">
      <c r="A185" s="14">
        <v>45889</v>
      </c>
      <c r="B185" s="5">
        <v>6</v>
      </c>
      <c r="C185" s="2" t="s">
        <v>4</v>
      </c>
      <c r="D185" s="2" t="s">
        <v>45</v>
      </c>
      <c r="E185" s="2" t="s">
        <v>2</v>
      </c>
      <c r="F185" s="2" t="s">
        <v>13</v>
      </c>
      <c r="G185" s="2" t="s">
        <v>118</v>
      </c>
      <c r="H185" s="3" t="s">
        <v>5</v>
      </c>
      <c r="I185" s="5">
        <v>5</v>
      </c>
      <c r="J185" s="8">
        <v>8</v>
      </c>
      <c r="K185" s="8" t="s">
        <v>1</v>
      </c>
      <c r="L185" s="8" t="s">
        <v>15</v>
      </c>
      <c r="M185" s="8" t="s">
        <v>21</v>
      </c>
      <c r="N185" s="8" t="s">
        <v>10</v>
      </c>
      <c r="O185" s="8" t="s">
        <v>24</v>
      </c>
      <c r="P185" s="8" t="s">
        <v>43</v>
      </c>
    </row>
    <row r="186" spans="1:16" x14ac:dyDescent="0.35">
      <c r="A186" s="14">
        <v>45896</v>
      </c>
      <c r="B186" s="3">
        <v>5</v>
      </c>
      <c r="C186" s="8" t="s">
        <v>1</v>
      </c>
      <c r="D186" s="8" t="s">
        <v>15</v>
      </c>
      <c r="E186" s="8" t="s">
        <v>13</v>
      </c>
      <c r="F186" s="8" t="s">
        <v>118</v>
      </c>
      <c r="G186" s="8" t="s">
        <v>62</v>
      </c>
      <c r="H186" s="8" t="s">
        <v>83</v>
      </c>
      <c r="I186" s="9">
        <v>2</v>
      </c>
      <c r="J186" s="10">
        <v>3</v>
      </c>
      <c r="K186" s="10" t="s">
        <v>18</v>
      </c>
      <c r="L186" s="10" t="s">
        <v>14</v>
      </c>
      <c r="M186" s="10" t="s">
        <v>6</v>
      </c>
      <c r="N186" s="10" t="s">
        <v>5</v>
      </c>
      <c r="O186" s="10" t="s">
        <v>45</v>
      </c>
      <c r="P186" s="10" t="s">
        <v>43</v>
      </c>
    </row>
    <row r="187" spans="1:16" x14ac:dyDescent="0.35">
      <c r="A187" s="14">
        <v>45896</v>
      </c>
      <c r="B187" s="3">
        <v>4</v>
      </c>
      <c r="C187" s="10" t="s">
        <v>18</v>
      </c>
      <c r="D187" s="10" t="s">
        <v>14</v>
      </c>
      <c r="E187" s="10" t="s">
        <v>6</v>
      </c>
      <c r="F187" s="10" t="s">
        <v>5</v>
      </c>
      <c r="G187" s="10" t="s">
        <v>45</v>
      </c>
      <c r="H187" s="10" t="s">
        <v>43</v>
      </c>
      <c r="I187" s="11">
        <v>6</v>
      </c>
      <c r="J187" s="2">
        <v>3</v>
      </c>
      <c r="K187" s="2" t="s">
        <v>10</v>
      </c>
      <c r="L187" s="2" t="s">
        <v>9</v>
      </c>
      <c r="M187" s="2" t="s">
        <v>24</v>
      </c>
      <c r="N187" s="2" t="s">
        <v>81</v>
      </c>
      <c r="O187" s="2" t="s">
        <v>4</v>
      </c>
      <c r="P187" s="3" t="s">
        <v>2</v>
      </c>
    </row>
    <row r="188" spans="1:16" x14ac:dyDescent="0.35">
      <c r="A188" s="14">
        <v>45896</v>
      </c>
      <c r="B188" s="5">
        <v>3</v>
      </c>
      <c r="C188" s="2" t="s">
        <v>10</v>
      </c>
      <c r="D188" s="2" t="s">
        <v>9</v>
      </c>
      <c r="E188" s="2" t="s">
        <v>24</v>
      </c>
      <c r="F188" s="2" t="s">
        <v>81</v>
      </c>
      <c r="G188" s="2" t="s">
        <v>4</v>
      </c>
      <c r="H188" s="3" t="s">
        <v>2</v>
      </c>
      <c r="I188" s="5">
        <v>2</v>
      </c>
      <c r="J188" s="8">
        <v>4</v>
      </c>
      <c r="K188" s="8" t="s">
        <v>1</v>
      </c>
      <c r="L188" s="8" t="s">
        <v>15</v>
      </c>
      <c r="M188" s="8" t="s">
        <v>13</v>
      </c>
      <c r="N188" s="8" t="s">
        <v>118</v>
      </c>
      <c r="O188" s="8" t="s">
        <v>62</v>
      </c>
      <c r="P188" s="8" t="s">
        <v>83</v>
      </c>
    </row>
    <row r="189" spans="1:16" x14ac:dyDescent="0.35">
      <c r="A189" s="14">
        <v>45903</v>
      </c>
      <c r="B189" s="3">
        <v>4</v>
      </c>
      <c r="C189" s="8" t="s">
        <v>18</v>
      </c>
      <c r="D189" s="8" t="s">
        <v>10</v>
      </c>
      <c r="E189" s="8" t="s">
        <v>14</v>
      </c>
      <c r="F189" s="8" t="s">
        <v>2</v>
      </c>
      <c r="G189" s="8" t="s">
        <v>15</v>
      </c>
      <c r="H189" s="8" t="s">
        <v>4</v>
      </c>
      <c r="I189" s="9">
        <v>3</v>
      </c>
      <c r="J189" s="10">
        <v>3</v>
      </c>
      <c r="K189" s="10" t="s">
        <v>1</v>
      </c>
      <c r="L189" s="10" t="s">
        <v>13</v>
      </c>
      <c r="M189" s="10" t="s">
        <v>170</v>
      </c>
      <c r="N189" s="10" t="s">
        <v>118</v>
      </c>
      <c r="O189" s="10" t="s">
        <v>54</v>
      </c>
      <c r="P189" s="10" t="s">
        <v>6</v>
      </c>
    </row>
    <row r="190" spans="1:16" x14ac:dyDescent="0.35">
      <c r="A190" s="14">
        <v>45903</v>
      </c>
      <c r="B190" s="3">
        <v>3</v>
      </c>
      <c r="C190" s="10" t="s">
        <v>1</v>
      </c>
      <c r="D190" s="10" t="s">
        <v>13</v>
      </c>
      <c r="E190" s="10" t="s">
        <v>170</v>
      </c>
      <c r="F190" s="10" t="s">
        <v>118</v>
      </c>
      <c r="G190" s="10" t="s">
        <v>54</v>
      </c>
      <c r="H190" s="10" t="s">
        <v>6</v>
      </c>
      <c r="I190" s="11">
        <v>3</v>
      </c>
      <c r="J190" s="2">
        <v>0</v>
      </c>
      <c r="K190" s="2" t="s">
        <v>19</v>
      </c>
      <c r="L190" s="2" t="s">
        <v>9</v>
      </c>
      <c r="M190" s="2" t="s">
        <v>11</v>
      </c>
      <c r="N190" s="2" t="s">
        <v>81</v>
      </c>
      <c r="O190" s="2" t="s">
        <v>24</v>
      </c>
      <c r="P190" s="3" t="s">
        <v>83</v>
      </c>
    </row>
    <row r="191" spans="1:16" x14ac:dyDescent="0.35">
      <c r="A191" s="14">
        <v>45903</v>
      </c>
      <c r="B191" s="5">
        <v>3</v>
      </c>
      <c r="C191" s="2" t="s">
        <v>19</v>
      </c>
      <c r="D191" s="2" t="s">
        <v>9</v>
      </c>
      <c r="E191" s="2" t="s">
        <v>11</v>
      </c>
      <c r="F191" s="2" t="s">
        <v>81</v>
      </c>
      <c r="G191" s="2" t="s">
        <v>24</v>
      </c>
      <c r="H191" s="3" t="s">
        <v>83</v>
      </c>
      <c r="I191" s="5">
        <v>4</v>
      </c>
      <c r="J191" s="8">
        <v>2</v>
      </c>
      <c r="K191" s="8" t="s">
        <v>18</v>
      </c>
      <c r="L191" s="8" t="s">
        <v>10</v>
      </c>
      <c r="M191" s="8" t="s">
        <v>14</v>
      </c>
      <c r="N191" s="8" t="s">
        <v>2</v>
      </c>
      <c r="O191" s="8" t="s">
        <v>15</v>
      </c>
      <c r="P191" s="8" t="s">
        <v>4</v>
      </c>
    </row>
    <row r="192" spans="1:16" x14ac:dyDescent="0.35">
      <c r="A192" s="14">
        <v>45910</v>
      </c>
      <c r="B192" s="3">
        <v>5</v>
      </c>
      <c r="C192" s="8" t="s">
        <v>10</v>
      </c>
      <c r="D192" s="8" t="s">
        <v>127</v>
      </c>
      <c r="E192" s="8" t="s">
        <v>118</v>
      </c>
      <c r="F192" s="8" t="s">
        <v>62</v>
      </c>
      <c r="G192" s="8" t="s">
        <v>19</v>
      </c>
      <c r="H192" s="8" t="s">
        <v>15</v>
      </c>
      <c r="I192" s="9">
        <v>4</v>
      </c>
      <c r="J192" s="10">
        <v>5</v>
      </c>
      <c r="K192" s="10" t="s">
        <v>13</v>
      </c>
      <c r="L192" s="10" t="s">
        <v>11</v>
      </c>
      <c r="M192" s="10" t="s">
        <v>81</v>
      </c>
      <c r="N192" s="10" t="s">
        <v>4</v>
      </c>
      <c r="O192" s="10" t="s">
        <v>6</v>
      </c>
      <c r="P192" s="10" t="s">
        <v>2</v>
      </c>
    </row>
    <row r="193" spans="1:16" x14ac:dyDescent="0.35">
      <c r="A193" s="14">
        <v>45910</v>
      </c>
      <c r="B193" s="3">
        <v>4</v>
      </c>
      <c r="C193" s="10" t="s">
        <v>13</v>
      </c>
      <c r="D193" s="10" t="s">
        <v>11</v>
      </c>
      <c r="E193" s="10" t="s">
        <v>81</v>
      </c>
      <c r="F193" s="10" t="s">
        <v>4</v>
      </c>
      <c r="G193" s="10" t="s">
        <v>6</v>
      </c>
      <c r="H193" s="10" t="s">
        <v>2</v>
      </c>
      <c r="I193" s="11">
        <v>4</v>
      </c>
      <c r="J193" s="2">
        <v>3</v>
      </c>
      <c r="K193" s="2" t="s">
        <v>14</v>
      </c>
      <c r="L193" s="2" t="s">
        <v>47</v>
      </c>
      <c r="M193" s="2" t="s">
        <v>112</v>
      </c>
      <c r="N193" s="2" t="s">
        <v>83</v>
      </c>
      <c r="O193" s="2" t="s">
        <v>54</v>
      </c>
      <c r="P193" s="3" t="s">
        <v>170</v>
      </c>
    </row>
    <row r="194" spans="1:16" x14ac:dyDescent="0.35">
      <c r="A194" s="14">
        <v>45910</v>
      </c>
      <c r="B194" s="5">
        <v>5</v>
      </c>
      <c r="C194" s="2" t="s">
        <v>14</v>
      </c>
      <c r="D194" s="2" t="s">
        <v>47</v>
      </c>
      <c r="E194" s="2" t="s">
        <v>112</v>
      </c>
      <c r="F194" s="2" t="s">
        <v>83</v>
      </c>
      <c r="G194" s="2" t="s">
        <v>54</v>
      </c>
      <c r="H194" s="3" t="s">
        <v>170</v>
      </c>
      <c r="I194" s="5">
        <v>6</v>
      </c>
      <c r="J194" s="8">
        <v>2</v>
      </c>
      <c r="K194" s="8" t="s">
        <v>10</v>
      </c>
      <c r="L194" s="8" t="s">
        <v>127</v>
      </c>
      <c r="M194" s="8" t="s">
        <v>118</v>
      </c>
      <c r="N194" s="8" t="s">
        <v>62</v>
      </c>
      <c r="O194" s="8" t="s">
        <v>19</v>
      </c>
      <c r="P194" s="8" t="s">
        <v>15</v>
      </c>
    </row>
    <row r="195" spans="1:16" x14ac:dyDescent="0.35">
      <c r="A195" s="14">
        <v>45918</v>
      </c>
      <c r="B195" s="3">
        <v>3</v>
      </c>
      <c r="C195" s="8" t="s">
        <v>24</v>
      </c>
      <c r="D195" s="8" t="s">
        <v>5</v>
      </c>
      <c r="E195" s="8" t="s">
        <v>21</v>
      </c>
      <c r="F195" s="8" t="s">
        <v>43</v>
      </c>
      <c r="G195" s="8" t="s">
        <v>13</v>
      </c>
      <c r="H195" s="8" t="s">
        <v>19</v>
      </c>
      <c r="I195" s="9">
        <v>2</v>
      </c>
      <c r="J195" s="10">
        <v>5</v>
      </c>
      <c r="K195" s="10" t="s">
        <v>18</v>
      </c>
      <c r="L195" s="10" t="s">
        <v>127</v>
      </c>
      <c r="M195" s="10" t="s">
        <v>118</v>
      </c>
      <c r="N195" s="10" t="s">
        <v>83</v>
      </c>
      <c r="O195" s="10" t="s">
        <v>54</v>
      </c>
      <c r="P195" s="10" t="s">
        <v>11</v>
      </c>
    </row>
    <row r="196" spans="1:16" x14ac:dyDescent="0.35">
      <c r="A196" s="14">
        <v>45918</v>
      </c>
      <c r="B196" s="3">
        <v>5</v>
      </c>
      <c r="C196" s="10" t="s">
        <v>18</v>
      </c>
      <c r="D196" s="10" t="s">
        <v>127</v>
      </c>
      <c r="E196" s="10" t="s">
        <v>118</v>
      </c>
      <c r="F196" s="10" t="s">
        <v>83</v>
      </c>
      <c r="G196" s="10" t="s">
        <v>54</v>
      </c>
      <c r="H196" s="10" t="s">
        <v>11</v>
      </c>
      <c r="I196" s="11">
        <v>1</v>
      </c>
      <c r="J196" s="2">
        <v>6</v>
      </c>
      <c r="K196" s="2" t="s">
        <v>1</v>
      </c>
      <c r="L196" s="2" t="s">
        <v>10</v>
      </c>
      <c r="M196" s="2" t="s">
        <v>81</v>
      </c>
      <c r="N196" s="2" t="s">
        <v>6</v>
      </c>
      <c r="O196" s="2" t="s">
        <v>45</v>
      </c>
      <c r="P196" s="3" t="s">
        <v>4</v>
      </c>
    </row>
    <row r="197" spans="1:16" x14ac:dyDescent="0.35">
      <c r="A197" s="14">
        <v>45918</v>
      </c>
      <c r="B197" s="5">
        <v>4</v>
      </c>
      <c r="C197" s="2" t="s">
        <v>1</v>
      </c>
      <c r="D197" s="2" t="s">
        <v>10</v>
      </c>
      <c r="E197" s="2" t="s">
        <v>81</v>
      </c>
      <c r="F197" s="2" t="s">
        <v>6</v>
      </c>
      <c r="G197" s="2" t="s">
        <v>45</v>
      </c>
      <c r="H197" s="3" t="s">
        <v>4</v>
      </c>
      <c r="I197" s="5">
        <v>4</v>
      </c>
      <c r="J197" s="8">
        <v>4</v>
      </c>
      <c r="K197" s="8" t="s">
        <v>24</v>
      </c>
      <c r="L197" s="8" t="s">
        <v>5</v>
      </c>
      <c r="M197" s="8" t="s">
        <v>21</v>
      </c>
      <c r="N197" s="8" t="s">
        <v>43</v>
      </c>
      <c r="O197" s="8" t="s">
        <v>13</v>
      </c>
      <c r="P197" s="8" t="s">
        <v>19</v>
      </c>
    </row>
    <row r="198" spans="1:16" x14ac:dyDescent="0.35">
      <c r="A198" s="14">
        <v>45924</v>
      </c>
      <c r="B198" s="3">
        <v>4</v>
      </c>
      <c r="C198" s="8" t="s">
        <v>9</v>
      </c>
      <c r="D198" s="8" t="s">
        <v>5</v>
      </c>
      <c r="E198" s="8" t="s">
        <v>126</v>
      </c>
      <c r="F198" s="8" t="s">
        <v>62</v>
      </c>
      <c r="G198" s="8" t="s">
        <v>55</v>
      </c>
      <c r="H198" s="8" t="s">
        <v>19</v>
      </c>
      <c r="I198" s="9">
        <v>4</v>
      </c>
      <c r="J198" s="10">
        <v>6</v>
      </c>
      <c r="K198" s="10" t="s">
        <v>18</v>
      </c>
      <c r="L198" s="10" t="s">
        <v>125</v>
      </c>
      <c r="M198" s="10" t="s">
        <v>43</v>
      </c>
      <c r="N198" s="10" t="s">
        <v>118</v>
      </c>
      <c r="O198" s="10" t="s">
        <v>127</v>
      </c>
      <c r="P198" s="10" t="s">
        <v>15</v>
      </c>
    </row>
    <row r="199" spans="1:16" x14ac:dyDescent="0.35">
      <c r="A199" s="14">
        <v>45924</v>
      </c>
      <c r="B199" s="3">
        <v>4</v>
      </c>
      <c r="C199" s="10" t="s">
        <v>18</v>
      </c>
      <c r="D199" s="10" t="s">
        <v>125</v>
      </c>
      <c r="E199" s="10" t="s">
        <v>43</v>
      </c>
      <c r="F199" s="10" t="s">
        <v>118</v>
      </c>
      <c r="G199" s="10" t="s">
        <v>127</v>
      </c>
      <c r="H199" s="10" t="s">
        <v>15</v>
      </c>
      <c r="I199" s="11">
        <v>5</v>
      </c>
      <c r="J199" s="2">
        <v>3</v>
      </c>
      <c r="K199" s="2" t="s">
        <v>1</v>
      </c>
      <c r="L199" s="2" t="s">
        <v>10</v>
      </c>
      <c r="M199" s="2" t="s">
        <v>13</v>
      </c>
      <c r="N199" s="2" t="s">
        <v>81</v>
      </c>
      <c r="O199" s="2" t="s">
        <v>4</v>
      </c>
      <c r="P199" s="3" t="s">
        <v>6</v>
      </c>
    </row>
    <row r="200" spans="1:16" x14ac:dyDescent="0.35">
      <c r="A200" s="14">
        <v>45924</v>
      </c>
      <c r="B200" s="5">
        <v>3</v>
      </c>
      <c r="C200" s="2" t="s">
        <v>1</v>
      </c>
      <c r="D200" s="2" t="s">
        <v>10</v>
      </c>
      <c r="E200" s="2" t="s">
        <v>13</v>
      </c>
      <c r="F200" s="2" t="s">
        <v>81</v>
      </c>
      <c r="G200" s="2" t="s">
        <v>4</v>
      </c>
      <c r="H200" s="3" t="s">
        <v>6</v>
      </c>
      <c r="I200" s="5">
        <v>2</v>
      </c>
      <c r="J200" s="8">
        <v>2</v>
      </c>
      <c r="K200" s="8" t="s">
        <v>9</v>
      </c>
      <c r="L200" s="8" t="s">
        <v>5</v>
      </c>
      <c r="M200" s="8" t="s">
        <v>126</v>
      </c>
      <c r="N200" s="8" t="s">
        <v>62</v>
      </c>
      <c r="O200" s="8" t="s">
        <v>55</v>
      </c>
      <c r="P200" s="8" t="s">
        <v>19</v>
      </c>
    </row>
    <row r="201" spans="1:16" x14ac:dyDescent="0.35">
      <c r="A201" s="14">
        <v>45931</v>
      </c>
      <c r="B201" s="3">
        <v>4</v>
      </c>
      <c r="C201" s="8" t="s">
        <v>1</v>
      </c>
      <c r="D201" s="8" t="s">
        <v>45</v>
      </c>
      <c r="E201" s="8" t="s">
        <v>5</v>
      </c>
      <c r="F201" s="8" t="s">
        <v>83</v>
      </c>
      <c r="G201" s="8" t="s">
        <v>127</v>
      </c>
      <c r="H201" s="8" t="s">
        <v>118</v>
      </c>
      <c r="I201" s="9">
        <v>4</v>
      </c>
      <c r="J201" s="10">
        <v>1</v>
      </c>
      <c r="K201" s="10" t="s">
        <v>4</v>
      </c>
      <c r="L201" s="10" t="s">
        <v>54</v>
      </c>
      <c r="M201" s="10" t="s">
        <v>43</v>
      </c>
      <c r="N201" s="10" t="s">
        <v>81</v>
      </c>
      <c r="O201" s="10" t="s">
        <v>19</v>
      </c>
      <c r="P201" s="10" t="s">
        <v>6</v>
      </c>
    </row>
    <row r="202" spans="1:16" x14ac:dyDescent="0.35">
      <c r="A202" s="14">
        <v>45931</v>
      </c>
      <c r="B202" s="3">
        <v>3</v>
      </c>
      <c r="C202" s="10" t="s">
        <v>4</v>
      </c>
      <c r="D202" s="10" t="s">
        <v>54</v>
      </c>
      <c r="E202" s="10" t="s">
        <v>43</v>
      </c>
      <c r="F202" s="10" t="s">
        <v>81</v>
      </c>
      <c r="G202" s="10" t="s">
        <v>19</v>
      </c>
      <c r="H202" s="10" t="s">
        <v>6</v>
      </c>
      <c r="I202" s="11">
        <v>3</v>
      </c>
      <c r="J202" s="2">
        <v>2</v>
      </c>
      <c r="K202" s="2" t="s">
        <v>9</v>
      </c>
      <c r="L202" s="2" t="s">
        <v>13</v>
      </c>
      <c r="M202" s="2" t="s">
        <v>10</v>
      </c>
      <c r="N202" s="2" t="s">
        <v>15</v>
      </c>
      <c r="O202" s="2" t="s">
        <v>55</v>
      </c>
      <c r="P202" s="3" t="s">
        <v>2</v>
      </c>
    </row>
    <row r="203" spans="1:16" x14ac:dyDescent="0.35">
      <c r="A203" s="14">
        <v>45931</v>
      </c>
      <c r="B203" s="5">
        <v>5</v>
      </c>
      <c r="C203" s="2" t="s">
        <v>9</v>
      </c>
      <c r="D203" s="2" t="s">
        <v>13</v>
      </c>
      <c r="E203" s="2" t="s">
        <v>10</v>
      </c>
      <c r="F203" s="2" t="s">
        <v>15</v>
      </c>
      <c r="G203" s="2" t="s">
        <v>55</v>
      </c>
      <c r="H203" s="3" t="s">
        <v>2</v>
      </c>
      <c r="I203" s="5">
        <v>5</v>
      </c>
      <c r="J203" s="8">
        <v>8</v>
      </c>
      <c r="K203" s="8" t="s">
        <v>1</v>
      </c>
      <c r="L203" s="8" t="s">
        <v>45</v>
      </c>
      <c r="M203" s="8" t="s">
        <v>5</v>
      </c>
      <c r="N203" s="8" t="s">
        <v>83</v>
      </c>
      <c r="O203" s="8" t="s">
        <v>127</v>
      </c>
      <c r="P203" s="8" t="s">
        <v>118</v>
      </c>
    </row>
    <row r="204" spans="1:16" x14ac:dyDescent="0.35">
      <c r="A204" s="14">
        <v>45938</v>
      </c>
      <c r="B204" s="3">
        <v>4</v>
      </c>
      <c r="C204" s="8" t="s">
        <v>83</v>
      </c>
      <c r="D204" s="8" t="s">
        <v>4</v>
      </c>
      <c r="E204" s="8" t="s">
        <v>6</v>
      </c>
      <c r="F204" s="8" t="s">
        <v>118</v>
      </c>
      <c r="G204" s="8" t="s">
        <v>13</v>
      </c>
      <c r="H204" s="8" t="s">
        <v>10</v>
      </c>
      <c r="I204" s="9">
        <v>2</v>
      </c>
      <c r="J204" s="10">
        <v>5</v>
      </c>
      <c r="K204" s="10" t="s">
        <v>1</v>
      </c>
      <c r="L204" s="10" t="s">
        <v>9</v>
      </c>
      <c r="M204" s="10" t="s">
        <v>55</v>
      </c>
      <c r="N204" s="10" t="s">
        <v>11</v>
      </c>
      <c r="O204" s="10" t="s">
        <v>14</v>
      </c>
      <c r="P204" s="10" t="s">
        <v>81</v>
      </c>
    </row>
    <row r="205" spans="1:16" x14ac:dyDescent="0.35">
      <c r="A205" s="14">
        <v>45938</v>
      </c>
      <c r="B205" s="3">
        <v>4</v>
      </c>
      <c r="C205" s="10" t="s">
        <v>1</v>
      </c>
      <c r="D205" s="10" t="s">
        <v>9</v>
      </c>
      <c r="E205" s="10" t="s">
        <v>55</v>
      </c>
      <c r="F205" s="10" t="s">
        <v>11</v>
      </c>
      <c r="G205" s="10" t="s">
        <v>14</v>
      </c>
      <c r="H205" s="10" t="s">
        <v>81</v>
      </c>
      <c r="I205" s="11">
        <v>3</v>
      </c>
      <c r="J205" s="2">
        <v>4</v>
      </c>
      <c r="K205" s="2" t="s">
        <v>5</v>
      </c>
      <c r="L205" s="2" t="s">
        <v>24</v>
      </c>
      <c r="M205" s="2" t="s">
        <v>45</v>
      </c>
      <c r="N205" s="2" t="s">
        <v>15</v>
      </c>
      <c r="O205" s="2" t="s">
        <v>54</v>
      </c>
      <c r="P205" s="3" t="s">
        <v>19</v>
      </c>
    </row>
    <row r="206" spans="1:16" x14ac:dyDescent="0.35">
      <c r="A206" s="14">
        <v>45938</v>
      </c>
      <c r="B206" s="5">
        <v>3</v>
      </c>
      <c r="C206" s="2" t="s">
        <v>5</v>
      </c>
      <c r="D206" s="2" t="s">
        <v>24</v>
      </c>
      <c r="E206" s="2" t="s">
        <v>45</v>
      </c>
      <c r="F206" s="2" t="s">
        <v>15</v>
      </c>
      <c r="G206" s="2" t="s">
        <v>54</v>
      </c>
      <c r="H206" s="3" t="s">
        <v>19</v>
      </c>
      <c r="I206" s="5">
        <v>4</v>
      </c>
      <c r="J206" s="8">
        <v>2</v>
      </c>
      <c r="K206" s="8" t="s">
        <v>83</v>
      </c>
      <c r="L206" s="8" t="s">
        <v>4</v>
      </c>
      <c r="M206" s="8" t="s">
        <v>6</v>
      </c>
      <c r="N206" s="8" t="s">
        <v>118</v>
      </c>
      <c r="O206" s="8" t="s">
        <v>13</v>
      </c>
      <c r="P206" s="8" t="s">
        <v>10</v>
      </c>
    </row>
    <row r="207" spans="1:16" x14ac:dyDescent="0.35">
      <c r="A207" s="14">
        <v>45945</v>
      </c>
      <c r="B207" s="3">
        <v>4</v>
      </c>
      <c r="C207" s="8" t="s">
        <v>1</v>
      </c>
      <c r="D207" s="8" t="s">
        <v>54</v>
      </c>
      <c r="E207" s="8" t="s">
        <v>81</v>
      </c>
      <c r="F207" s="8" t="s">
        <v>4</v>
      </c>
      <c r="G207" s="8" t="s">
        <v>127</v>
      </c>
      <c r="H207" s="8" t="s">
        <v>49</v>
      </c>
      <c r="I207" s="9">
        <v>3</v>
      </c>
      <c r="J207" s="10">
        <v>4</v>
      </c>
      <c r="K207" s="10" t="s">
        <v>18</v>
      </c>
      <c r="L207" s="10" t="s">
        <v>15</v>
      </c>
      <c r="M207" s="10" t="s">
        <v>118</v>
      </c>
      <c r="N207" s="10" t="s">
        <v>9</v>
      </c>
      <c r="O207" s="10" t="s">
        <v>14</v>
      </c>
      <c r="P207" s="10" t="s">
        <v>128</v>
      </c>
    </row>
    <row r="208" spans="1:16" x14ac:dyDescent="0.35">
      <c r="A208" s="14">
        <v>45945</v>
      </c>
      <c r="B208" s="3">
        <v>3</v>
      </c>
      <c r="C208" s="10" t="s">
        <v>18</v>
      </c>
      <c r="D208" s="10" t="s">
        <v>15</v>
      </c>
      <c r="E208" s="10" t="s">
        <v>118</v>
      </c>
      <c r="F208" s="10" t="s">
        <v>9</v>
      </c>
      <c r="G208" s="10" t="s">
        <v>14</v>
      </c>
      <c r="H208" s="10" t="s">
        <v>128</v>
      </c>
      <c r="I208" s="11">
        <v>1</v>
      </c>
      <c r="J208" s="2">
        <v>4</v>
      </c>
      <c r="K208" s="2" t="s">
        <v>10</v>
      </c>
      <c r="L208" s="2" t="s">
        <v>6</v>
      </c>
      <c r="M208" s="2" t="s">
        <v>11</v>
      </c>
      <c r="N208" s="2" t="s">
        <v>55</v>
      </c>
      <c r="O208" s="2" t="s">
        <v>43</v>
      </c>
      <c r="P208" s="3" t="s">
        <v>5</v>
      </c>
    </row>
    <row r="209" spans="1:17" x14ac:dyDescent="0.35">
      <c r="A209" s="14">
        <v>45945</v>
      </c>
      <c r="B209" s="5">
        <v>5</v>
      </c>
      <c r="C209" s="2" t="s">
        <v>10</v>
      </c>
      <c r="D209" s="2" t="s">
        <v>6</v>
      </c>
      <c r="E209" s="2" t="s">
        <v>11</v>
      </c>
      <c r="F209" s="2" t="s">
        <v>55</v>
      </c>
      <c r="G209" s="2" t="s">
        <v>43</v>
      </c>
      <c r="H209" s="3" t="s">
        <v>5</v>
      </c>
      <c r="I209" s="5">
        <v>3</v>
      </c>
      <c r="J209" s="8">
        <v>6</v>
      </c>
      <c r="K209" s="8" t="s">
        <v>1</v>
      </c>
      <c r="L209" s="8" t="s">
        <v>54</v>
      </c>
      <c r="M209" s="8" t="s">
        <v>81</v>
      </c>
      <c r="N209" s="8" t="s">
        <v>4</v>
      </c>
      <c r="O209" s="8" t="s">
        <v>127</v>
      </c>
      <c r="P209" s="8" t="s">
        <v>49</v>
      </c>
    </row>
    <row r="210" spans="1:17" x14ac:dyDescent="0.35">
      <c r="A210" s="14">
        <v>45952</v>
      </c>
      <c r="B210" s="3">
        <v>4</v>
      </c>
      <c r="C210" s="8" t="s">
        <v>1</v>
      </c>
      <c r="D210" s="8" t="s">
        <v>21</v>
      </c>
      <c r="E210" s="8" t="s">
        <v>47</v>
      </c>
      <c r="F210" s="8" t="s">
        <v>45</v>
      </c>
      <c r="G210" s="8" t="s">
        <v>43</v>
      </c>
      <c r="H210" s="8" t="s">
        <v>19</v>
      </c>
      <c r="I210" s="9">
        <v>2</v>
      </c>
      <c r="J210" s="10">
        <v>6</v>
      </c>
      <c r="K210" s="10" t="s">
        <v>9</v>
      </c>
      <c r="L210" s="10" t="s">
        <v>6</v>
      </c>
      <c r="M210" s="10" t="s">
        <v>4</v>
      </c>
      <c r="N210" s="10" t="s">
        <v>24</v>
      </c>
      <c r="O210" s="10" t="s">
        <v>67</v>
      </c>
      <c r="P210" s="10" t="s">
        <v>11</v>
      </c>
    </row>
    <row r="211" spans="1:17" x14ac:dyDescent="0.35">
      <c r="A211" s="14">
        <v>45952</v>
      </c>
      <c r="B211" s="3">
        <v>5</v>
      </c>
      <c r="C211" s="10" t="s">
        <v>9</v>
      </c>
      <c r="D211" s="10" t="s">
        <v>6</v>
      </c>
      <c r="E211" s="10" t="s">
        <v>4</v>
      </c>
      <c r="F211" s="10" t="s">
        <v>24</v>
      </c>
      <c r="G211" s="10" t="s">
        <v>67</v>
      </c>
      <c r="H211" s="10" t="s">
        <v>11</v>
      </c>
      <c r="I211" s="11">
        <v>3</v>
      </c>
      <c r="J211" s="2">
        <v>8</v>
      </c>
      <c r="K211" s="2" t="s">
        <v>5</v>
      </c>
      <c r="L211" s="2" t="s">
        <v>16</v>
      </c>
      <c r="M211" s="2" t="s">
        <v>65</v>
      </c>
      <c r="N211" s="2" t="s">
        <v>118</v>
      </c>
      <c r="O211" s="2" t="s">
        <v>54</v>
      </c>
      <c r="P211" s="2" t="s">
        <v>42</v>
      </c>
    </row>
    <row r="212" spans="1:17" x14ac:dyDescent="0.35">
      <c r="A212" s="14">
        <v>45952</v>
      </c>
      <c r="B212" s="5">
        <v>5</v>
      </c>
      <c r="C212" s="2" t="s">
        <v>5</v>
      </c>
      <c r="D212" s="2" t="s">
        <v>16</v>
      </c>
      <c r="E212" s="2" t="s">
        <v>65</v>
      </c>
      <c r="F212" s="2" t="s">
        <v>118</v>
      </c>
      <c r="G212" s="2" t="s">
        <v>54</v>
      </c>
      <c r="H212" s="2" t="s">
        <v>42</v>
      </c>
      <c r="I212" s="5">
        <v>5</v>
      </c>
      <c r="J212" s="8">
        <v>5</v>
      </c>
      <c r="K212" s="8" t="s">
        <v>1</v>
      </c>
      <c r="L212" s="8" t="s">
        <v>21</v>
      </c>
      <c r="M212" s="8" t="s">
        <v>47</v>
      </c>
      <c r="N212" s="8" t="s">
        <v>45</v>
      </c>
      <c r="O212" s="8" t="s">
        <v>43</v>
      </c>
      <c r="P212" s="8" t="s">
        <v>19</v>
      </c>
    </row>
    <row r="213" spans="1:17" x14ac:dyDescent="0.35">
      <c r="A213" s="14">
        <v>45960</v>
      </c>
      <c r="B213" s="3">
        <v>11</v>
      </c>
      <c r="C213" s="8" t="s">
        <v>1</v>
      </c>
      <c r="D213" s="8" t="s">
        <v>54</v>
      </c>
      <c r="E213" s="8" t="s">
        <v>21</v>
      </c>
      <c r="F213" s="8" t="s">
        <v>5</v>
      </c>
      <c r="G213" s="8" t="s">
        <v>15</v>
      </c>
      <c r="H213" s="8" t="s">
        <v>11</v>
      </c>
      <c r="I213" s="9">
        <v>20</v>
      </c>
      <c r="J213" s="10">
        <v>18</v>
      </c>
      <c r="K213" s="10" t="s">
        <v>9</v>
      </c>
      <c r="L213" s="10" t="s">
        <v>4</v>
      </c>
      <c r="M213" s="10" t="s">
        <v>6</v>
      </c>
      <c r="N213" s="10" t="s">
        <v>45</v>
      </c>
      <c r="O213" s="10" t="s">
        <v>51</v>
      </c>
      <c r="P213" s="10" t="s">
        <v>119</v>
      </c>
      <c r="Q213" s="10" t="s">
        <v>47</v>
      </c>
    </row>
    <row r="214" spans="1:17" x14ac:dyDescent="0.35">
      <c r="A214" s="14">
        <v>45966</v>
      </c>
      <c r="B214" s="3">
        <v>4</v>
      </c>
      <c r="C214" s="8" t="s">
        <v>4</v>
      </c>
      <c r="D214" s="8" t="s">
        <v>100</v>
      </c>
      <c r="E214" s="8" t="s">
        <v>45</v>
      </c>
      <c r="F214" s="8" t="s">
        <v>5</v>
      </c>
      <c r="G214" s="8" t="s">
        <v>127</v>
      </c>
      <c r="H214" s="8"/>
      <c r="I214" s="9">
        <v>0</v>
      </c>
      <c r="J214" s="10">
        <v>5</v>
      </c>
      <c r="K214" s="10" t="s">
        <v>1</v>
      </c>
      <c r="L214" s="10" t="s">
        <v>18</v>
      </c>
      <c r="M214" s="10" t="s">
        <v>15</v>
      </c>
      <c r="N214" s="10" t="s">
        <v>118</v>
      </c>
      <c r="O214" s="10" t="s">
        <v>62</v>
      </c>
      <c r="P214" s="10"/>
    </row>
    <row r="215" spans="1:17" x14ac:dyDescent="0.35">
      <c r="A215" s="14">
        <v>45966</v>
      </c>
      <c r="B215" s="3">
        <v>5</v>
      </c>
      <c r="C215" s="10" t="s">
        <v>1</v>
      </c>
      <c r="D215" s="10" t="s">
        <v>18</v>
      </c>
      <c r="E215" s="10" t="s">
        <v>15</v>
      </c>
      <c r="F215" s="10" t="s">
        <v>118</v>
      </c>
      <c r="G215" s="10" t="s">
        <v>62</v>
      </c>
      <c r="H215" s="10"/>
      <c r="I215" s="11">
        <v>6</v>
      </c>
      <c r="J215" s="2">
        <v>5</v>
      </c>
      <c r="K215" s="2" t="s">
        <v>10</v>
      </c>
      <c r="L215" s="2" t="s">
        <v>43</v>
      </c>
      <c r="M215" s="2" t="s">
        <v>55</v>
      </c>
      <c r="N215" s="2" t="s">
        <v>6</v>
      </c>
      <c r="O215" s="2" t="s">
        <v>81</v>
      </c>
      <c r="P215" s="2"/>
    </row>
    <row r="216" spans="1:17" x14ac:dyDescent="0.35">
      <c r="A216" s="14">
        <v>45966</v>
      </c>
      <c r="B216" s="5">
        <v>4</v>
      </c>
      <c r="C216" s="2" t="s">
        <v>10</v>
      </c>
      <c r="D216" s="2" t="s">
        <v>43</v>
      </c>
      <c r="E216" s="2" t="s">
        <v>55</v>
      </c>
      <c r="F216" s="2" t="s">
        <v>6</v>
      </c>
      <c r="G216" s="2" t="s">
        <v>81</v>
      </c>
      <c r="H216" s="2"/>
      <c r="I216" s="5">
        <v>3</v>
      </c>
      <c r="J216" s="8">
        <v>5</v>
      </c>
      <c r="K216" s="8" t="s">
        <v>4</v>
      </c>
      <c r="L216" s="8" t="s">
        <v>100</v>
      </c>
      <c r="M216" s="8" t="s">
        <v>45</v>
      </c>
      <c r="N216" s="8" t="s">
        <v>5</v>
      </c>
      <c r="O216" s="8" t="s">
        <v>127</v>
      </c>
      <c r="P216" s="8"/>
    </row>
    <row r="217" spans="1:17" x14ac:dyDescent="0.35">
      <c r="A217" s="14">
        <v>45973</v>
      </c>
      <c r="B217" s="3">
        <v>2</v>
      </c>
      <c r="C217" s="8" t="s">
        <v>5</v>
      </c>
      <c r="D217" s="8" t="s">
        <v>4</v>
      </c>
      <c r="E217" s="8" t="s">
        <v>118</v>
      </c>
      <c r="F217" s="8" t="s">
        <v>55</v>
      </c>
      <c r="G217" s="8" t="s">
        <v>10</v>
      </c>
      <c r="H217" s="8" t="s">
        <v>11</v>
      </c>
      <c r="I217" s="9">
        <v>2</v>
      </c>
      <c r="J217" s="10">
        <v>3</v>
      </c>
      <c r="K217" s="10" t="s">
        <v>1</v>
      </c>
      <c r="L217" s="10" t="s">
        <v>9</v>
      </c>
      <c r="M217" s="10" t="s">
        <v>15</v>
      </c>
      <c r="N217" s="10" t="s">
        <v>14</v>
      </c>
      <c r="O217" s="10" t="s">
        <v>127</v>
      </c>
      <c r="P217" s="10" t="s">
        <v>129</v>
      </c>
    </row>
    <row r="218" spans="1:17" x14ac:dyDescent="0.35">
      <c r="A218" s="14">
        <v>45973</v>
      </c>
      <c r="B218" s="3">
        <v>5</v>
      </c>
      <c r="C218" s="10" t="s">
        <v>1</v>
      </c>
      <c r="D218" s="10" t="s">
        <v>9</v>
      </c>
      <c r="E218" s="10" t="s">
        <v>15</v>
      </c>
      <c r="F218" s="10" t="s">
        <v>14</v>
      </c>
      <c r="G218" s="10" t="s">
        <v>127</v>
      </c>
      <c r="H218" s="10" t="s">
        <v>129</v>
      </c>
      <c r="I218" s="11">
        <v>4</v>
      </c>
      <c r="J218" s="2">
        <v>3</v>
      </c>
      <c r="K218" s="2" t="s">
        <v>18</v>
      </c>
      <c r="L218" s="2" t="s">
        <v>81</v>
      </c>
      <c r="M218" s="2" t="s">
        <v>83</v>
      </c>
      <c r="N218" s="2" t="s">
        <v>6</v>
      </c>
      <c r="O218" s="2" t="s">
        <v>100</v>
      </c>
      <c r="P218" s="2" t="s">
        <v>2</v>
      </c>
    </row>
    <row r="219" spans="1:17" x14ac:dyDescent="0.35">
      <c r="A219" s="14">
        <v>45973</v>
      </c>
      <c r="B219" s="5">
        <v>4</v>
      </c>
      <c r="C219" s="2" t="s">
        <v>18</v>
      </c>
      <c r="D219" s="2" t="s">
        <v>81</v>
      </c>
      <c r="E219" s="2" t="s">
        <v>83</v>
      </c>
      <c r="F219" s="2" t="s">
        <v>6</v>
      </c>
      <c r="G219" s="2" t="s">
        <v>100</v>
      </c>
      <c r="H219" s="2" t="s">
        <v>2</v>
      </c>
      <c r="I219" s="5">
        <v>5</v>
      </c>
      <c r="J219" s="8">
        <v>3</v>
      </c>
      <c r="K219" s="8" t="s">
        <v>5</v>
      </c>
      <c r="L219" s="8" t="s">
        <v>4</v>
      </c>
      <c r="M219" s="8" t="s">
        <v>118</v>
      </c>
      <c r="N219" s="8" t="s">
        <v>55</v>
      </c>
      <c r="O219" s="8" t="s">
        <v>10</v>
      </c>
      <c r="P219" s="8" t="s">
        <v>11</v>
      </c>
    </row>
    <row r="220" spans="1:17" x14ac:dyDescent="0.35">
      <c r="A220" s="14">
        <v>45987</v>
      </c>
      <c r="B220" s="3">
        <v>5</v>
      </c>
      <c r="C220" s="8" t="s">
        <v>62</v>
      </c>
      <c r="D220" s="8" t="s">
        <v>112</v>
      </c>
      <c r="E220" s="8" t="s">
        <v>9</v>
      </c>
      <c r="F220" s="8" t="s">
        <v>129</v>
      </c>
      <c r="G220" s="8" t="s">
        <v>15</v>
      </c>
      <c r="H220" s="8" t="s">
        <v>130</v>
      </c>
      <c r="I220" s="9">
        <v>7</v>
      </c>
      <c r="J220" s="10">
        <v>3</v>
      </c>
      <c r="K220" s="10" t="s">
        <v>81</v>
      </c>
      <c r="L220" s="10" t="s">
        <v>100</v>
      </c>
      <c r="M220" s="10" t="s">
        <v>45</v>
      </c>
      <c r="N220" s="10" t="s">
        <v>118</v>
      </c>
      <c r="O220" s="10" t="s">
        <v>59</v>
      </c>
      <c r="P220" s="10" t="s">
        <v>55</v>
      </c>
    </row>
    <row r="221" spans="1:17" x14ac:dyDescent="0.35">
      <c r="A221" s="14">
        <v>45987</v>
      </c>
      <c r="B221" s="3">
        <v>3</v>
      </c>
      <c r="C221" s="10" t="s">
        <v>81</v>
      </c>
      <c r="D221" s="10" t="s">
        <v>100</v>
      </c>
      <c r="E221" s="10" t="s">
        <v>45</v>
      </c>
      <c r="F221" s="10" t="s">
        <v>118</v>
      </c>
      <c r="G221" s="10" t="s">
        <v>59</v>
      </c>
      <c r="H221" s="10" t="s">
        <v>55</v>
      </c>
      <c r="I221" s="11">
        <v>5</v>
      </c>
      <c r="J221" s="2">
        <v>2</v>
      </c>
      <c r="K221" s="2" t="s">
        <v>4</v>
      </c>
      <c r="L221" s="2" t="s">
        <v>1</v>
      </c>
      <c r="M221" s="2" t="s">
        <v>2</v>
      </c>
      <c r="N221" s="2" t="s">
        <v>14</v>
      </c>
      <c r="O221" s="2" t="s">
        <v>6</v>
      </c>
      <c r="P221" s="2" t="s">
        <v>11</v>
      </c>
    </row>
    <row r="222" spans="1:17" x14ac:dyDescent="0.35">
      <c r="A222" s="14">
        <v>45987</v>
      </c>
      <c r="B222" s="5">
        <v>3</v>
      </c>
      <c r="C222" s="2" t="s">
        <v>4</v>
      </c>
      <c r="D222" s="2" t="s">
        <v>1</v>
      </c>
      <c r="E222" s="2" t="s">
        <v>2</v>
      </c>
      <c r="F222" s="2" t="s">
        <v>14</v>
      </c>
      <c r="G222" s="2" t="s">
        <v>6</v>
      </c>
      <c r="H222" s="2" t="s">
        <v>11</v>
      </c>
      <c r="I222" s="5">
        <v>3</v>
      </c>
      <c r="J222" s="8">
        <v>3</v>
      </c>
      <c r="K222" s="8" t="s">
        <v>62</v>
      </c>
      <c r="L222" s="8" t="s">
        <v>112</v>
      </c>
      <c r="M222" s="8" t="s">
        <v>9</v>
      </c>
      <c r="N222" s="8" t="s">
        <v>129</v>
      </c>
      <c r="O222" s="8" t="s">
        <v>15</v>
      </c>
      <c r="P222" s="8" t="s">
        <v>130</v>
      </c>
    </row>
    <row r="223" spans="1:17" x14ac:dyDescent="0.35">
      <c r="A223" s="14">
        <v>45994</v>
      </c>
      <c r="B223" s="3">
        <v>2</v>
      </c>
      <c r="C223" s="8" t="s">
        <v>1</v>
      </c>
      <c r="D223" s="8" t="s">
        <v>9</v>
      </c>
      <c r="E223" s="8" t="s">
        <v>80</v>
      </c>
      <c r="F223" s="8" t="s">
        <v>129</v>
      </c>
      <c r="G223" s="8" t="s">
        <v>130</v>
      </c>
      <c r="H223" s="8" t="s">
        <v>4</v>
      </c>
      <c r="I223" s="9">
        <v>3</v>
      </c>
      <c r="J223" s="10">
        <v>1</v>
      </c>
      <c r="K223" s="10" t="s">
        <v>19</v>
      </c>
      <c r="L223" s="10" t="s">
        <v>54</v>
      </c>
      <c r="M223" s="10" t="s">
        <v>10</v>
      </c>
      <c r="N223" s="10" t="s">
        <v>6</v>
      </c>
      <c r="O223" s="10" t="s">
        <v>11</v>
      </c>
      <c r="P223" s="10" t="s">
        <v>65</v>
      </c>
    </row>
    <row r="224" spans="1:17" x14ac:dyDescent="0.35">
      <c r="A224" s="14">
        <v>45994</v>
      </c>
      <c r="B224" s="3">
        <v>3</v>
      </c>
      <c r="C224" s="10" t="s">
        <v>19</v>
      </c>
      <c r="D224" s="10" t="s">
        <v>54</v>
      </c>
      <c r="E224" s="10" t="s">
        <v>10</v>
      </c>
      <c r="F224" s="10" t="s">
        <v>6</v>
      </c>
      <c r="G224" s="10" t="s">
        <v>11</v>
      </c>
      <c r="H224" s="10" t="s">
        <v>65</v>
      </c>
      <c r="I224" s="11">
        <v>2</v>
      </c>
      <c r="J224" s="2">
        <v>2</v>
      </c>
      <c r="K224" s="2" t="s">
        <v>15</v>
      </c>
      <c r="L224" s="2" t="s">
        <v>2</v>
      </c>
      <c r="M224" s="2" t="s">
        <v>5</v>
      </c>
      <c r="N224" s="2" t="s">
        <v>47</v>
      </c>
      <c r="O224" s="2" t="s">
        <v>132</v>
      </c>
      <c r="P224" s="2" t="s">
        <v>133</v>
      </c>
    </row>
    <row r="225" spans="1:16" x14ac:dyDescent="0.35">
      <c r="A225" s="14">
        <v>45994</v>
      </c>
      <c r="B225" s="5">
        <v>5</v>
      </c>
      <c r="C225" s="2" t="s">
        <v>15</v>
      </c>
      <c r="D225" s="2" t="s">
        <v>2</v>
      </c>
      <c r="E225" s="2" t="s">
        <v>5</v>
      </c>
      <c r="F225" s="2" t="s">
        <v>47</v>
      </c>
      <c r="G225" s="2" t="s">
        <v>132</v>
      </c>
      <c r="H225" s="2" t="s">
        <v>133</v>
      </c>
      <c r="I225" s="5">
        <v>8</v>
      </c>
      <c r="J225" s="8">
        <v>7</v>
      </c>
      <c r="K225" s="8" t="s">
        <v>1</v>
      </c>
      <c r="L225" s="8" t="s">
        <v>9</v>
      </c>
      <c r="M225" s="8" t="s">
        <v>80</v>
      </c>
      <c r="N225" s="8" t="s">
        <v>129</v>
      </c>
      <c r="O225" s="8" t="s">
        <v>130</v>
      </c>
      <c r="P225" s="8" t="s">
        <v>4</v>
      </c>
    </row>
    <row r="226" spans="1:16" x14ac:dyDescent="0.35">
      <c r="A226" s="14">
        <v>46001</v>
      </c>
      <c r="B226" s="3">
        <v>4</v>
      </c>
      <c r="C226" s="8" t="s">
        <v>5</v>
      </c>
      <c r="D226" s="8" t="s">
        <v>11</v>
      </c>
      <c r="E226" s="8" t="s">
        <v>45</v>
      </c>
      <c r="F226" s="8" t="s">
        <v>6</v>
      </c>
      <c r="G226" s="8" t="s">
        <v>10</v>
      </c>
      <c r="H226" s="8" t="s">
        <v>19</v>
      </c>
      <c r="I226" s="9">
        <v>5</v>
      </c>
      <c r="J226" s="10">
        <v>5</v>
      </c>
      <c r="K226" s="10" t="s">
        <v>15</v>
      </c>
      <c r="L226" s="10" t="s">
        <v>9</v>
      </c>
      <c r="M226" s="10" t="s">
        <v>4</v>
      </c>
      <c r="N226" s="10" t="s">
        <v>14</v>
      </c>
      <c r="O226" s="10" t="s">
        <v>24</v>
      </c>
      <c r="P226" s="10" t="s">
        <v>55</v>
      </c>
    </row>
    <row r="227" spans="1:16" x14ac:dyDescent="0.35">
      <c r="A227" s="14">
        <v>46001</v>
      </c>
      <c r="B227" s="3">
        <v>5</v>
      </c>
      <c r="C227" s="10" t="s">
        <v>15</v>
      </c>
      <c r="D227" s="10" t="s">
        <v>9</v>
      </c>
      <c r="E227" s="10" t="s">
        <v>4</v>
      </c>
      <c r="F227" s="10" t="s">
        <v>14</v>
      </c>
      <c r="G227" s="10" t="s">
        <v>24</v>
      </c>
      <c r="H227" s="10" t="s">
        <v>55</v>
      </c>
      <c r="I227" s="11">
        <v>5</v>
      </c>
      <c r="J227" s="2">
        <v>4</v>
      </c>
      <c r="K227" s="2" t="s">
        <v>1</v>
      </c>
      <c r="L227" s="2" t="s">
        <v>7</v>
      </c>
      <c r="M227" s="2" t="s">
        <v>2</v>
      </c>
      <c r="N227" s="2" t="s">
        <v>83</v>
      </c>
      <c r="O227" s="2" t="s">
        <v>54</v>
      </c>
      <c r="P227" s="2" t="s">
        <v>81</v>
      </c>
    </row>
    <row r="228" spans="1:16" x14ac:dyDescent="0.35">
      <c r="A228" s="14">
        <v>46001</v>
      </c>
      <c r="B228" s="5">
        <v>5</v>
      </c>
      <c r="C228" s="2" t="s">
        <v>1</v>
      </c>
      <c r="D228" s="2" t="s">
        <v>7</v>
      </c>
      <c r="E228" s="2" t="s">
        <v>2</v>
      </c>
      <c r="F228" s="2" t="s">
        <v>83</v>
      </c>
      <c r="G228" s="2" t="s">
        <v>54</v>
      </c>
      <c r="H228" s="2" t="s">
        <v>81</v>
      </c>
      <c r="I228" s="5">
        <v>5</v>
      </c>
      <c r="J228" s="8">
        <v>5</v>
      </c>
      <c r="K228" s="8" t="s">
        <v>5</v>
      </c>
      <c r="L228" s="8" t="s">
        <v>11</v>
      </c>
      <c r="M228" s="8" t="s">
        <v>45</v>
      </c>
      <c r="N228" s="8" t="s">
        <v>6</v>
      </c>
      <c r="O228" s="8" t="s">
        <v>10</v>
      </c>
      <c r="P228" s="8" t="s">
        <v>19</v>
      </c>
    </row>
    <row r="229" spans="1:16" x14ac:dyDescent="0.35">
      <c r="A229" s="14">
        <v>46008</v>
      </c>
      <c r="B229" s="3">
        <v>4</v>
      </c>
      <c r="C229" s="8" t="s">
        <v>4</v>
      </c>
      <c r="D229" s="8" t="s">
        <v>10</v>
      </c>
      <c r="E229" s="8" t="s">
        <v>2</v>
      </c>
      <c r="F229" s="8" t="s">
        <v>81</v>
      </c>
      <c r="G229" s="8" t="s">
        <v>11</v>
      </c>
      <c r="H229" s="8" t="s">
        <v>18</v>
      </c>
      <c r="I229" s="9">
        <v>3</v>
      </c>
      <c r="J229" s="10">
        <v>4</v>
      </c>
      <c r="K229" s="10" t="s">
        <v>55</v>
      </c>
      <c r="L229" s="10" t="s">
        <v>9</v>
      </c>
      <c r="M229" s="10" t="s">
        <v>83</v>
      </c>
      <c r="N229" s="10" t="s">
        <v>47</v>
      </c>
      <c r="O229" s="10" t="s">
        <v>118</v>
      </c>
      <c r="P229" s="10" t="s">
        <v>43</v>
      </c>
    </row>
    <row r="230" spans="1:16" x14ac:dyDescent="0.35">
      <c r="A230" s="14">
        <v>46008</v>
      </c>
      <c r="B230" s="3">
        <v>5</v>
      </c>
      <c r="C230" s="10" t="s">
        <v>55</v>
      </c>
      <c r="D230" s="10" t="s">
        <v>9</v>
      </c>
      <c r="E230" s="10" t="s">
        <v>83</v>
      </c>
      <c r="F230" s="10" t="s">
        <v>47</v>
      </c>
      <c r="G230" s="10" t="s">
        <v>118</v>
      </c>
      <c r="H230" s="10" t="s">
        <v>43</v>
      </c>
      <c r="I230" s="11">
        <v>5</v>
      </c>
      <c r="J230" s="2">
        <v>4</v>
      </c>
      <c r="K230" s="2" t="s">
        <v>1</v>
      </c>
      <c r="L230" s="2" t="s">
        <v>7</v>
      </c>
      <c r="M230" s="2" t="s">
        <v>14</v>
      </c>
      <c r="N230" s="2" t="s">
        <v>5</v>
      </c>
      <c r="O230" s="2" t="s">
        <v>45</v>
      </c>
      <c r="P230" s="2" t="s">
        <v>6</v>
      </c>
    </row>
    <row r="231" spans="1:16" x14ac:dyDescent="0.35">
      <c r="A231" s="14">
        <v>46008</v>
      </c>
      <c r="B231" s="5">
        <v>4</v>
      </c>
      <c r="C231" s="2" t="s">
        <v>1</v>
      </c>
      <c r="D231" s="2" t="s">
        <v>7</v>
      </c>
      <c r="E231" s="2" t="s">
        <v>14</v>
      </c>
      <c r="F231" s="2" t="s">
        <v>5</v>
      </c>
      <c r="G231" s="2" t="s">
        <v>45</v>
      </c>
      <c r="H231" s="2" t="s">
        <v>6</v>
      </c>
      <c r="I231" s="5">
        <v>7</v>
      </c>
      <c r="J231" s="8">
        <v>0</v>
      </c>
      <c r="K231" s="8" t="s">
        <v>4</v>
      </c>
      <c r="L231" s="8" t="s">
        <v>10</v>
      </c>
      <c r="M231" s="8" t="s">
        <v>2</v>
      </c>
      <c r="N231" s="8" t="s">
        <v>81</v>
      </c>
      <c r="O231" s="8" t="s">
        <v>11</v>
      </c>
      <c r="P231" s="8" t="s">
        <v>18</v>
      </c>
    </row>
    <row r="232" spans="1:16" x14ac:dyDescent="0.35">
      <c r="A232" s="14">
        <v>46029</v>
      </c>
      <c r="B232" s="3">
        <v>2</v>
      </c>
      <c r="C232" s="8" t="s">
        <v>1</v>
      </c>
      <c r="D232" s="8" t="s">
        <v>44</v>
      </c>
      <c r="E232" s="8" t="s">
        <v>14</v>
      </c>
      <c r="F232" s="8" t="s">
        <v>45</v>
      </c>
      <c r="G232" s="8" t="s">
        <v>24</v>
      </c>
      <c r="H232" s="8" t="s">
        <v>6</v>
      </c>
      <c r="I232" s="9">
        <v>0</v>
      </c>
      <c r="J232" s="10">
        <v>2</v>
      </c>
      <c r="K232" s="10" t="s">
        <v>9</v>
      </c>
      <c r="L232" s="10" t="s">
        <v>55</v>
      </c>
      <c r="M232" s="10" t="s">
        <v>4</v>
      </c>
      <c r="N232" s="10" t="s">
        <v>18</v>
      </c>
      <c r="O232" s="10" t="s">
        <v>83</v>
      </c>
      <c r="P232" s="10" t="s">
        <v>43</v>
      </c>
    </row>
    <row r="233" spans="1:16" x14ac:dyDescent="0.35">
      <c r="A233" s="14">
        <v>46029</v>
      </c>
      <c r="B233" s="3">
        <v>5</v>
      </c>
      <c r="C233" s="10" t="s">
        <v>9</v>
      </c>
      <c r="D233" s="10" t="s">
        <v>55</v>
      </c>
      <c r="E233" s="10" t="s">
        <v>4</v>
      </c>
      <c r="F233" s="10" t="s">
        <v>18</v>
      </c>
      <c r="G233" s="10" t="s">
        <v>83</v>
      </c>
      <c r="H233" s="10" t="s">
        <v>43</v>
      </c>
      <c r="I233" s="11">
        <v>3</v>
      </c>
      <c r="J233" s="2">
        <v>7</v>
      </c>
      <c r="K233" s="2" t="s">
        <v>81</v>
      </c>
      <c r="L233" s="2" t="s">
        <v>10</v>
      </c>
      <c r="M233" s="2" t="s">
        <v>11</v>
      </c>
      <c r="N233" s="2" t="s">
        <v>2</v>
      </c>
      <c r="O233" s="2" t="s">
        <v>15</v>
      </c>
      <c r="P233" s="2" t="s">
        <v>19</v>
      </c>
    </row>
    <row r="234" spans="1:16" x14ac:dyDescent="0.35">
      <c r="A234" s="14">
        <v>46029</v>
      </c>
      <c r="B234" s="5">
        <v>5</v>
      </c>
      <c r="C234" s="2" t="s">
        <v>81</v>
      </c>
      <c r="D234" s="2" t="s">
        <v>10</v>
      </c>
      <c r="E234" s="2" t="s">
        <v>11</v>
      </c>
      <c r="F234" s="2" t="s">
        <v>2</v>
      </c>
      <c r="G234" s="2" t="s">
        <v>15</v>
      </c>
      <c r="H234" s="2" t="s">
        <v>19</v>
      </c>
      <c r="I234" s="5">
        <v>6</v>
      </c>
      <c r="J234" s="8">
        <v>3</v>
      </c>
      <c r="K234" s="8" t="s">
        <v>1</v>
      </c>
      <c r="L234" s="8" t="s">
        <v>44</v>
      </c>
      <c r="M234" s="8" t="s">
        <v>14</v>
      </c>
      <c r="N234" s="8" t="s">
        <v>45</v>
      </c>
      <c r="O234" s="8" t="s">
        <v>24</v>
      </c>
      <c r="P234" s="8" t="s">
        <v>6</v>
      </c>
    </row>
    <row r="235" spans="1:16" x14ac:dyDescent="0.35">
      <c r="A235" s="14">
        <v>46036</v>
      </c>
      <c r="B235" s="3">
        <v>3</v>
      </c>
      <c r="C235" s="8" t="s">
        <v>9</v>
      </c>
      <c r="D235" s="8" t="s">
        <v>11</v>
      </c>
      <c r="E235" s="8" t="s">
        <v>15</v>
      </c>
      <c r="F235" s="8" t="s">
        <v>83</v>
      </c>
      <c r="G235" s="8" t="s">
        <v>65</v>
      </c>
      <c r="H235" s="8" t="s">
        <v>113</v>
      </c>
      <c r="I235" s="9">
        <v>3</v>
      </c>
      <c r="J235" s="10">
        <v>0</v>
      </c>
      <c r="K235" s="10" t="s">
        <v>1</v>
      </c>
      <c r="L235" s="10" t="s">
        <v>2</v>
      </c>
      <c r="M235" s="10" t="s">
        <v>4</v>
      </c>
      <c r="N235" s="10" t="s">
        <v>6</v>
      </c>
      <c r="O235" s="10" t="s">
        <v>43</v>
      </c>
      <c r="P235" s="10" t="s">
        <v>5</v>
      </c>
    </row>
    <row r="236" spans="1:16" x14ac:dyDescent="0.35">
      <c r="A236" s="14">
        <v>46036</v>
      </c>
      <c r="B236" s="3">
        <v>5</v>
      </c>
      <c r="C236" s="10" t="s">
        <v>1</v>
      </c>
      <c r="D236" s="10" t="s">
        <v>2</v>
      </c>
      <c r="E236" s="10" t="s">
        <v>4</v>
      </c>
      <c r="F236" s="10" t="s">
        <v>6</v>
      </c>
      <c r="G236" s="10" t="s">
        <v>43</v>
      </c>
      <c r="H236" s="10" t="s">
        <v>5</v>
      </c>
      <c r="I236" s="11">
        <v>3</v>
      </c>
      <c r="J236" s="2">
        <v>7</v>
      </c>
      <c r="K236" s="2" t="s">
        <v>81</v>
      </c>
      <c r="L236" s="2" t="s">
        <v>10</v>
      </c>
      <c r="M236" s="2" t="s">
        <v>19</v>
      </c>
      <c r="N236" s="2" t="s">
        <v>18</v>
      </c>
      <c r="O236" s="2" t="s">
        <v>55</v>
      </c>
      <c r="P236" s="2" t="s">
        <v>45</v>
      </c>
    </row>
    <row r="237" spans="1:16" x14ac:dyDescent="0.35">
      <c r="A237" s="14">
        <v>46036</v>
      </c>
      <c r="B237" s="5">
        <v>5</v>
      </c>
      <c r="C237" s="2" t="s">
        <v>81</v>
      </c>
      <c r="D237" s="2" t="s">
        <v>10</v>
      </c>
      <c r="E237" s="2" t="s">
        <v>19</v>
      </c>
      <c r="F237" s="2" t="s">
        <v>18</v>
      </c>
      <c r="G237" s="2" t="s">
        <v>55</v>
      </c>
      <c r="H237" s="2" t="s">
        <v>45</v>
      </c>
      <c r="I237" s="5">
        <v>7</v>
      </c>
      <c r="J237" s="8">
        <v>3</v>
      </c>
      <c r="K237" s="8" t="s">
        <v>9</v>
      </c>
      <c r="L237" s="8" t="s">
        <v>11</v>
      </c>
      <c r="M237" s="8" t="s">
        <v>15</v>
      </c>
      <c r="N237" s="8" t="s">
        <v>83</v>
      </c>
      <c r="O237" s="8" t="s">
        <v>65</v>
      </c>
      <c r="P237" s="8" t="s">
        <v>113</v>
      </c>
    </row>
    <row r="238" spans="1:16" x14ac:dyDescent="0.35">
      <c r="A238" s="14">
        <v>46043</v>
      </c>
      <c r="B238" s="3">
        <v>3</v>
      </c>
      <c r="C238" s="8" t="s">
        <v>15</v>
      </c>
      <c r="D238" s="8" t="s">
        <v>43</v>
      </c>
      <c r="E238" s="8" t="s">
        <v>129</v>
      </c>
      <c r="F238" s="8" t="s">
        <v>80</v>
      </c>
      <c r="G238" s="8" t="s">
        <v>141</v>
      </c>
      <c r="H238" s="8"/>
      <c r="I238" s="9">
        <v>4</v>
      </c>
      <c r="J238" s="10">
        <v>2</v>
      </c>
      <c r="K238" s="10" t="s">
        <v>9</v>
      </c>
      <c r="L238" s="10" t="s">
        <v>18</v>
      </c>
      <c r="M238" s="10" t="s">
        <v>6</v>
      </c>
      <c r="N238" s="10" t="s">
        <v>24</v>
      </c>
      <c r="O238" s="10" t="s">
        <v>10</v>
      </c>
      <c r="P238" s="10"/>
    </row>
    <row r="239" spans="1:16" x14ac:dyDescent="0.35">
      <c r="A239" s="14">
        <v>46043</v>
      </c>
      <c r="B239" s="3">
        <v>5</v>
      </c>
      <c r="C239" s="10" t="s">
        <v>9</v>
      </c>
      <c r="D239" s="10" t="s">
        <v>18</v>
      </c>
      <c r="E239" s="10" t="s">
        <v>6</v>
      </c>
      <c r="F239" s="10" t="s">
        <v>24</v>
      </c>
      <c r="G239" s="10" t="s">
        <v>10</v>
      </c>
      <c r="H239" s="10"/>
      <c r="I239" s="11">
        <v>4</v>
      </c>
      <c r="J239" s="2">
        <v>7</v>
      </c>
      <c r="K239" s="2" t="s">
        <v>5</v>
      </c>
      <c r="L239" s="2" t="s">
        <v>55</v>
      </c>
      <c r="M239" s="2" t="s">
        <v>2</v>
      </c>
      <c r="N239" s="2" t="s">
        <v>45</v>
      </c>
      <c r="O239" s="2" t="s">
        <v>4</v>
      </c>
      <c r="P239" s="2"/>
    </row>
    <row r="240" spans="1:16" x14ac:dyDescent="0.35">
      <c r="A240" s="14">
        <v>46043</v>
      </c>
      <c r="B240" s="5">
        <v>6</v>
      </c>
      <c r="C240" s="2" t="s">
        <v>5</v>
      </c>
      <c r="D240" s="2" t="s">
        <v>55</v>
      </c>
      <c r="E240" s="2" t="s">
        <v>2</v>
      </c>
      <c r="F240" s="2" t="s">
        <v>45</v>
      </c>
      <c r="G240" s="2" t="s">
        <v>4</v>
      </c>
      <c r="H240" s="2"/>
      <c r="I240" s="5">
        <v>6</v>
      </c>
      <c r="J240" s="8">
        <v>3</v>
      </c>
      <c r="K240" s="8" t="s">
        <v>15</v>
      </c>
      <c r="L240" s="8" t="s">
        <v>43</v>
      </c>
      <c r="M240" s="8" t="s">
        <v>129</v>
      </c>
      <c r="N240" s="8" t="s">
        <v>80</v>
      </c>
      <c r="O240" s="8" t="s">
        <v>141</v>
      </c>
      <c r="P240" s="8"/>
    </row>
    <row r="241" spans="1:16" x14ac:dyDescent="0.35">
      <c r="A241" s="14">
        <v>46050</v>
      </c>
      <c r="B241" s="3">
        <v>5</v>
      </c>
      <c r="C241" s="8" t="s">
        <v>1</v>
      </c>
      <c r="D241" s="8" t="s">
        <v>9</v>
      </c>
      <c r="E241" s="8" t="s">
        <v>55</v>
      </c>
      <c r="F241" s="8" t="s">
        <v>24</v>
      </c>
      <c r="G241" s="8" t="s">
        <v>18</v>
      </c>
      <c r="H241" s="8"/>
      <c r="I241" s="9">
        <v>5</v>
      </c>
      <c r="J241" s="10">
        <v>4</v>
      </c>
      <c r="K241" s="10" t="s">
        <v>15</v>
      </c>
      <c r="L241" s="10" t="s">
        <v>10</v>
      </c>
      <c r="M241" s="10" t="s">
        <v>81</v>
      </c>
      <c r="N241" s="10" t="s">
        <v>62</v>
      </c>
      <c r="O241" s="10" t="s">
        <v>4</v>
      </c>
      <c r="P241" s="10"/>
    </row>
    <row r="242" spans="1:16" x14ac:dyDescent="0.35">
      <c r="A242" s="14">
        <v>46050</v>
      </c>
      <c r="B242" s="3">
        <v>4</v>
      </c>
      <c r="C242" s="10" t="s">
        <v>15</v>
      </c>
      <c r="D242" s="10" t="s">
        <v>10</v>
      </c>
      <c r="E242" s="10" t="s">
        <v>81</v>
      </c>
      <c r="F242" s="10" t="s">
        <v>62</v>
      </c>
      <c r="G242" s="10" t="s">
        <v>4</v>
      </c>
      <c r="H242" s="10"/>
      <c r="I242" s="11">
        <v>3</v>
      </c>
      <c r="J242" s="2">
        <v>1</v>
      </c>
      <c r="K242" s="2" t="s">
        <v>5</v>
      </c>
      <c r="L242" s="2" t="s">
        <v>45</v>
      </c>
      <c r="M242" s="2" t="s">
        <v>13</v>
      </c>
      <c r="N242" s="2" t="s">
        <v>19</v>
      </c>
      <c r="O242" s="2" t="s">
        <v>2</v>
      </c>
      <c r="P242" s="2"/>
    </row>
    <row r="243" spans="1:16" x14ac:dyDescent="0.35">
      <c r="A243" s="14">
        <v>46050</v>
      </c>
      <c r="B243" s="5">
        <v>4</v>
      </c>
      <c r="C243" s="2" t="s">
        <v>5</v>
      </c>
      <c r="D243" s="2" t="s">
        <v>45</v>
      </c>
      <c r="E243" s="2" t="s">
        <v>13</v>
      </c>
      <c r="F243" s="2" t="s">
        <v>19</v>
      </c>
      <c r="G243" s="2" t="s">
        <v>2</v>
      </c>
      <c r="H243" s="2"/>
      <c r="I243" s="5">
        <v>3</v>
      </c>
      <c r="J243" s="8">
        <v>8</v>
      </c>
      <c r="K243" s="8" t="s">
        <v>1</v>
      </c>
      <c r="L243" s="8" t="s">
        <v>9</v>
      </c>
      <c r="M243" s="8" t="s">
        <v>55</v>
      </c>
      <c r="N243" s="8" t="s">
        <v>24</v>
      </c>
      <c r="O243" s="8" t="s">
        <v>18</v>
      </c>
      <c r="P243" s="8"/>
    </row>
    <row r="244" spans="1:16" x14ac:dyDescent="0.35">
      <c r="A244" s="14">
        <v>46057</v>
      </c>
      <c r="B244" s="3">
        <v>6</v>
      </c>
      <c r="C244" s="8" t="s">
        <v>15</v>
      </c>
      <c r="D244" s="8" t="s">
        <v>80</v>
      </c>
      <c r="E244" s="8" t="s">
        <v>9</v>
      </c>
      <c r="F244" s="8" t="s">
        <v>10</v>
      </c>
      <c r="G244" s="8" t="s">
        <v>2</v>
      </c>
      <c r="H244" s="8"/>
      <c r="I244" s="9">
        <v>4</v>
      </c>
      <c r="J244" s="10">
        <v>9</v>
      </c>
      <c r="K244" s="10" t="s">
        <v>55</v>
      </c>
      <c r="L244" s="10" t="s">
        <v>5</v>
      </c>
      <c r="M244" s="10" t="s">
        <v>81</v>
      </c>
      <c r="N244" s="10" t="s">
        <v>43</v>
      </c>
      <c r="O244" s="10" t="s">
        <v>138</v>
      </c>
      <c r="P244" s="10"/>
    </row>
    <row r="245" spans="1:16" x14ac:dyDescent="0.35">
      <c r="A245" s="14">
        <v>46057</v>
      </c>
      <c r="B245" s="3">
        <v>5</v>
      </c>
      <c r="C245" s="10" t="s">
        <v>55</v>
      </c>
      <c r="D245" s="10" t="s">
        <v>5</v>
      </c>
      <c r="E245" s="10" t="s">
        <v>81</v>
      </c>
      <c r="F245" s="10" t="s">
        <v>43</v>
      </c>
      <c r="G245" s="10" t="s">
        <v>138</v>
      </c>
      <c r="H245" s="10"/>
      <c r="I245" s="11">
        <v>7</v>
      </c>
      <c r="J245" s="2">
        <v>4</v>
      </c>
      <c r="K245" s="2" t="s">
        <v>1</v>
      </c>
      <c r="L245" s="2" t="s">
        <v>4</v>
      </c>
      <c r="M245" s="2" t="s">
        <v>129</v>
      </c>
      <c r="N245" s="2" t="s">
        <v>119</v>
      </c>
      <c r="O245" s="2" t="s">
        <v>51</v>
      </c>
      <c r="P245" s="2"/>
    </row>
    <row r="246" spans="1:16" x14ac:dyDescent="0.35">
      <c r="A246" s="14">
        <v>46057</v>
      </c>
      <c r="B246" s="5">
        <v>2</v>
      </c>
      <c r="C246" s="2" t="s">
        <v>1</v>
      </c>
      <c r="D246" s="2" t="s">
        <v>4</v>
      </c>
      <c r="E246" s="2" t="s">
        <v>129</v>
      </c>
      <c r="F246" s="2" t="s">
        <v>119</v>
      </c>
      <c r="G246" s="2" t="s">
        <v>51</v>
      </c>
      <c r="H246" s="2"/>
      <c r="I246" s="5">
        <v>1</v>
      </c>
      <c r="J246" s="8">
        <v>4</v>
      </c>
      <c r="K246" s="8" t="s">
        <v>15</v>
      </c>
      <c r="L246" s="8" t="s">
        <v>80</v>
      </c>
      <c r="M246" s="8" t="s">
        <v>9</v>
      </c>
      <c r="N246" s="8" t="s">
        <v>10</v>
      </c>
      <c r="O246" s="8" t="s">
        <v>2</v>
      </c>
      <c r="P246" s="8"/>
    </row>
    <row r="247" spans="1:16" x14ac:dyDescent="0.35">
      <c r="A247" s="14">
        <v>46064</v>
      </c>
      <c r="B247" s="3">
        <v>3</v>
      </c>
      <c r="C247" s="8" t="s">
        <v>4</v>
      </c>
      <c r="D247" s="8" t="s">
        <v>55</v>
      </c>
      <c r="E247" s="8" t="s">
        <v>47</v>
      </c>
      <c r="F247" s="8" t="s">
        <v>80</v>
      </c>
      <c r="G247" s="8" t="s">
        <v>81</v>
      </c>
      <c r="H247" s="8" t="s">
        <v>45</v>
      </c>
      <c r="I247" s="9">
        <v>0</v>
      </c>
      <c r="J247" s="10">
        <v>4</v>
      </c>
      <c r="K247" s="10" t="s">
        <v>5</v>
      </c>
      <c r="L247" s="10" t="s">
        <v>15</v>
      </c>
      <c r="M247" s="10" t="s">
        <v>43</v>
      </c>
      <c r="N247" s="10" t="s">
        <v>139</v>
      </c>
      <c r="O247" s="10" t="s">
        <v>141</v>
      </c>
      <c r="P247" s="10" t="s">
        <v>140</v>
      </c>
    </row>
    <row r="248" spans="1:16" x14ac:dyDescent="0.35">
      <c r="A248" s="14">
        <v>46064</v>
      </c>
      <c r="B248" s="3">
        <v>4</v>
      </c>
      <c r="C248" s="10" t="s">
        <v>5</v>
      </c>
      <c r="D248" s="10" t="s">
        <v>15</v>
      </c>
      <c r="E248" s="10" t="s">
        <v>43</v>
      </c>
      <c r="F248" s="10" t="s">
        <v>139</v>
      </c>
      <c r="G248" s="10" t="s">
        <v>141</v>
      </c>
      <c r="H248" s="10" t="s">
        <v>140</v>
      </c>
      <c r="I248" s="11">
        <v>6</v>
      </c>
      <c r="J248" s="2">
        <v>3</v>
      </c>
      <c r="K248" s="2" t="s">
        <v>1</v>
      </c>
      <c r="L248" s="2" t="s">
        <v>18</v>
      </c>
      <c r="M248" s="2" t="s">
        <v>10</v>
      </c>
      <c r="N248" s="2" t="s">
        <v>129</v>
      </c>
      <c r="O248" s="2" t="s">
        <v>23</v>
      </c>
      <c r="P248" s="2" t="s">
        <v>138</v>
      </c>
    </row>
    <row r="249" spans="1:16" x14ac:dyDescent="0.35">
      <c r="A249" s="14">
        <v>46064</v>
      </c>
      <c r="B249" s="5">
        <v>2</v>
      </c>
      <c r="C249" s="2" t="s">
        <v>1</v>
      </c>
      <c r="D249" s="2" t="s">
        <v>18</v>
      </c>
      <c r="E249" s="2" t="s">
        <v>10</v>
      </c>
      <c r="F249" s="2" t="s">
        <v>129</v>
      </c>
      <c r="G249" s="2" t="s">
        <v>23</v>
      </c>
      <c r="H249" s="2" t="s">
        <v>138</v>
      </c>
      <c r="I249" s="5">
        <v>2</v>
      </c>
      <c r="J249" s="8">
        <v>1</v>
      </c>
      <c r="K249" s="8" t="s">
        <v>4</v>
      </c>
      <c r="L249" s="8" t="s">
        <v>55</v>
      </c>
      <c r="M249" s="8" t="s">
        <v>47</v>
      </c>
      <c r="N249" s="8" t="s">
        <v>80</v>
      </c>
      <c r="O249" s="8" t="s">
        <v>81</v>
      </c>
      <c r="P249" s="8" t="s">
        <v>45</v>
      </c>
    </row>
    <row r="250" spans="1:16" x14ac:dyDescent="0.35">
      <c r="A250" s="14">
        <v>46071</v>
      </c>
      <c r="B250" s="3">
        <v>2</v>
      </c>
      <c r="C250" s="8" t="s">
        <v>14</v>
      </c>
      <c r="D250" s="8" t="s">
        <v>9</v>
      </c>
      <c r="E250" s="8" t="s">
        <v>65</v>
      </c>
      <c r="F250" s="8" t="s">
        <v>4</v>
      </c>
      <c r="G250" s="8" t="s">
        <v>43</v>
      </c>
      <c r="H250" s="8" t="s">
        <v>142</v>
      </c>
      <c r="I250" s="9">
        <v>4</v>
      </c>
      <c r="J250" s="10">
        <v>0</v>
      </c>
      <c r="K250" s="10" t="s">
        <v>55</v>
      </c>
      <c r="L250" s="10" t="s">
        <v>118</v>
      </c>
      <c r="M250" s="10" t="s">
        <v>80</v>
      </c>
      <c r="N250" s="10" t="s">
        <v>47</v>
      </c>
      <c r="O250" s="10" t="s">
        <v>62</v>
      </c>
      <c r="P250" s="10" t="s">
        <v>19</v>
      </c>
    </row>
    <row r="251" spans="1:16" x14ac:dyDescent="0.35">
      <c r="A251" s="14">
        <v>46071</v>
      </c>
      <c r="B251" s="3">
        <v>4</v>
      </c>
      <c r="C251" s="10" t="s">
        <v>55</v>
      </c>
      <c r="D251" s="10" t="s">
        <v>118</v>
      </c>
      <c r="E251" s="10" t="s">
        <v>80</v>
      </c>
      <c r="F251" s="10" t="s">
        <v>47</v>
      </c>
      <c r="G251" s="10" t="s">
        <v>62</v>
      </c>
      <c r="H251" s="10" t="s">
        <v>19</v>
      </c>
      <c r="I251" s="11">
        <v>4</v>
      </c>
      <c r="J251" s="2">
        <v>3</v>
      </c>
      <c r="K251" s="2" t="s">
        <v>1</v>
      </c>
      <c r="L251" s="2" t="s">
        <v>10</v>
      </c>
      <c r="M251" s="2" t="s">
        <v>5</v>
      </c>
      <c r="N251" s="2" t="s">
        <v>18</v>
      </c>
      <c r="O251" s="2" t="s">
        <v>45</v>
      </c>
      <c r="P251" s="2" t="s">
        <v>99</v>
      </c>
    </row>
    <row r="252" spans="1:16" x14ac:dyDescent="0.35">
      <c r="A252" s="14">
        <v>46071</v>
      </c>
      <c r="B252" s="5">
        <v>4</v>
      </c>
      <c r="C252" s="2" t="s">
        <v>1</v>
      </c>
      <c r="D252" s="2" t="s">
        <v>10</v>
      </c>
      <c r="E252" s="2" t="s">
        <v>5</v>
      </c>
      <c r="F252" s="2" t="s">
        <v>18</v>
      </c>
      <c r="G252" s="2" t="s">
        <v>45</v>
      </c>
      <c r="H252" s="2" t="s">
        <v>99</v>
      </c>
      <c r="I252" s="5">
        <v>3</v>
      </c>
      <c r="J252" s="8">
        <v>1</v>
      </c>
      <c r="K252" s="8" t="s">
        <v>14</v>
      </c>
      <c r="L252" s="8" t="s">
        <v>9</v>
      </c>
      <c r="M252" s="8" t="s">
        <v>65</v>
      </c>
      <c r="N252" s="8" t="s">
        <v>4</v>
      </c>
      <c r="O252" s="8" t="s">
        <v>43</v>
      </c>
      <c r="P252" s="8" t="s">
        <v>142</v>
      </c>
    </row>
    <row r="253" spans="1:16" x14ac:dyDescent="0.35">
      <c r="A253" s="14">
        <v>46078</v>
      </c>
      <c r="B253" s="3">
        <v>3</v>
      </c>
      <c r="C253" s="8" t="s">
        <v>10</v>
      </c>
      <c r="D253" s="8" t="s">
        <v>55</v>
      </c>
      <c r="E253" s="8" t="s">
        <v>14</v>
      </c>
      <c r="F253" s="8" t="s">
        <v>5</v>
      </c>
      <c r="G253" s="8" t="s">
        <v>83</v>
      </c>
      <c r="H253" s="8" t="s">
        <v>99</v>
      </c>
      <c r="I253" s="9">
        <v>2</v>
      </c>
      <c r="J253" s="10">
        <v>2</v>
      </c>
      <c r="K253" s="10" t="s">
        <v>1</v>
      </c>
      <c r="L253" s="10" t="s">
        <v>138</v>
      </c>
      <c r="M253" s="10" t="s">
        <v>18</v>
      </c>
      <c r="N253" s="10" t="s">
        <v>118</v>
      </c>
      <c r="O253" s="10" t="s">
        <v>45</v>
      </c>
      <c r="P253" s="10" t="s">
        <v>47</v>
      </c>
    </row>
    <row r="254" spans="1:16" x14ac:dyDescent="0.35">
      <c r="A254" s="14">
        <v>46078</v>
      </c>
      <c r="B254" s="3">
        <v>4</v>
      </c>
      <c r="C254" s="10" t="s">
        <v>1</v>
      </c>
      <c r="D254" s="10" t="s">
        <v>138</v>
      </c>
      <c r="E254" s="10" t="s">
        <v>18</v>
      </c>
      <c r="F254" s="10" t="s">
        <v>118</v>
      </c>
      <c r="G254" s="10" t="s">
        <v>45</v>
      </c>
      <c r="H254" s="10" t="s">
        <v>47</v>
      </c>
      <c r="I254" s="11">
        <v>3</v>
      </c>
      <c r="J254" s="2">
        <v>3</v>
      </c>
      <c r="K254" s="2" t="s">
        <v>9</v>
      </c>
      <c r="L254" s="2" t="s">
        <v>80</v>
      </c>
      <c r="M254" s="2" t="s">
        <v>81</v>
      </c>
      <c r="N254" s="2" t="s">
        <v>43</v>
      </c>
      <c r="O254" s="31" t="s">
        <v>2</v>
      </c>
      <c r="P254" s="2" t="s">
        <v>97</v>
      </c>
    </row>
    <row r="255" spans="1:16" x14ac:dyDescent="0.35">
      <c r="A255" s="14">
        <v>46078</v>
      </c>
      <c r="B255" s="5">
        <v>3</v>
      </c>
      <c r="C255" s="2" t="s">
        <v>9</v>
      </c>
      <c r="D255" s="2" t="s">
        <v>80</v>
      </c>
      <c r="E255" s="2" t="s">
        <v>81</v>
      </c>
      <c r="F255" s="2" t="s">
        <v>43</v>
      </c>
      <c r="G255" s="31" t="s">
        <v>2</v>
      </c>
      <c r="H255" s="2" t="s">
        <v>97</v>
      </c>
      <c r="I255" s="5">
        <v>1</v>
      </c>
      <c r="J255" s="8">
        <v>4</v>
      </c>
      <c r="K255" s="8" t="s">
        <v>10</v>
      </c>
      <c r="L255" s="8" t="s">
        <v>55</v>
      </c>
      <c r="M255" s="8" t="s">
        <v>14</v>
      </c>
      <c r="N255" s="8" t="s">
        <v>5</v>
      </c>
      <c r="O255" s="8" t="s">
        <v>83</v>
      </c>
      <c r="P255" s="8" t="s">
        <v>99</v>
      </c>
    </row>
    <row r="256" spans="1:16" x14ac:dyDescent="0.35">
      <c r="A256" s="14">
        <v>46085</v>
      </c>
      <c r="B256" s="3">
        <v>4</v>
      </c>
      <c r="C256" s="8" t="s">
        <v>1</v>
      </c>
      <c r="D256" s="8" t="s">
        <v>81</v>
      </c>
      <c r="E256" s="8" t="s">
        <v>83</v>
      </c>
      <c r="F256" s="8" t="s">
        <v>18</v>
      </c>
      <c r="G256" s="8" t="s">
        <v>99</v>
      </c>
      <c r="H256" s="8" t="s">
        <v>170</v>
      </c>
      <c r="I256" s="9">
        <v>6</v>
      </c>
      <c r="J256" s="10">
        <v>2</v>
      </c>
      <c r="K256" s="10" t="s">
        <v>9</v>
      </c>
      <c r="L256" s="10" t="s">
        <v>55</v>
      </c>
      <c r="M256" s="10" t="s">
        <v>10</v>
      </c>
      <c r="N256" s="10" t="s">
        <v>11</v>
      </c>
      <c r="O256" s="10" t="s">
        <v>43</v>
      </c>
      <c r="P256" s="10" t="s">
        <v>54</v>
      </c>
    </row>
    <row r="257" spans="1:16" x14ac:dyDescent="0.35">
      <c r="A257" s="14">
        <v>46085</v>
      </c>
      <c r="B257" s="3">
        <v>4</v>
      </c>
      <c r="C257" s="10" t="s">
        <v>9</v>
      </c>
      <c r="D257" s="10" t="s">
        <v>55</v>
      </c>
      <c r="E257" s="10" t="s">
        <v>10</v>
      </c>
      <c r="F257" s="10" t="s">
        <v>11</v>
      </c>
      <c r="G257" s="10" t="s">
        <v>43</v>
      </c>
      <c r="H257" s="10" t="s">
        <v>54</v>
      </c>
      <c r="I257" s="11">
        <v>6</v>
      </c>
      <c r="J257" s="2">
        <v>3</v>
      </c>
      <c r="K257" s="2" t="s">
        <v>14</v>
      </c>
      <c r="L257" s="2" t="s">
        <v>5</v>
      </c>
      <c r="M257" s="2" t="s">
        <v>80</v>
      </c>
      <c r="N257" s="2" t="s">
        <v>129</v>
      </c>
      <c r="O257" s="31" t="s">
        <v>2</v>
      </c>
      <c r="P257" s="2" t="s">
        <v>47</v>
      </c>
    </row>
    <row r="258" spans="1:16" x14ac:dyDescent="0.35">
      <c r="A258" s="14">
        <v>46085</v>
      </c>
      <c r="B258" s="5">
        <v>5</v>
      </c>
      <c r="C258" s="2" t="s">
        <v>14</v>
      </c>
      <c r="D258" s="2" t="s">
        <v>5</v>
      </c>
      <c r="E258" s="2" t="s">
        <v>80</v>
      </c>
      <c r="F258" s="2" t="s">
        <v>129</v>
      </c>
      <c r="G258" s="31" t="s">
        <v>2</v>
      </c>
      <c r="H258" s="2" t="s">
        <v>47</v>
      </c>
      <c r="I258" s="5">
        <v>7</v>
      </c>
      <c r="J258" s="8">
        <v>2</v>
      </c>
      <c r="K258" s="8" t="s">
        <v>1</v>
      </c>
      <c r="L258" s="8" t="s">
        <v>81</v>
      </c>
      <c r="M258" s="8" t="s">
        <v>83</v>
      </c>
      <c r="N258" s="8" t="s">
        <v>18</v>
      </c>
      <c r="O258" s="8" t="s">
        <v>99</v>
      </c>
      <c r="P258" s="8" t="s">
        <v>170</v>
      </c>
    </row>
    <row r="259" spans="1:16" x14ac:dyDescent="0.35">
      <c r="A259" s="14">
        <v>46092</v>
      </c>
      <c r="B259" s="3">
        <v>4</v>
      </c>
      <c r="C259" s="8" t="s">
        <v>9</v>
      </c>
      <c r="D259" s="8" t="s">
        <v>80</v>
      </c>
      <c r="E259" s="8" t="s">
        <v>115</v>
      </c>
      <c r="F259" s="8" t="s">
        <v>95</v>
      </c>
      <c r="G259" s="8" t="s">
        <v>62</v>
      </c>
      <c r="H259" s="8" t="s">
        <v>47</v>
      </c>
      <c r="I259" s="9">
        <v>6</v>
      </c>
      <c r="J259" s="10">
        <v>2</v>
      </c>
      <c r="K259" s="10" t="s">
        <v>5</v>
      </c>
      <c r="L259" s="10" t="s">
        <v>21</v>
      </c>
      <c r="M259" s="10" t="s">
        <v>99</v>
      </c>
      <c r="N259" s="10" t="s">
        <v>43</v>
      </c>
      <c r="O259" s="10" t="s">
        <v>15</v>
      </c>
      <c r="P259" s="10" t="s">
        <v>18</v>
      </c>
    </row>
    <row r="260" spans="1:16" x14ac:dyDescent="0.35">
      <c r="A260" s="14">
        <v>46092</v>
      </c>
      <c r="B260" s="3">
        <v>3</v>
      </c>
      <c r="C260" s="10" t="s">
        <v>5</v>
      </c>
      <c r="D260" s="10" t="s">
        <v>21</v>
      </c>
      <c r="E260" s="10" t="s">
        <v>99</v>
      </c>
      <c r="F260" s="10" t="s">
        <v>43</v>
      </c>
      <c r="G260" s="10" t="s">
        <v>15</v>
      </c>
      <c r="H260" s="10" t="s">
        <v>18</v>
      </c>
      <c r="I260" s="11">
        <v>5</v>
      </c>
      <c r="J260" s="2">
        <v>2</v>
      </c>
      <c r="K260" s="2" t="s">
        <v>1</v>
      </c>
      <c r="L260" s="2" t="s">
        <v>14</v>
      </c>
      <c r="M260" s="2" t="s">
        <v>55</v>
      </c>
      <c r="N260" s="2" t="s">
        <v>81</v>
      </c>
      <c r="O260" s="31" t="s">
        <v>170</v>
      </c>
      <c r="P260" s="2" t="s">
        <v>2</v>
      </c>
    </row>
    <row r="261" spans="1:16" x14ac:dyDescent="0.35">
      <c r="A261" s="14">
        <v>46092</v>
      </c>
      <c r="B261" s="5">
        <v>4</v>
      </c>
      <c r="C261" s="2" t="s">
        <v>1</v>
      </c>
      <c r="D261" s="2" t="s">
        <v>14</v>
      </c>
      <c r="E261" s="2" t="s">
        <v>55</v>
      </c>
      <c r="F261" s="2" t="s">
        <v>81</v>
      </c>
      <c r="G261" s="31" t="s">
        <v>170</v>
      </c>
      <c r="H261" s="2" t="s">
        <v>2</v>
      </c>
      <c r="I261" s="5">
        <v>3</v>
      </c>
      <c r="J261" s="8">
        <v>2</v>
      </c>
      <c r="K261" s="8" t="s">
        <v>9</v>
      </c>
      <c r="L261" s="8" t="s">
        <v>80</v>
      </c>
      <c r="M261" s="8" t="s">
        <v>115</v>
      </c>
      <c r="N261" s="8" t="s">
        <v>95</v>
      </c>
      <c r="O261" s="8" t="s">
        <v>62</v>
      </c>
      <c r="P261" s="8" t="s">
        <v>47</v>
      </c>
    </row>
    <row r="262" spans="1:16" x14ac:dyDescent="0.35">
      <c r="A262" s="14">
        <v>46099</v>
      </c>
      <c r="B262" s="3">
        <v>3</v>
      </c>
      <c r="C262" s="8" t="s">
        <v>10</v>
      </c>
      <c r="D262" s="8" t="s">
        <v>45</v>
      </c>
      <c r="E262" s="8" t="s">
        <v>80</v>
      </c>
      <c r="F262" s="8" t="s">
        <v>115</v>
      </c>
      <c r="G262" s="8" t="s">
        <v>47</v>
      </c>
      <c r="H262" s="8" t="s">
        <v>99</v>
      </c>
      <c r="I262" s="9">
        <v>1</v>
      </c>
      <c r="J262" s="10">
        <v>6</v>
      </c>
      <c r="K262" s="10" t="s">
        <v>18</v>
      </c>
      <c r="L262" s="10" t="s">
        <v>170</v>
      </c>
      <c r="M262" s="10" t="s">
        <v>14</v>
      </c>
      <c r="N262" s="10" t="s">
        <v>59</v>
      </c>
      <c r="O262" s="10" t="s">
        <v>21</v>
      </c>
      <c r="P262" s="10"/>
    </row>
    <row r="263" spans="1:16" x14ac:dyDescent="0.35">
      <c r="A263" s="14">
        <v>46099</v>
      </c>
      <c r="B263" s="3">
        <v>4</v>
      </c>
      <c r="C263" s="10" t="s">
        <v>18</v>
      </c>
      <c r="D263" s="10" t="s">
        <v>170</v>
      </c>
      <c r="E263" s="10" t="s">
        <v>14</v>
      </c>
      <c r="F263" s="10" t="s">
        <v>59</v>
      </c>
      <c r="G263" s="10" t="s">
        <v>21</v>
      </c>
      <c r="H263" s="10"/>
      <c r="I263" s="11">
        <v>3</v>
      </c>
      <c r="J263" s="2">
        <v>4</v>
      </c>
      <c r="K263" s="2" t="s">
        <v>1</v>
      </c>
      <c r="L263" s="2" t="s">
        <v>15</v>
      </c>
      <c r="M263" s="2" t="s">
        <v>2</v>
      </c>
      <c r="N263" s="2" t="s">
        <v>11</v>
      </c>
      <c r="O263" s="31" t="s">
        <v>129</v>
      </c>
      <c r="P263" s="2"/>
    </row>
    <row r="264" spans="1:16" x14ac:dyDescent="0.35">
      <c r="A264" s="14">
        <v>46099</v>
      </c>
      <c r="B264" s="5">
        <v>4</v>
      </c>
      <c r="C264" s="2" t="s">
        <v>1</v>
      </c>
      <c r="D264" s="2" t="s">
        <v>15</v>
      </c>
      <c r="E264" s="2" t="s">
        <v>2</v>
      </c>
      <c r="F264" s="2" t="s">
        <v>11</v>
      </c>
      <c r="G264" s="31" t="s">
        <v>129</v>
      </c>
      <c r="H264" s="2"/>
      <c r="I264" s="5">
        <v>4</v>
      </c>
      <c r="J264" s="8">
        <v>4</v>
      </c>
      <c r="K264" s="8" t="s">
        <v>10</v>
      </c>
      <c r="L264" s="8" t="s">
        <v>45</v>
      </c>
      <c r="M264" s="8" t="s">
        <v>80</v>
      </c>
      <c r="N264" s="8" t="s">
        <v>115</v>
      </c>
      <c r="O264" s="8" t="s">
        <v>47</v>
      </c>
      <c r="P264" s="8" t="s">
        <v>99</v>
      </c>
    </row>
    <row r="265" spans="1:16" x14ac:dyDescent="0.35">
      <c r="A265" s="1">
        <v>46106</v>
      </c>
      <c r="B265" s="32">
        <v>4</v>
      </c>
      <c r="C265" s="8" t="s">
        <v>10</v>
      </c>
      <c r="D265" s="8" t="s">
        <v>18</v>
      </c>
      <c r="E265" s="8" t="s">
        <v>81</v>
      </c>
      <c r="F265" s="8" t="s">
        <v>129</v>
      </c>
      <c r="G265" s="8" t="s">
        <v>21</v>
      </c>
      <c r="H265" s="8" t="s">
        <v>83</v>
      </c>
      <c r="I265" s="9">
        <v>3</v>
      </c>
      <c r="J265" s="10">
        <v>3</v>
      </c>
      <c r="K265" s="10" t="s">
        <v>1</v>
      </c>
      <c r="L265" s="10" t="s">
        <v>14</v>
      </c>
      <c r="M265" s="10" t="s">
        <v>15</v>
      </c>
      <c r="N265" s="10" t="s">
        <v>80</v>
      </c>
      <c r="O265" s="10" t="s">
        <v>11</v>
      </c>
      <c r="P265" s="10" t="s">
        <v>2</v>
      </c>
    </row>
    <row r="266" spans="1:16" x14ac:dyDescent="0.35">
      <c r="A266" s="1">
        <v>46106</v>
      </c>
      <c r="B266" s="32">
        <v>4</v>
      </c>
      <c r="C266" s="10" t="s">
        <v>1</v>
      </c>
      <c r="D266" s="10" t="s">
        <v>14</v>
      </c>
      <c r="E266" s="10" t="s">
        <v>15</v>
      </c>
      <c r="F266" s="10" t="s">
        <v>80</v>
      </c>
      <c r="G266" s="10" t="s">
        <v>11</v>
      </c>
      <c r="H266" s="10" t="s">
        <v>2</v>
      </c>
      <c r="I266" s="11">
        <v>5</v>
      </c>
      <c r="J266" s="2">
        <v>1</v>
      </c>
      <c r="K266" s="2" t="s">
        <v>65</v>
      </c>
      <c r="L266" s="2" t="s">
        <v>47</v>
      </c>
      <c r="M266" s="2" t="s">
        <v>115</v>
      </c>
      <c r="N266" s="2" t="s">
        <v>118</v>
      </c>
      <c r="O266" s="31" t="s">
        <v>55</v>
      </c>
      <c r="P266" s="2" t="s">
        <v>127</v>
      </c>
    </row>
    <row r="267" spans="1:16" x14ac:dyDescent="0.35">
      <c r="A267" s="1">
        <v>46106</v>
      </c>
      <c r="B267" s="32">
        <v>3</v>
      </c>
      <c r="C267" s="2" t="s">
        <v>65</v>
      </c>
      <c r="D267" s="2" t="s">
        <v>47</v>
      </c>
      <c r="E267" s="2" t="s">
        <v>115</v>
      </c>
      <c r="F267" s="2" t="s">
        <v>118</v>
      </c>
      <c r="G267" s="31" t="s">
        <v>55</v>
      </c>
      <c r="H267" s="2" t="s">
        <v>127</v>
      </c>
      <c r="I267" s="5">
        <v>6</v>
      </c>
      <c r="J267" s="8">
        <v>2</v>
      </c>
      <c r="K267" s="8" t="s">
        <v>10</v>
      </c>
      <c r="L267" s="8" t="s">
        <v>18</v>
      </c>
      <c r="M267" s="8" t="s">
        <v>81</v>
      </c>
      <c r="N267" s="8" t="s">
        <v>129</v>
      </c>
      <c r="O267" s="8" t="s">
        <v>21</v>
      </c>
      <c r="P267" s="8" t="s">
        <v>83</v>
      </c>
    </row>
    <row r="268" spans="1:16" x14ac:dyDescent="0.35">
      <c r="A268" s="1">
        <v>46113</v>
      </c>
      <c r="B268" s="32">
        <v>3</v>
      </c>
      <c r="C268" s="8" t="s">
        <v>9</v>
      </c>
      <c r="D268" s="8" t="s">
        <v>83</v>
      </c>
      <c r="E268" s="8" t="s">
        <v>55</v>
      </c>
      <c r="F268" s="8" t="s">
        <v>11</v>
      </c>
      <c r="G268" s="8" t="s">
        <v>2</v>
      </c>
      <c r="H268" s="8" t="s">
        <v>151</v>
      </c>
      <c r="I268" s="9">
        <v>3</v>
      </c>
      <c r="J268" s="10">
        <v>3</v>
      </c>
      <c r="K268" s="10" t="s">
        <v>14</v>
      </c>
      <c r="L268" s="10" t="s">
        <v>80</v>
      </c>
      <c r="M268" s="10" t="s">
        <v>129</v>
      </c>
      <c r="N268" s="10" t="s">
        <v>15</v>
      </c>
      <c r="O268" s="10" t="s">
        <v>170</v>
      </c>
      <c r="P268" s="10" t="s">
        <v>127</v>
      </c>
    </row>
    <row r="269" spans="1:16" x14ac:dyDescent="0.35">
      <c r="A269" s="1">
        <v>46113</v>
      </c>
      <c r="B269" s="32">
        <v>4</v>
      </c>
      <c r="C269" s="10" t="s">
        <v>14</v>
      </c>
      <c r="D269" s="10" t="s">
        <v>80</v>
      </c>
      <c r="E269" s="10" t="s">
        <v>129</v>
      </c>
      <c r="F269" s="10" t="s">
        <v>15</v>
      </c>
      <c r="G269" s="10" t="s">
        <v>170</v>
      </c>
      <c r="H269" s="10" t="s">
        <v>127</v>
      </c>
      <c r="I269" s="11">
        <v>2</v>
      </c>
      <c r="J269" s="2">
        <v>4</v>
      </c>
      <c r="K269" s="2" t="s">
        <v>1</v>
      </c>
      <c r="L269" s="2" t="s">
        <v>10</v>
      </c>
      <c r="M269" s="2" t="s">
        <v>21</v>
      </c>
      <c r="N269" s="2" t="s">
        <v>81</v>
      </c>
      <c r="O269" s="31" t="s">
        <v>97</v>
      </c>
      <c r="P269" s="2" t="s">
        <v>99</v>
      </c>
    </row>
    <row r="270" spans="1:16" x14ac:dyDescent="0.35">
      <c r="A270" s="1">
        <v>46113</v>
      </c>
      <c r="B270" s="32">
        <v>4</v>
      </c>
      <c r="C270" s="2" t="s">
        <v>1</v>
      </c>
      <c r="D270" s="2" t="s">
        <v>10</v>
      </c>
      <c r="E270" s="2" t="s">
        <v>21</v>
      </c>
      <c r="F270" s="2" t="s">
        <v>81</v>
      </c>
      <c r="G270" s="31" t="s">
        <v>97</v>
      </c>
      <c r="H270" s="2" t="s">
        <v>99</v>
      </c>
      <c r="I270" s="5">
        <v>6</v>
      </c>
      <c r="J270" s="8">
        <v>6</v>
      </c>
      <c r="K270" s="8" t="s">
        <v>9</v>
      </c>
      <c r="L270" s="8" t="s">
        <v>83</v>
      </c>
      <c r="M270" s="8" t="s">
        <v>55</v>
      </c>
      <c r="N270" s="8" t="s">
        <v>11</v>
      </c>
      <c r="O270" s="8" t="s">
        <v>2</v>
      </c>
      <c r="P270" s="8" t="s">
        <v>151</v>
      </c>
    </row>
    <row r="271" spans="1:16" x14ac:dyDescent="0.35">
      <c r="A271" s="1">
        <v>46120</v>
      </c>
      <c r="B271" s="32">
        <v>5</v>
      </c>
      <c r="C271" s="8" t="s">
        <v>1</v>
      </c>
      <c r="D271" s="8" t="s">
        <v>2</v>
      </c>
      <c r="E271" s="8" t="s">
        <v>10</v>
      </c>
      <c r="F271" s="8" t="s">
        <v>144</v>
      </c>
      <c r="G271" s="8" t="s">
        <v>151</v>
      </c>
      <c r="H271" s="8"/>
      <c r="I271" s="9">
        <v>4</v>
      </c>
      <c r="J271" s="10">
        <v>5</v>
      </c>
      <c r="K271" s="10" t="s">
        <v>9</v>
      </c>
      <c r="L271" s="10" t="s">
        <v>80</v>
      </c>
      <c r="M271" s="10" t="s">
        <v>62</v>
      </c>
      <c r="N271" s="10" t="s">
        <v>129</v>
      </c>
      <c r="O271" s="10" t="s">
        <v>118</v>
      </c>
      <c r="P271" s="10"/>
    </row>
    <row r="272" spans="1:16" x14ac:dyDescent="0.35">
      <c r="A272" s="1">
        <v>46120</v>
      </c>
      <c r="B272" s="32">
        <v>5</v>
      </c>
      <c r="C272" s="10" t="s">
        <v>9</v>
      </c>
      <c r="D272" s="10" t="s">
        <v>80</v>
      </c>
      <c r="E272" s="10" t="s">
        <v>62</v>
      </c>
      <c r="F272" s="10" t="s">
        <v>129</v>
      </c>
      <c r="G272" s="10" t="s">
        <v>118</v>
      </c>
      <c r="H272" s="10"/>
      <c r="I272" s="11">
        <v>6</v>
      </c>
      <c r="J272" s="2">
        <v>8</v>
      </c>
      <c r="K272" s="2" t="s">
        <v>11</v>
      </c>
      <c r="L272" s="2" t="s">
        <v>14</v>
      </c>
      <c r="M272" s="2" t="s">
        <v>55</v>
      </c>
      <c r="N272" s="2" t="s">
        <v>143</v>
      </c>
      <c r="O272" s="31" t="s">
        <v>148</v>
      </c>
      <c r="P272" s="2"/>
    </row>
    <row r="273" spans="1:16" x14ac:dyDescent="0.35">
      <c r="A273" s="1">
        <v>46120</v>
      </c>
      <c r="B273" s="32">
        <v>4</v>
      </c>
      <c r="C273" s="2" t="s">
        <v>11</v>
      </c>
      <c r="D273" s="2" t="s">
        <v>14</v>
      </c>
      <c r="E273" s="2" t="s">
        <v>55</v>
      </c>
      <c r="F273" s="2" t="s">
        <v>143</v>
      </c>
      <c r="G273" s="31" t="s">
        <v>148</v>
      </c>
      <c r="H273" s="2"/>
      <c r="I273" s="5">
        <v>3</v>
      </c>
      <c r="J273" s="8">
        <v>6</v>
      </c>
      <c r="K273" s="8" t="s">
        <v>1</v>
      </c>
      <c r="L273" s="8" t="s">
        <v>2</v>
      </c>
      <c r="M273" s="8" t="s">
        <v>10</v>
      </c>
      <c r="N273" s="8" t="s">
        <v>144</v>
      </c>
      <c r="O273" s="8" t="s">
        <v>151</v>
      </c>
      <c r="P273" s="8"/>
    </row>
    <row r="274" spans="1:16" x14ac:dyDescent="0.35">
      <c r="A274" s="1">
        <v>46127</v>
      </c>
      <c r="B274" s="32">
        <v>4</v>
      </c>
      <c r="C274" s="8" t="s">
        <v>10</v>
      </c>
      <c r="D274" s="8" t="s">
        <v>129</v>
      </c>
      <c r="E274" s="8" t="s">
        <v>11</v>
      </c>
      <c r="F274" s="8" t="s">
        <v>80</v>
      </c>
      <c r="G274" s="8" t="s">
        <v>170</v>
      </c>
      <c r="H274" s="8" t="s">
        <v>145</v>
      </c>
      <c r="I274" s="9">
        <v>4</v>
      </c>
      <c r="J274" s="10">
        <v>5</v>
      </c>
      <c r="K274" s="10" t="s">
        <v>1</v>
      </c>
      <c r="L274" s="10" t="s">
        <v>15</v>
      </c>
      <c r="M274" s="10" t="s">
        <v>14</v>
      </c>
      <c r="N274" s="10" t="s">
        <v>18</v>
      </c>
      <c r="O274" s="10" t="s">
        <v>21</v>
      </c>
      <c r="P274" s="10" t="s">
        <v>2</v>
      </c>
    </row>
    <row r="275" spans="1:16" x14ac:dyDescent="0.35">
      <c r="A275" s="1">
        <v>46127</v>
      </c>
      <c r="B275" s="32">
        <v>7</v>
      </c>
      <c r="C275" s="10" t="s">
        <v>1</v>
      </c>
      <c r="D275" s="10" t="s">
        <v>15</v>
      </c>
      <c r="E275" s="10" t="s">
        <v>14</v>
      </c>
      <c r="F275" s="10" t="s">
        <v>18</v>
      </c>
      <c r="G275" s="10" t="s">
        <v>21</v>
      </c>
      <c r="H275" s="10" t="s">
        <v>2</v>
      </c>
      <c r="I275" s="11">
        <v>9</v>
      </c>
      <c r="J275" s="2">
        <v>5</v>
      </c>
      <c r="K275" s="2" t="s">
        <v>55</v>
      </c>
      <c r="L275" s="2" t="s">
        <v>81</v>
      </c>
      <c r="M275" s="2" t="s">
        <v>151</v>
      </c>
      <c r="N275" s="2" t="s">
        <v>127</v>
      </c>
      <c r="O275" s="31" t="s">
        <v>143</v>
      </c>
      <c r="P275" s="2" t="s">
        <v>148</v>
      </c>
    </row>
    <row r="276" spans="1:16" x14ac:dyDescent="0.35">
      <c r="A276" s="1">
        <v>46127</v>
      </c>
      <c r="B276" s="32">
        <v>4</v>
      </c>
      <c r="C276" s="2" t="s">
        <v>55</v>
      </c>
      <c r="D276" s="2" t="s">
        <v>81</v>
      </c>
      <c r="E276" s="2" t="s">
        <v>151</v>
      </c>
      <c r="F276" s="2" t="s">
        <v>127</v>
      </c>
      <c r="G276" s="31" t="s">
        <v>143</v>
      </c>
      <c r="H276" s="2" t="s">
        <v>148</v>
      </c>
      <c r="I276" s="5">
        <v>7</v>
      </c>
      <c r="J276" s="8">
        <v>4</v>
      </c>
      <c r="K276" s="8" t="s">
        <v>10</v>
      </c>
      <c r="L276" s="8" t="s">
        <v>129</v>
      </c>
      <c r="M276" s="8" t="s">
        <v>11</v>
      </c>
      <c r="N276" s="8" t="s">
        <v>80</v>
      </c>
      <c r="O276" s="8" t="s">
        <v>170</v>
      </c>
      <c r="P276" s="8" t="s">
        <v>145</v>
      </c>
    </row>
    <row r="277" spans="1:16" x14ac:dyDescent="0.35">
      <c r="A277" s="1">
        <v>46134</v>
      </c>
      <c r="B277" s="32">
        <v>3</v>
      </c>
      <c r="C277" s="8" t="s">
        <v>1</v>
      </c>
      <c r="D277" s="8" t="s">
        <v>15</v>
      </c>
      <c r="E277" s="8" t="s">
        <v>9</v>
      </c>
      <c r="F277" s="8" t="s">
        <v>80</v>
      </c>
      <c r="G277" s="8" t="s">
        <v>11</v>
      </c>
      <c r="H277" s="8" t="s">
        <v>170</v>
      </c>
      <c r="I277" s="9">
        <v>3</v>
      </c>
      <c r="J277" s="10">
        <v>3</v>
      </c>
      <c r="K277" s="10" t="s">
        <v>14</v>
      </c>
      <c r="L277" s="10" t="s">
        <v>10</v>
      </c>
      <c r="M277" s="10" t="s">
        <v>2</v>
      </c>
      <c r="N277" s="10" t="s">
        <v>5</v>
      </c>
      <c r="O277" s="10" t="s">
        <v>151</v>
      </c>
      <c r="P277" s="10" t="s">
        <v>65</v>
      </c>
    </row>
    <row r="278" spans="1:16" x14ac:dyDescent="0.35">
      <c r="A278" s="1">
        <v>46134</v>
      </c>
      <c r="B278" s="32">
        <v>4</v>
      </c>
      <c r="C278" s="10" t="s">
        <v>14</v>
      </c>
      <c r="D278" s="10" t="s">
        <v>10</v>
      </c>
      <c r="E278" s="10" t="s">
        <v>2</v>
      </c>
      <c r="F278" s="10" t="s">
        <v>5</v>
      </c>
      <c r="G278" s="10" t="s">
        <v>151</v>
      </c>
      <c r="H278" s="10" t="s">
        <v>65</v>
      </c>
      <c r="I278" s="11">
        <v>3</v>
      </c>
      <c r="J278" s="2">
        <v>5</v>
      </c>
      <c r="K278" s="2" t="s">
        <v>55</v>
      </c>
      <c r="L278" s="2" t="s">
        <v>81</v>
      </c>
      <c r="M278" s="2" t="s">
        <v>18</v>
      </c>
      <c r="N278" s="2" t="s">
        <v>118</v>
      </c>
      <c r="O278" s="31" t="s">
        <v>83</v>
      </c>
      <c r="P278" s="2" t="s">
        <v>19</v>
      </c>
    </row>
    <row r="279" spans="1:16" x14ac:dyDescent="0.35">
      <c r="A279" s="1">
        <v>46134</v>
      </c>
      <c r="B279" s="32">
        <v>4</v>
      </c>
      <c r="C279" s="2" t="s">
        <v>55</v>
      </c>
      <c r="D279" s="2" t="s">
        <v>81</v>
      </c>
      <c r="E279" s="2" t="s">
        <v>18</v>
      </c>
      <c r="F279" s="2" t="s">
        <v>118</v>
      </c>
      <c r="G279" s="31" t="s">
        <v>83</v>
      </c>
      <c r="H279" s="2" t="s">
        <v>19</v>
      </c>
      <c r="I279" s="5">
        <v>3</v>
      </c>
      <c r="J279" s="8">
        <v>2</v>
      </c>
      <c r="K279" s="8" t="s">
        <v>1</v>
      </c>
      <c r="L279" s="8" t="s">
        <v>15</v>
      </c>
      <c r="M279" s="8" t="s">
        <v>9</v>
      </c>
      <c r="N279" s="8" t="s">
        <v>80</v>
      </c>
      <c r="O279" s="8" t="s">
        <v>11</v>
      </c>
      <c r="P279" s="8" t="s">
        <v>170</v>
      </c>
    </row>
    <row r="280" spans="1:16" x14ac:dyDescent="0.35">
      <c r="A280" s="1">
        <v>46141</v>
      </c>
      <c r="B280" s="32">
        <v>5</v>
      </c>
      <c r="C280" s="8" t="s">
        <v>1</v>
      </c>
      <c r="D280" s="8" t="s">
        <v>80</v>
      </c>
      <c r="E280" s="8" t="s">
        <v>10</v>
      </c>
      <c r="F280" s="8" t="s">
        <v>52</v>
      </c>
      <c r="G280" s="8" t="s">
        <v>55</v>
      </c>
      <c r="H280" s="8" t="s">
        <v>151</v>
      </c>
      <c r="I280" s="9">
        <v>4</v>
      </c>
      <c r="J280" s="10">
        <v>6</v>
      </c>
      <c r="K280" s="10" t="s">
        <v>9</v>
      </c>
      <c r="L280" s="10" t="s">
        <v>118</v>
      </c>
      <c r="M280" s="10" t="s">
        <v>19</v>
      </c>
      <c r="N280" s="10" t="s">
        <v>45</v>
      </c>
      <c r="O280" s="10" t="s">
        <v>15</v>
      </c>
      <c r="P280" s="10" t="s">
        <v>143</v>
      </c>
    </row>
    <row r="281" spans="1:16" x14ac:dyDescent="0.35">
      <c r="A281" s="1">
        <v>46141</v>
      </c>
      <c r="B281" s="32">
        <v>3</v>
      </c>
      <c r="C281" s="10" t="s">
        <v>9</v>
      </c>
      <c r="D281" s="10" t="s">
        <v>118</v>
      </c>
      <c r="E281" s="10" t="s">
        <v>19</v>
      </c>
      <c r="F281" s="10" t="s">
        <v>45</v>
      </c>
      <c r="G281" s="10" t="s">
        <v>15</v>
      </c>
      <c r="H281" s="10" t="s">
        <v>143</v>
      </c>
      <c r="I281" s="11">
        <v>3</v>
      </c>
      <c r="J281" s="2">
        <v>2</v>
      </c>
      <c r="K281" s="2" t="s">
        <v>14</v>
      </c>
      <c r="L281" s="2" t="s">
        <v>18</v>
      </c>
      <c r="M281" s="2" t="s">
        <v>81</v>
      </c>
      <c r="N281" s="31" t="s">
        <v>127</v>
      </c>
      <c r="O281" s="31" t="s">
        <v>141</v>
      </c>
      <c r="P281" s="2" t="s">
        <v>148</v>
      </c>
    </row>
    <row r="282" spans="1:16" x14ac:dyDescent="0.35">
      <c r="A282" s="1">
        <v>46141</v>
      </c>
      <c r="B282" s="32">
        <v>4</v>
      </c>
      <c r="C282" s="2" t="s">
        <v>14</v>
      </c>
      <c r="D282" s="2" t="s">
        <v>18</v>
      </c>
      <c r="E282" s="2" t="s">
        <v>81</v>
      </c>
      <c r="F282" s="31" t="s">
        <v>127</v>
      </c>
      <c r="G282" s="31" t="s">
        <v>141</v>
      </c>
      <c r="H282" s="2" t="s">
        <v>148</v>
      </c>
      <c r="I282" s="5">
        <v>6</v>
      </c>
      <c r="J282" s="8">
        <v>6</v>
      </c>
      <c r="K282" s="8" t="s">
        <v>1</v>
      </c>
      <c r="L282" s="8" t="s">
        <v>80</v>
      </c>
      <c r="M282" s="8" t="s">
        <v>10</v>
      </c>
      <c r="N282" s="8" t="s">
        <v>52</v>
      </c>
      <c r="O282" s="8" t="s">
        <v>55</v>
      </c>
      <c r="P282" s="8" t="s">
        <v>151</v>
      </c>
    </row>
    <row r="283" spans="1:16" x14ac:dyDescent="0.35">
      <c r="A283" s="1">
        <v>46148</v>
      </c>
      <c r="B283" s="32">
        <v>4</v>
      </c>
      <c r="C283" s="8" t="s">
        <v>14</v>
      </c>
      <c r="D283" s="8" t="s">
        <v>81</v>
      </c>
      <c r="E283" s="8" t="s">
        <v>83</v>
      </c>
      <c r="F283" s="8" t="s">
        <v>118</v>
      </c>
      <c r="G283" s="8" t="s">
        <v>151</v>
      </c>
      <c r="H283" s="8"/>
      <c r="I283" s="9">
        <v>3</v>
      </c>
      <c r="J283" s="10">
        <v>2</v>
      </c>
      <c r="K283" s="10" t="s">
        <v>55</v>
      </c>
      <c r="L283" s="10" t="s">
        <v>47</v>
      </c>
      <c r="M283" s="10" t="s">
        <v>18</v>
      </c>
      <c r="N283" s="10" t="s">
        <v>143</v>
      </c>
      <c r="O283" s="10" t="s">
        <v>141</v>
      </c>
      <c r="P283" s="10"/>
    </row>
    <row r="284" spans="1:16" x14ac:dyDescent="0.35">
      <c r="A284" s="1">
        <v>46148</v>
      </c>
      <c r="B284" s="32">
        <v>3</v>
      </c>
      <c r="C284" s="10" t="s">
        <v>55</v>
      </c>
      <c r="D284" s="10" t="s">
        <v>47</v>
      </c>
      <c r="E284" s="10" t="s">
        <v>18</v>
      </c>
      <c r="F284" s="10" t="s">
        <v>143</v>
      </c>
      <c r="G284" s="10" t="s">
        <v>141</v>
      </c>
      <c r="H284" s="10"/>
      <c r="I284" s="11">
        <v>5</v>
      </c>
      <c r="J284" s="2">
        <v>0</v>
      </c>
      <c r="K284" s="2" t="s">
        <v>1</v>
      </c>
      <c r="L284" s="2" t="s">
        <v>80</v>
      </c>
      <c r="M284" s="2" t="s">
        <v>45</v>
      </c>
      <c r="N284" s="31" t="s">
        <v>15</v>
      </c>
      <c r="O284" s="31" t="s">
        <v>127</v>
      </c>
      <c r="P284" s="2"/>
    </row>
    <row r="285" spans="1:16" x14ac:dyDescent="0.35">
      <c r="A285" s="1">
        <v>46148</v>
      </c>
      <c r="B285" s="32">
        <v>3</v>
      </c>
      <c r="C285" s="2" t="s">
        <v>1</v>
      </c>
      <c r="D285" s="2" t="s">
        <v>80</v>
      </c>
      <c r="E285" s="2" t="s">
        <v>45</v>
      </c>
      <c r="F285" s="31" t="s">
        <v>15</v>
      </c>
      <c r="G285" s="31" t="s">
        <v>127</v>
      </c>
      <c r="H285" s="2"/>
      <c r="I285" s="5">
        <v>3</v>
      </c>
      <c r="J285" s="8">
        <v>2</v>
      </c>
      <c r="K285" s="8" t="s">
        <v>14</v>
      </c>
      <c r="L285" s="8" t="s">
        <v>81</v>
      </c>
      <c r="M285" s="8" t="s">
        <v>83</v>
      </c>
      <c r="N285" s="8" t="s">
        <v>118</v>
      </c>
      <c r="O285" s="8" t="s">
        <v>151</v>
      </c>
      <c r="P285" s="8"/>
    </row>
    <row r="286" spans="1:16" x14ac:dyDescent="0.35">
      <c r="A286" s="1">
        <v>46155</v>
      </c>
      <c r="B286" s="32">
        <v>4</v>
      </c>
      <c r="C286" s="8" t="s">
        <v>9</v>
      </c>
      <c r="D286" s="8" t="s">
        <v>55</v>
      </c>
      <c r="E286" s="8" t="s">
        <v>83</v>
      </c>
      <c r="F286" s="8" t="s">
        <v>127</v>
      </c>
      <c r="G286" s="8" t="s">
        <v>97</v>
      </c>
      <c r="H286" s="8" t="s">
        <v>141</v>
      </c>
      <c r="I286" s="9">
        <v>4</v>
      </c>
      <c r="J286" s="10">
        <v>2</v>
      </c>
      <c r="K286" s="10" t="s">
        <v>1</v>
      </c>
      <c r="L286" s="10" t="s">
        <v>45</v>
      </c>
      <c r="M286" s="10" t="s">
        <v>18</v>
      </c>
      <c r="N286" s="10" t="s">
        <v>118</v>
      </c>
      <c r="O286" s="10" t="s">
        <v>62</v>
      </c>
      <c r="P286" s="10" t="s">
        <v>143</v>
      </c>
    </row>
    <row r="287" spans="1:16" x14ac:dyDescent="0.35">
      <c r="A287" s="1">
        <v>46155</v>
      </c>
      <c r="B287" s="32">
        <v>3</v>
      </c>
      <c r="C287" s="10" t="s">
        <v>1</v>
      </c>
      <c r="D287" s="10" t="s">
        <v>45</v>
      </c>
      <c r="E287" s="10" t="s">
        <v>18</v>
      </c>
      <c r="F287" s="10" t="s">
        <v>118</v>
      </c>
      <c r="G287" s="10" t="s">
        <v>62</v>
      </c>
      <c r="H287" s="10" t="s">
        <v>143</v>
      </c>
      <c r="I287" s="11">
        <v>5</v>
      </c>
      <c r="J287" s="2">
        <v>6</v>
      </c>
      <c r="K287" s="2" t="s">
        <v>81</v>
      </c>
      <c r="L287" s="2" t="s">
        <v>14</v>
      </c>
      <c r="M287" s="2" t="s">
        <v>65</v>
      </c>
      <c r="N287" s="31" t="s">
        <v>12</v>
      </c>
      <c r="O287" s="31" t="s">
        <v>170</v>
      </c>
      <c r="P287" s="2" t="s">
        <v>146</v>
      </c>
    </row>
    <row r="288" spans="1:16" x14ac:dyDescent="0.35">
      <c r="A288" s="1">
        <v>46155</v>
      </c>
      <c r="B288" s="32">
        <v>4</v>
      </c>
      <c r="C288" s="2" t="s">
        <v>81</v>
      </c>
      <c r="D288" s="2" t="s">
        <v>14</v>
      </c>
      <c r="E288" s="2" t="s">
        <v>65</v>
      </c>
      <c r="F288" s="31" t="s">
        <v>12</v>
      </c>
      <c r="G288" s="31" t="s">
        <v>170</v>
      </c>
      <c r="H288" s="2" t="s">
        <v>146</v>
      </c>
      <c r="I288" s="5">
        <v>4</v>
      </c>
      <c r="J288" s="8">
        <v>4</v>
      </c>
      <c r="K288" s="8" t="s">
        <v>9</v>
      </c>
      <c r="L288" s="8" t="s">
        <v>55</v>
      </c>
      <c r="M288" s="8" t="s">
        <v>83</v>
      </c>
      <c r="N288" s="8" t="s">
        <v>127</v>
      </c>
      <c r="O288" s="8" t="s">
        <v>97</v>
      </c>
      <c r="P288" s="8" t="s">
        <v>141</v>
      </c>
    </row>
    <row r="289" spans="1:16" x14ac:dyDescent="0.35">
      <c r="A289" s="1">
        <v>46162</v>
      </c>
      <c r="B289" s="32">
        <v>5</v>
      </c>
      <c r="C289" s="8" t="s">
        <v>1</v>
      </c>
      <c r="D289" s="8" t="s">
        <v>55</v>
      </c>
      <c r="E289" s="8" t="s">
        <v>18</v>
      </c>
      <c r="F289" s="8" t="s">
        <v>45</v>
      </c>
      <c r="G289" s="8" t="s">
        <v>148</v>
      </c>
      <c r="H289" s="8"/>
      <c r="I289" s="9">
        <v>5</v>
      </c>
      <c r="J289" s="10">
        <v>4</v>
      </c>
      <c r="K289" s="10" t="s">
        <v>9</v>
      </c>
      <c r="L289" s="10" t="s">
        <v>65</v>
      </c>
      <c r="M289" s="10" t="s">
        <v>147</v>
      </c>
      <c r="N289" s="10" t="s">
        <v>143</v>
      </c>
      <c r="O289" s="10" t="s">
        <v>51</v>
      </c>
      <c r="P289" s="10"/>
    </row>
    <row r="290" spans="1:16" x14ac:dyDescent="0.35">
      <c r="A290" s="1">
        <v>46162</v>
      </c>
      <c r="B290" s="32">
        <v>4</v>
      </c>
      <c r="C290" s="10" t="s">
        <v>9</v>
      </c>
      <c r="D290" s="10" t="s">
        <v>65</v>
      </c>
      <c r="E290" s="10" t="s">
        <v>147</v>
      </c>
      <c r="F290" s="10" t="s">
        <v>143</v>
      </c>
      <c r="G290" s="10" t="s">
        <v>51</v>
      </c>
      <c r="H290" s="10"/>
      <c r="I290" s="11">
        <v>5</v>
      </c>
      <c r="J290" s="2">
        <v>6</v>
      </c>
      <c r="K290" s="2" t="s">
        <v>10</v>
      </c>
      <c r="L290" s="2" t="s">
        <v>14</v>
      </c>
      <c r="M290" s="2" t="s">
        <v>2</v>
      </c>
      <c r="N290" s="31" t="s">
        <v>21</v>
      </c>
      <c r="O290" s="31"/>
      <c r="P290" s="2"/>
    </row>
    <row r="291" spans="1:16" x14ac:dyDescent="0.35">
      <c r="A291" s="1">
        <v>46162</v>
      </c>
      <c r="B291" s="32">
        <v>6</v>
      </c>
      <c r="C291" s="2" t="s">
        <v>10</v>
      </c>
      <c r="D291" s="2" t="s">
        <v>14</v>
      </c>
      <c r="E291" s="2" t="s">
        <v>2</v>
      </c>
      <c r="F291" s="31" t="s">
        <v>21</v>
      </c>
      <c r="G291" s="31"/>
      <c r="H291" s="2"/>
      <c r="I291" s="5">
        <v>8</v>
      </c>
      <c r="J291" s="8">
        <v>7</v>
      </c>
      <c r="K291" s="8" t="s">
        <v>1</v>
      </c>
      <c r="L291" s="8" t="s">
        <v>55</v>
      </c>
      <c r="M291" s="8" t="s">
        <v>18</v>
      </c>
      <c r="N291" s="8" t="s">
        <v>45</v>
      </c>
      <c r="O291" s="8" t="s">
        <v>148</v>
      </c>
      <c r="P291" s="8"/>
    </row>
    <row r="292" spans="1:16" x14ac:dyDescent="0.35">
      <c r="A292" s="1">
        <v>46169</v>
      </c>
      <c r="B292" s="32">
        <v>5</v>
      </c>
      <c r="C292" s="8" t="s">
        <v>1</v>
      </c>
      <c r="D292" s="8" t="s">
        <v>10</v>
      </c>
      <c r="E292" s="8" t="s">
        <v>81</v>
      </c>
      <c r="F292" s="8" t="s">
        <v>2</v>
      </c>
      <c r="G292" s="8" t="s">
        <v>45</v>
      </c>
      <c r="H292" s="8"/>
      <c r="I292" s="9">
        <v>3</v>
      </c>
      <c r="J292" s="10">
        <v>7</v>
      </c>
      <c r="K292" s="10" t="s">
        <v>18</v>
      </c>
      <c r="L292" s="10" t="s">
        <v>55</v>
      </c>
      <c r="M292" s="10" t="s">
        <v>62</v>
      </c>
      <c r="N292" s="10" t="s">
        <v>21</v>
      </c>
      <c r="O292" s="10" t="s">
        <v>148</v>
      </c>
      <c r="P292" s="10"/>
    </row>
    <row r="293" spans="1:16" x14ac:dyDescent="0.35">
      <c r="A293" s="1">
        <v>46169</v>
      </c>
      <c r="B293" s="32">
        <v>4</v>
      </c>
      <c r="C293" s="10" t="s">
        <v>18</v>
      </c>
      <c r="D293" s="10" t="s">
        <v>55</v>
      </c>
      <c r="E293" s="10" t="s">
        <v>62</v>
      </c>
      <c r="F293" s="10" t="s">
        <v>21</v>
      </c>
      <c r="G293" s="10" t="s">
        <v>148</v>
      </c>
      <c r="H293" s="10"/>
      <c r="I293" s="11">
        <v>5</v>
      </c>
      <c r="J293" s="2">
        <v>2</v>
      </c>
      <c r="K293" s="2" t="s">
        <v>13</v>
      </c>
      <c r="L293" s="2" t="s">
        <v>83</v>
      </c>
      <c r="M293" s="2" t="s">
        <v>19</v>
      </c>
      <c r="N293" s="31" t="s">
        <v>170</v>
      </c>
      <c r="O293" s="31" t="s">
        <v>151</v>
      </c>
      <c r="P293" s="2"/>
    </row>
    <row r="294" spans="1:16" x14ac:dyDescent="0.35">
      <c r="A294" s="1">
        <v>46169</v>
      </c>
      <c r="B294" s="32">
        <v>2</v>
      </c>
      <c r="C294" s="2" t="s">
        <v>13</v>
      </c>
      <c r="D294" s="2" t="s">
        <v>83</v>
      </c>
      <c r="E294" s="2" t="s">
        <v>19</v>
      </c>
      <c r="F294" s="31" t="s">
        <v>170</v>
      </c>
      <c r="G294" s="31" t="s">
        <v>151</v>
      </c>
      <c r="H294" s="2"/>
      <c r="I294" s="5">
        <v>1</v>
      </c>
      <c r="J294" s="8">
        <v>1</v>
      </c>
      <c r="K294" s="8" t="s">
        <v>1</v>
      </c>
      <c r="L294" s="8" t="s">
        <v>10</v>
      </c>
      <c r="M294" s="8" t="s">
        <v>81</v>
      </c>
      <c r="N294" s="8" t="s">
        <v>2</v>
      </c>
      <c r="O294" s="8" t="s">
        <v>45</v>
      </c>
      <c r="P294" s="8"/>
    </row>
    <row r="295" spans="1:16" x14ac:dyDescent="0.35">
      <c r="A295" s="1">
        <v>46176</v>
      </c>
      <c r="B295" s="32">
        <v>1</v>
      </c>
      <c r="C295" s="8" t="s">
        <v>1</v>
      </c>
      <c r="D295" s="8" t="s">
        <v>10</v>
      </c>
      <c r="E295" s="8" t="s">
        <v>11</v>
      </c>
      <c r="F295" s="8" t="s">
        <v>9</v>
      </c>
      <c r="G295" s="8" t="s">
        <v>151</v>
      </c>
      <c r="H295" s="8" t="s">
        <v>45</v>
      </c>
      <c r="I295" s="9">
        <v>0</v>
      </c>
      <c r="J295" s="10">
        <v>0</v>
      </c>
      <c r="K295" s="10" t="s">
        <v>15</v>
      </c>
      <c r="L295" s="10" t="s">
        <v>2</v>
      </c>
      <c r="M295" s="10" t="s">
        <v>81</v>
      </c>
      <c r="N295" s="10" t="s">
        <v>83</v>
      </c>
      <c r="O295" s="10" t="s">
        <v>170</v>
      </c>
      <c r="P295" s="10" t="s">
        <v>127</v>
      </c>
    </row>
    <row r="296" spans="1:16" x14ac:dyDescent="0.35">
      <c r="A296" s="1">
        <v>46183</v>
      </c>
      <c r="B296" s="32">
        <v>2</v>
      </c>
      <c r="C296" s="8" t="s">
        <v>9</v>
      </c>
      <c r="D296" s="8" t="s">
        <v>45</v>
      </c>
      <c r="E296" s="8" t="s">
        <v>2</v>
      </c>
      <c r="F296" s="8" t="s">
        <v>18</v>
      </c>
      <c r="G296" s="8" t="s">
        <v>151</v>
      </c>
      <c r="H296" s="8" t="s">
        <v>127</v>
      </c>
      <c r="I296" s="9">
        <v>1</v>
      </c>
      <c r="J296" s="10">
        <v>1</v>
      </c>
      <c r="K296" s="10" t="s">
        <v>10</v>
      </c>
      <c r="L296" s="10" t="s">
        <v>55</v>
      </c>
      <c r="M296" s="10" t="s">
        <v>81</v>
      </c>
      <c r="N296" s="10" t="s">
        <v>170</v>
      </c>
      <c r="O296" s="10" t="s">
        <v>53</v>
      </c>
      <c r="P296" s="10" t="s">
        <v>143</v>
      </c>
    </row>
    <row r="297" spans="1:16" x14ac:dyDescent="0.35">
      <c r="A297" s="1">
        <v>46183</v>
      </c>
      <c r="B297" s="32">
        <v>4</v>
      </c>
      <c r="C297" s="10" t="s">
        <v>10</v>
      </c>
      <c r="D297" s="10" t="s">
        <v>55</v>
      </c>
      <c r="E297" s="10" t="s">
        <v>81</v>
      </c>
      <c r="F297" s="10" t="s">
        <v>170</v>
      </c>
      <c r="G297" s="10" t="s">
        <v>53</v>
      </c>
      <c r="H297" s="10" t="s">
        <v>143</v>
      </c>
      <c r="I297" s="11">
        <v>1</v>
      </c>
      <c r="J297" s="2">
        <v>5</v>
      </c>
      <c r="K297" s="2" t="s">
        <v>1</v>
      </c>
      <c r="L297" s="2" t="s">
        <v>43</v>
      </c>
      <c r="M297" s="2" t="s">
        <v>5</v>
      </c>
      <c r="N297" s="31" t="s">
        <v>21</v>
      </c>
      <c r="O297" s="31" t="s">
        <v>83</v>
      </c>
      <c r="P297" s="2" t="s">
        <v>149</v>
      </c>
    </row>
    <row r="298" spans="1:16" x14ac:dyDescent="0.35">
      <c r="A298" s="1">
        <v>46183</v>
      </c>
      <c r="B298" s="32">
        <v>5</v>
      </c>
      <c r="C298" s="2" t="s">
        <v>1</v>
      </c>
      <c r="D298" s="2" t="s">
        <v>43</v>
      </c>
      <c r="E298" s="2" t="s">
        <v>5</v>
      </c>
      <c r="F298" s="31" t="s">
        <v>21</v>
      </c>
      <c r="G298" s="31" t="s">
        <v>83</v>
      </c>
      <c r="H298" s="2" t="s">
        <v>149</v>
      </c>
      <c r="I298" s="5">
        <v>5</v>
      </c>
      <c r="J298" s="8">
        <v>4</v>
      </c>
      <c r="K298" s="8"/>
      <c r="L298" s="8"/>
      <c r="M298" s="8"/>
      <c r="N298" s="8"/>
      <c r="O298" s="8"/>
      <c r="P298" s="8"/>
    </row>
    <row r="299" spans="1:16" x14ac:dyDescent="0.35">
      <c r="A299" s="1">
        <v>46190</v>
      </c>
      <c r="B299" s="32">
        <v>6</v>
      </c>
      <c r="C299" s="8" t="s">
        <v>83</v>
      </c>
      <c r="D299" s="8" t="s">
        <v>9</v>
      </c>
      <c r="E299" s="8" t="s">
        <v>81</v>
      </c>
      <c r="F299" s="8" t="s">
        <v>43</v>
      </c>
      <c r="G299" s="8" t="s">
        <v>2</v>
      </c>
      <c r="H299" s="8" t="s">
        <v>149</v>
      </c>
      <c r="I299" s="9">
        <v>6</v>
      </c>
      <c r="J299" s="10">
        <v>5</v>
      </c>
      <c r="K299" s="10" t="s">
        <v>5</v>
      </c>
      <c r="L299" s="10" t="s">
        <v>10</v>
      </c>
      <c r="M299" s="10" t="s">
        <v>15</v>
      </c>
      <c r="N299" s="10" t="s">
        <v>45</v>
      </c>
      <c r="O299" s="10" t="s">
        <v>55</v>
      </c>
      <c r="P299" s="10" t="s">
        <v>11</v>
      </c>
    </row>
    <row r="300" spans="1:16" x14ac:dyDescent="0.35">
      <c r="A300" s="1">
        <v>46190</v>
      </c>
      <c r="B300" s="32">
        <v>3</v>
      </c>
      <c r="C300" s="10" t="s">
        <v>5</v>
      </c>
      <c r="D300" s="10" t="s">
        <v>10</v>
      </c>
      <c r="E300" s="10" t="s">
        <v>15</v>
      </c>
      <c r="F300" s="10" t="s">
        <v>45</v>
      </c>
      <c r="G300" s="10" t="s">
        <v>55</v>
      </c>
      <c r="H300" s="10" t="s">
        <v>11</v>
      </c>
      <c r="I300" s="11">
        <v>3</v>
      </c>
      <c r="J300" s="2">
        <v>0</v>
      </c>
      <c r="K300" s="2" t="s">
        <v>1</v>
      </c>
      <c r="L300" s="2" t="s">
        <v>127</v>
      </c>
      <c r="M300" s="2" t="s">
        <v>21</v>
      </c>
      <c r="N300" s="31" t="s">
        <v>18</v>
      </c>
      <c r="O300" s="31" t="s">
        <v>151</v>
      </c>
      <c r="P300" s="2" t="s">
        <v>67</v>
      </c>
    </row>
    <row r="301" spans="1:16" x14ac:dyDescent="0.35">
      <c r="A301" s="1">
        <v>46190</v>
      </c>
      <c r="B301" s="32">
        <v>5</v>
      </c>
      <c r="C301" s="2" t="s">
        <v>1</v>
      </c>
      <c r="D301" s="2" t="s">
        <v>127</v>
      </c>
      <c r="E301" s="2" t="s">
        <v>21</v>
      </c>
      <c r="F301" s="31" t="s">
        <v>18</v>
      </c>
      <c r="G301" s="31" t="s">
        <v>151</v>
      </c>
      <c r="H301" s="2" t="s">
        <v>67</v>
      </c>
      <c r="I301" s="5">
        <v>3</v>
      </c>
      <c r="J301" s="8">
        <v>4</v>
      </c>
      <c r="K301" s="8" t="s">
        <v>83</v>
      </c>
      <c r="L301" s="8" t="s">
        <v>9</v>
      </c>
      <c r="M301" s="8" t="s">
        <v>81</v>
      </c>
      <c r="N301" s="8" t="s">
        <v>43</v>
      </c>
      <c r="O301" s="8" t="s">
        <v>2</v>
      </c>
      <c r="P301" s="8" t="s">
        <v>149</v>
      </c>
    </row>
    <row r="302" spans="1:16" x14ac:dyDescent="0.35">
      <c r="A302" s="1">
        <v>46204</v>
      </c>
      <c r="B302" s="32">
        <v>4</v>
      </c>
      <c r="C302" s="8" t="s">
        <v>9</v>
      </c>
      <c r="D302" s="8" t="s">
        <v>55</v>
      </c>
      <c r="E302" s="8" t="s">
        <v>10</v>
      </c>
      <c r="F302" s="8" t="s">
        <v>18</v>
      </c>
      <c r="G302" s="8" t="s">
        <v>83</v>
      </c>
      <c r="H302" s="8" t="s">
        <v>151</v>
      </c>
      <c r="I302" s="9">
        <v>4</v>
      </c>
      <c r="J302" s="10">
        <v>6</v>
      </c>
      <c r="K302" s="10" t="s">
        <v>43</v>
      </c>
      <c r="L302" s="10" t="s">
        <v>127</v>
      </c>
      <c r="M302" s="10" t="s">
        <v>81</v>
      </c>
      <c r="N302" s="10" t="s">
        <v>2</v>
      </c>
      <c r="O302" s="10" t="s">
        <v>12</v>
      </c>
      <c r="P302" s="10" t="s">
        <v>146</v>
      </c>
    </row>
    <row r="303" spans="1:16" x14ac:dyDescent="0.35">
      <c r="A303" s="1">
        <v>46204</v>
      </c>
      <c r="B303" s="32">
        <v>7</v>
      </c>
      <c r="C303" s="10" t="s">
        <v>43</v>
      </c>
      <c r="D303" s="10" t="s">
        <v>127</v>
      </c>
      <c r="E303" s="10" t="s">
        <v>81</v>
      </c>
      <c r="F303" s="10" t="s">
        <v>2</v>
      </c>
      <c r="G303" s="10" t="s">
        <v>12</v>
      </c>
      <c r="H303" s="10" t="s">
        <v>146</v>
      </c>
      <c r="I303" s="11">
        <v>6</v>
      </c>
      <c r="J303" s="2">
        <v>10</v>
      </c>
      <c r="K303" s="2" t="s">
        <v>1</v>
      </c>
      <c r="L303" s="2" t="s">
        <v>15</v>
      </c>
      <c r="M303" s="2" t="s">
        <v>5</v>
      </c>
      <c r="N303" s="31" t="s">
        <v>11</v>
      </c>
      <c r="O303" s="31" t="s">
        <v>67</v>
      </c>
      <c r="P303" s="2" t="s">
        <v>148</v>
      </c>
    </row>
    <row r="304" spans="1:16" x14ac:dyDescent="0.35">
      <c r="A304" s="1">
        <v>46204</v>
      </c>
      <c r="B304" s="32">
        <v>4</v>
      </c>
      <c r="C304" s="2" t="s">
        <v>1</v>
      </c>
      <c r="D304" s="2" t="s">
        <v>15</v>
      </c>
      <c r="E304" s="2" t="s">
        <v>5</v>
      </c>
      <c r="F304" s="31" t="s">
        <v>11</v>
      </c>
      <c r="G304" s="31" t="s">
        <v>67</v>
      </c>
      <c r="H304" s="2" t="s">
        <v>148</v>
      </c>
      <c r="I304" s="5">
        <v>3</v>
      </c>
      <c r="J304" s="8">
        <v>4</v>
      </c>
      <c r="K304" s="8" t="s">
        <v>9</v>
      </c>
      <c r="L304" s="8" t="s">
        <v>55</v>
      </c>
      <c r="M304" s="8" t="s">
        <v>10</v>
      </c>
      <c r="N304" s="8" t="s">
        <v>18</v>
      </c>
      <c r="O304" s="8" t="s">
        <v>83</v>
      </c>
      <c r="P304" s="8" t="s">
        <v>151</v>
      </c>
    </row>
    <row r="305" spans="1:16" x14ac:dyDescent="0.35">
      <c r="A305" s="1">
        <v>46211</v>
      </c>
      <c r="B305" s="32">
        <v>4</v>
      </c>
      <c r="C305" s="8" t="s">
        <v>15</v>
      </c>
      <c r="D305" s="8" t="s">
        <v>5</v>
      </c>
      <c r="E305" s="8" t="s">
        <v>118</v>
      </c>
      <c r="F305" s="8" t="s">
        <v>83</v>
      </c>
      <c r="G305" s="8" t="s">
        <v>18</v>
      </c>
      <c r="H305" s="8" t="s">
        <v>47</v>
      </c>
      <c r="I305" s="9">
        <v>3</v>
      </c>
      <c r="J305" s="10">
        <v>1</v>
      </c>
      <c r="K305" s="10" t="s">
        <v>43</v>
      </c>
      <c r="L305" s="10" t="s">
        <v>151</v>
      </c>
      <c r="M305" s="10" t="s">
        <v>149</v>
      </c>
      <c r="N305" s="10" t="s">
        <v>154</v>
      </c>
      <c r="O305" s="10" t="s">
        <v>153</v>
      </c>
      <c r="P305" s="10" t="s">
        <v>152</v>
      </c>
    </row>
    <row r="306" spans="1:16" x14ac:dyDescent="0.35">
      <c r="A306" s="1">
        <v>46211</v>
      </c>
      <c r="B306" s="32">
        <v>4</v>
      </c>
      <c r="C306" s="10" t="s">
        <v>43</v>
      </c>
      <c r="D306" s="10" t="s">
        <v>151</v>
      </c>
      <c r="E306" s="10" t="s">
        <v>149</v>
      </c>
      <c r="F306" s="10" t="s">
        <v>154</v>
      </c>
      <c r="G306" s="10" t="s">
        <v>153</v>
      </c>
      <c r="H306" s="10" t="s">
        <v>152</v>
      </c>
      <c r="I306" s="11">
        <v>4</v>
      </c>
      <c r="J306" s="2">
        <v>2</v>
      </c>
      <c r="K306" s="2" t="s">
        <v>1</v>
      </c>
      <c r="L306" s="2" t="s">
        <v>55</v>
      </c>
      <c r="M306" s="2" t="s">
        <v>21</v>
      </c>
      <c r="N306" s="31" t="s">
        <v>12</v>
      </c>
      <c r="O306" s="31" t="s">
        <v>127</v>
      </c>
      <c r="P306" s="2" t="s">
        <v>148</v>
      </c>
    </row>
    <row r="307" spans="1:16" x14ac:dyDescent="0.35">
      <c r="A307" s="1">
        <v>46211</v>
      </c>
      <c r="B307" s="32">
        <v>5</v>
      </c>
      <c r="C307" s="2" t="s">
        <v>1</v>
      </c>
      <c r="D307" s="2" t="s">
        <v>55</v>
      </c>
      <c r="E307" s="2" t="s">
        <v>21</v>
      </c>
      <c r="F307" s="31" t="s">
        <v>12</v>
      </c>
      <c r="G307" s="31" t="s">
        <v>127</v>
      </c>
      <c r="H307" s="2" t="s">
        <v>148</v>
      </c>
      <c r="I307" s="5">
        <v>5</v>
      </c>
      <c r="J307" s="8">
        <v>5</v>
      </c>
      <c r="K307" s="8" t="s">
        <v>15</v>
      </c>
      <c r="L307" s="8" t="s">
        <v>5</v>
      </c>
      <c r="M307" s="8" t="s">
        <v>118</v>
      </c>
      <c r="N307" s="8" t="s">
        <v>83</v>
      </c>
      <c r="O307" s="8" t="s">
        <v>18</v>
      </c>
      <c r="P307" s="8" t="s">
        <v>47</v>
      </c>
    </row>
    <row r="308" spans="1:16" x14ac:dyDescent="0.35">
      <c r="A308" s="1">
        <v>46218</v>
      </c>
      <c r="B308" s="32">
        <v>5</v>
      </c>
      <c r="C308" s="8" t="s">
        <v>10</v>
      </c>
      <c r="D308" s="8" t="s">
        <v>18</v>
      </c>
      <c r="E308" s="8" t="s">
        <v>2</v>
      </c>
      <c r="F308" s="8" t="s">
        <v>15</v>
      </c>
      <c r="G308" s="8" t="s">
        <v>170</v>
      </c>
      <c r="H308" s="8" t="s">
        <v>148</v>
      </c>
      <c r="I308" s="9">
        <v>4</v>
      </c>
      <c r="J308" s="10">
        <v>7</v>
      </c>
      <c r="K308" s="10" t="s">
        <v>1</v>
      </c>
      <c r="L308" s="10" t="s">
        <v>9</v>
      </c>
      <c r="M308" s="10" t="s">
        <v>55</v>
      </c>
      <c r="N308" s="10" t="s">
        <v>11</v>
      </c>
      <c r="O308" s="10" t="s">
        <v>149</v>
      </c>
      <c r="P308" s="10" t="s">
        <v>155</v>
      </c>
    </row>
    <row r="309" spans="1:16" x14ac:dyDescent="0.35">
      <c r="A309" s="1">
        <v>46218</v>
      </c>
      <c r="B309" s="32">
        <v>6</v>
      </c>
      <c r="C309" s="10" t="s">
        <v>1</v>
      </c>
      <c r="D309" s="10" t="s">
        <v>9</v>
      </c>
      <c r="E309" s="10" t="s">
        <v>55</v>
      </c>
      <c r="F309" s="10" t="s">
        <v>11</v>
      </c>
      <c r="G309" s="10" t="s">
        <v>149</v>
      </c>
      <c r="H309" s="10" t="s">
        <v>155</v>
      </c>
      <c r="I309" s="11">
        <v>9</v>
      </c>
      <c r="J309" s="2">
        <v>4</v>
      </c>
      <c r="K309" s="2" t="s">
        <v>5</v>
      </c>
      <c r="L309" s="2" t="s">
        <v>43</v>
      </c>
      <c r="M309" s="2" t="s">
        <v>19</v>
      </c>
      <c r="N309" s="31" t="s">
        <v>65</v>
      </c>
      <c r="O309" s="31" t="s">
        <v>151</v>
      </c>
      <c r="P309" s="2" t="s">
        <v>127</v>
      </c>
    </row>
    <row r="310" spans="1:16" x14ac:dyDescent="0.35">
      <c r="A310" s="1">
        <v>46218</v>
      </c>
      <c r="B310" s="32">
        <v>3</v>
      </c>
      <c r="C310" s="2" t="s">
        <v>5</v>
      </c>
      <c r="D310" s="2" t="s">
        <v>43</v>
      </c>
      <c r="E310" s="2" t="s">
        <v>19</v>
      </c>
      <c r="F310" s="31" t="s">
        <v>65</v>
      </c>
      <c r="G310" s="31" t="s">
        <v>151</v>
      </c>
      <c r="H310" s="2" t="s">
        <v>127</v>
      </c>
      <c r="I310" s="5">
        <v>6</v>
      </c>
      <c r="J310" s="8">
        <v>0</v>
      </c>
      <c r="K310" s="8" t="s">
        <v>10</v>
      </c>
      <c r="L310" s="8" t="s">
        <v>18</v>
      </c>
      <c r="M310" s="8" t="s">
        <v>2</v>
      </c>
      <c r="N310" s="8" t="s">
        <v>15</v>
      </c>
      <c r="O310" s="8" t="s">
        <v>170</v>
      </c>
      <c r="P310" s="8" t="s">
        <v>148</v>
      </c>
    </row>
    <row r="311" spans="1:16" x14ac:dyDescent="0.35">
      <c r="A311" s="1">
        <v>46225</v>
      </c>
      <c r="B311" s="32">
        <v>4</v>
      </c>
      <c r="C311" s="8" t="s">
        <v>10</v>
      </c>
      <c r="D311" s="8" t="s">
        <v>4</v>
      </c>
      <c r="E311" s="8" t="s">
        <v>9</v>
      </c>
      <c r="F311" s="8" t="s">
        <v>8</v>
      </c>
      <c r="G311" s="8" t="s">
        <v>149</v>
      </c>
      <c r="H311" s="8"/>
      <c r="I311" s="9">
        <v>2</v>
      </c>
      <c r="J311" s="10">
        <v>5</v>
      </c>
      <c r="K311" s="10" t="s">
        <v>18</v>
      </c>
      <c r="L311" s="10" t="s">
        <v>15</v>
      </c>
      <c r="M311" s="10" t="s">
        <v>55</v>
      </c>
      <c r="N311" s="10" t="s">
        <v>19</v>
      </c>
      <c r="O311" s="10" t="s">
        <v>14</v>
      </c>
      <c r="P311" s="10"/>
    </row>
    <row r="312" spans="1:16" x14ac:dyDescent="0.35">
      <c r="A312" s="1">
        <v>46225</v>
      </c>
      <c r="B312" s="32">
        <v>5</v>
      </c>
      <c r="C312" s="10" t="s">
        <v>18</v>
      </c>
      <c r="D312" s="10" t="s">
        <v>15</v>
      </c>
      <c r="E312" s="10" t="s">
        <v>55</v>
      </c>
      <c r="F312" s="10" t="s">
        <v>19</v>
      </c>
      <c r="G312" s="10" t="s">
        <v>14</v>
      </c>
      <c r="H312" s="10"/>
      <c r="I312" s="11">
        <v>5</v>
      </c>
      <c r="J312" s="2">
        <v>5</v>
      </c>
      <c r="K312" s="2" t="s">
        <v>1</v>
      </c>
      <c r="L312" s="2" t="s">
        <v>65</v>
      </c>
      <c r="M312" s="31" t="s">
        <v>148</v>
      </c>
      <c r="N312" s="31" t="s">
        <v>151</v>
      </c>
      <c r="O312" s="31" t="s">
        <v>165</v>
      </c>
      <c r="P312" s="2"/>
    </row>
    <row r="313" spans="1:16" x14ac:dyDescent="0.35">
      <c r="A313" s="1">
        <v>46225</v>
      </c>
      <c r="B313" s="32">
        <v>4</v>
      </c>
      <c r="C313" s="2" t="s">
        <v>1</v>
      </c>
      <c r="D313" s="2" t="s">
        <v>65</v>
      </c>
      <c r="E313" s="31" t="s">
        <v>148</v>
      </c>
      <c r="F313" s="31" t="s">
        <v>151</v>
      </c>
      <c r="G313" s="31" t="s">
        <v>165</v>
      </c>
      <c r="H313" s="2"/>
      <c r="I313" s="5">
        <v>6</v>
      </c>
      <c r="J313" s="8">
        <v>2</v>
      </c>
      <c r="K313" s="8" t="s">
        <v>10</v>
      </c>
      <c r="L313" s="8" t="s">
        <v>4</v>
      </c>
      <c r="M313" s="8" t="s">
        <v>9</v>
      </c>
      <c r="N313" s="8" t="s">
        <v>8</v>
      </c>
      <c r="O313" s="8" t="s">
        <v>149</v>
      </c>
      <c r="P313" s="8"/>
    </row>
    <row r="314" spans="1:16" x14ac:dyDescent="0.35">
      <c r="A314" s="1">
        <v>46232</v>
      </c>
      <c r="B314" s="32">
        <v>4</v>
      </c>
      <c r="C314" s="8" t="s">
        <v>1</v>
      </c>
      <c r="D314" s="8" t="s">
        <v>15</v>
      </c>
      <c r="E314" s="8" t="s">
        <v>9</v>
      </c>
      <c r="F314" s="8" t="s">
        <v>83</v>
      </c>
      <c r="G314" s="8" t="s">
        <v>55</v>
      </c>
      <c r="H314" s="8"/>
      <c r="I314" s="9">
        <v>6</v>
      </c>
      <c r="J314" s="10">
        <v>3</v>
      </c>
      <c r="K314" s="10" t="s">
        <v>10</v>
      </c>
      <c r="L314" s="10" t="s">
        <v>43</v>
      </c>
      <c r="M314" s="10" t="s">
        <v>5</v>
      </c>
      <c r="N314" s="10" t="s">
        <v>81</v>
      </c>
      <c r="O314" s="10" t="s">
        <v>151</v>
      </c>
      <c r="P314" s="10"/>
    </row>
    <row r="315" spans="1:16" x14ac:dyDescent="0.35">
      <c r="A315" s="1">
        <v>46232</v>
      </c>
      <c r="B315" s="32">
        <v>2</v>
      </c>
      <c r="C315" s="10" t="s">
        <v>10</v>
      </c>
      <c r="D315" s="10" t="s">
        <v>43</v>
      </c>
      <c r="E315" s="10" t="s">
        <v>5</v>
      </c>
      <c r="F315" s="10" t="s">
        <v>81</v>
      </c>
      <c r="G315" s="10" t="s">
        <v>151</v>
      </c>
      <c r="H315" s="10"/>
      <c r="I315" s="11">
        <v>3</v>
      </c>
      <c r="J315" s="2">
        <v>2</v>
      </c>
      <c r="K315" s="2" t="s">
        <v>2</v>
      </c>
      <c r="L315" s="2" t="s">
        <v>18</v>
      </c>
      <c r="M315" s="31" t="s">
        <v>118</v>
      </c>
      <c r="N315" s="31" t="s">
        <v>148</v>
      </c>
      <c r="O315" s="31" t="s">
        <v>127</v>
      </c>
      <c r="P315" s="2"/>
    </row>
    <row r="316" spans="1:16" x14ac:dyDescent="0.35">
      <c r="A316" s="1">
        <v>46232</v>
      </c>
      <c r="B316" s="32">
        <v>4</v>
      </c>
      <c r="C316" s="2" t="s">
        <v>2</v>
      </c>
      <c r="D316" s="2" t="s">
        <v>18</v>
      </c>
      <c r="E316" s="31" t="s">
        <v>118</v>
      </c>
      <c r="F316" s="31" t="s">
        <v>148</v>
      </c>
      <c r="G316" s="31" t="s">
        <v>127</v>
      </c>
      <c r="H316" s="2"/>
      <c r="I316" s="5">
        <v>0</v>
      </c>
      <c r="J316" s="8">
        <v>5</v>
      </c>
      <c r="K316" s="8" t="s">
        <v>1</v>
      </c>
      <c r="L316" s="8" t="s">
        <v>15</v>
      </c>
      <c r="M316" s="8" t="s">
        <v>9</v>
      </c>
      <c r="N316" s="8" t="s">
        <v>83</v>
      </c>
      <c r="O316" s="8" t="s">
        <v>55</v>
      </c>
      <c r="P316" s="8"/>
    </row>
    <row r="317" spans="1:16" x14ac:dyDescent="0.35">
      <c r="A317" s="1">
        <v>46239</v>
      </c>
      <c r="B317" s="32">
        <v>4</v>
      </c>
      <c r="C317" s="8" t="s">
        <v>5</v>
      </c>
      <c r="D317" s="8" t="s">
        <v>14</v>
      </c>
      <c r="E317" s="8" t="s">
        <v>83</v>
      </c>
      <c r="F317" s="8" t="s">
        <v>18</v>
      </c>
      <c r="G317" s="8" t="s">
        <v>11</v>
      </c>
      <c r="H317" s="8" t="s">
        <v>151</v>
      </c>
      <c r="I317" s="9">
        <v>7</v>
      </c>
      <c r="J317" s="10">
        <v>2</v>
      </c>
      <c r="K317" s="10" t="s">
        <v>55</v>
      </c>
      <c r="L317" s="10" t="s">
        <v>80</v>
      </c>
      <c r="M317" s="10" t="s">
        <v>15</v>
      </c>
      <c r="N317" s="10" t="s">
        <v>148</v>
      </c>
      <c r="O317" s="10" t="s">
        <v>159</v>
      </c>
      <c r="P317" s="10" t="s">
        <v>130</v>
      </c>
    </row>
    <row r="318" spans="1:16" x14ac:dyDescent="0.35">
      <c r="A318" s="1">
        <v>46239</v>
      </c>
      <c r="B318" s="32">
        <v>2</v>
      </c>
      <c r="C318" s="10" t="s">
        <v>55</v>
      </c>
      <c r="D318" s="10" t="s">
        <v>80</v>
      </c>
      <c r="E318" s="10" t="s">
        <v>15</v>
      </c>
      <c r="F318" s="10" t="s">
        <v>148</v>
      </c>
      <c r="G318" s="10" t="s">
        <v>159</v>
      </c>
      <c r="H318" s="10" t="s">
        <v>130</v>
      </c>
      <c r="I318" s="11">
        <v>1</v>
      </c>
      <c r="J318" s="2">
        <v>3</v>
      </c>
      <c r="K318" s="2" t="s">
        <v>1</v>
      </c>
      <c r="L318" s="2" t="s">
        <v>43</v>
      </c>
      <c r="M318" s="31" t="s">
        <v>118</v>
      </c>
      <c r="N318" s="31" t="s">
        <v>21</v>
      </c>
      <c r="O318" s="31" t="s">
        <v>149</v>
      </c>
      <c r="P318" s="2" t="s">
        <v>169</v>
      </c>
    </row>
    <row r="319" spans="1:16" x14ac:dyDescent="0.35">
      <c r="A319" s="1">
        <v>46239</v>
      </c>
      <c r="B319" s="32">
        <v>6</v>
      </c>
      <c r="C319" s="2" t="s">
        <v>1</v>
      </c>
      <c r="D319" s="2" t="s">
        <v>43</v>
      </c>
      <c r="E319" s="31" t="s">
        <v>118</v>
      </c>
      <c r="F319" s="31" t="s">
        <v>21</v>
      </c>
      <c r="G319" s="31" t="s">
        <v>149</v>
      </c>
      <c r="H319" s="2" t="s">
        <v>169</v>
      </c>
      <c r="I319" s="5">
        <v>5</v>
      </c>
      <c r="J319" s="8">
        <v>8</v>
      </c>
      <c r="K319" s="8" t="s">
        <v>5</v>
      </c>
      <c r="L319" s="8" t="s">
        <v>14</v>
      </c>
      <c r="M319" s="8" t="s">
        <v>83</v>
      </c>
      <c r="N319" s="8" t="s">
        <v>18</v>
      </c>
      <c r="O319" s="8" t="s">
        <v>11</v>
      </c>
      <c r="P319" s="8" t="s">
        <v>151</v>
      </c>
    </row>
    <row r="320" spans="1:16" x14ac:dyDescent="0.35">
      <c r="A320" s="1">
        <v>46246</v>
      </c>
      <c r="B320" s="32">
        <v>5</v>
      </c>
      <c r="C320" s="8" t="s">
        <v>1</v>
      </c>
      <c r="D320" s="8" t="s">
        <v>9</v>
      </c>
      <c r="E320" s="8" t="s">
        <v>5</v>
      </c>
      <c r="F320" s="8" t="s">
        <v>21</v>
      </c>
      <c r="G320" s="8" t="s">
        <v>151</v>
      </c>
      <c r="H320" s="8" t="s">
        <v>62</v>
      </c>
      <c r="I320" s="9">
        <v>10</v>
      </c>
      <c r="J320" s="10">
        <v>0</v>
      </c>
      <c r="K320" s="10" t="s">
        <v>47</v>
      </c>
      <c r="L320" s="10" t="s">
        <v>149</v>
      </c>
      <c r="M320" s="10" t="s">
        <v>160</v>
      </c>
      <c r="N320" s="10" t="s">
        <v>161</v>
      </c>
      <c r="O320" s="10" t="s">
        <v>171</v>
      </c>
      <c r="P320" s="10" t="s">
        <v>162</v>
      </c>
    </row>
    <row r="321" spans="1:16" x14ac:dyDescent="0.35">
      <c r="A321" s="1">
        <v>46246</v>
      </c>
      <c r="B321" s="32">
        <v>8</v>
      </c>
      <c r="C321" s="10" t="s">
        <v>151</v>
      </c>
      <c r="D321" s="10" t="s">
        <v>149</v>
      </c>
      <c r="E321" s="10" t="s">
        <v>160</v>
      </c>
      <c r="F321" s="10" t="s">
        <v>161</v>
      </c>
      <c r="G321" s="10" t="s">
        <v>171</v>
      </c>
      <c r="H321" s="10" t="s">
        <v>162</v>
      </c>
      <c r="I321" s="10">
        <v>14</v>
      </c>
      <c r="J321" s="9">
        <v>10</v>
      </c>
      <c r="K321" s="8" t="s">
        <v>1</v>
      </c>
      <c r="L321" s="8" t="s">
        <v>9</v>
      </c>
      <c r="M321" s="8" t="s">
        <v>5</v>
      </c>
      <c r="N321" s="8" t="s">
        <v>21</v>
      </c>
      <c r="O321" s="8" t="s">
        <v>47</v>
      </c>
      <c r="P321" s="8" t="s">
        <v>62</v>
      </c>
    </row>
    <row r="322" spans="1:16" x14ac:dyDescent="0.35">
      <c r="A322" s="1">
        <v>46260</v>
      </c>
      <c r="B322" s="32">
        <v>2</v>
      </c>
      <c r="C322" s="8" t="s">
        <v>43</v>
      </c>
      <c r="D322" s="8" t="s">
        <v>80</v>
      </c>
      <c r="E322" s="8" t="s">
        <v>151</v>
      </c>
      <c r="F322" s="8" t="s">
        <v>167</v>
      </c>
      <c r="G322" s="8" t="s">
        <v>168</v>
      </c>
      <c r="H322" s="8"/>
      <c r="I322" s="9">
        <v>1</v>
      </c>
      <c r="J322" s="10">
        <v>1</v>
      </c>
      <c r="K322" s="10" t="s">
        <v>18</v>
      </c>
      <c r="L322" s="10" t="s">
        <v>5</v>
      </c>
      <c r="M322" s="10" t="s">
        <v>83</v>
      </c>
      <c r="N322" s="10" t="s">
        <v>2</v>
      </c>
      <c r="O322" s="10" t="s">
        <v>47</v>
      </c>
      <c r="P322" s="10" t="s">
        <v>21</v>
      </c>
    </row>
    <row r="323" spans="1:16" x14ac:dyDescent="0.35">
      <c r="A323" s="1">
        <v>46260</v>
      </c>
      <c r="B323" s="32">
        <v>1</v>
      </c>
      <c r="C323" s="10" t="s">
        <v>18</v>
      </c>
      <c r="D323" s="10" t="s">
        <v>5</v>
      </c>
      <c r="E323" s="10" t="s">
        <v>83</v>
      </c>
      <c r="F323" s="10" t="s">
        <v>2</v>
      </c>
      <c r="G323" s="10" t="s">
        <v>47</v>
      </c>
      <c r="H323" s="10" t="s">
        <v>21</v>
      </c>
      <c r="I323" s="11">
        <v>2</v>
      </c>
      <c r="J323" s="2">
        <v>0</v>
      </c>
      <c r="K323" s="2" t="s">
        <v>1</v>
      </c>
      <c r="L323" s="2" t="s">
        <v>14</v>
      </c>
      <c r="M323" s="31" t="s">
        <v>9</v>
      </c>
      <c r="N323" s="31" t="s">
        <v>55</v>
      </c>
      <c r="O323" s="31" t="s">
        <v>170</v>
      </c>
      <c r="P323" s="2"/>
    </row>
    <row r="324" spans="1:16" x14ac:dyDescent="0.35">
      <c r="A324" s="1">
        <v>46260</v>
      </c>
      <c r="B324" s="32">
        <v>1</v>
      </c>
      <c r="C324" s="2" t="s">
        <v>1</v>
      </c>
      <c r="D324" s="2" t="s">
        <v>14</v>
      </c>
      <c r="E324" s="31" t="s">
        <v>9</v>
      </c>
      <c r="F324" s="31" t="s">
        <v>55</v>
      </c>
      <c r="G324" s="31" t="s">
        <v>170</v>
      </c>
      <c r="H324" s="2"/>
      <c r="I324" s="5">
        <v>1</v>
      </c>
      <c r="J324" s="8">
        <v>1</v>
      </c>
      <c r="K324" s="8" t="s">
        <v>43</v>
      </c>
      <c r="L324" s="8" t="s">
        <v>170</v>
      </c>
      <c r="M324" s="8" t="s">
        <v>80</v>
      </c>
      <c r="N324" s="8" t="s">
        <v>151</v>
      </c>
      <c r="O324" s="8" t="s">
        <v>167</v>
      </c>
      <c r="P324" s="8" t="s">
        <v>168</v>
      </c>
    </row>
    <row r="325" spans="1:16" x14ac:dyDescent="0.35">
      <c r="A325" s="1">
        <v>46267</v>
      </c>
      <c r="B325" s="32">
        <v>5</v>
      </c>
      <c r="C325" s="8" t="s">
        <v>43</v>
      </c>
      <c r="D325" s="8" t="s">
        <v>5</v>
      </c>
      <c r="E325" s="8" t="s">
        <v>21</v>
      </c>
      <c r="F325" s="8" t="s">
        <v>149</v>
      </c>
      <c r="G325" s="8" t="s">
        <v>171</v>
      </c>
      <c r="H325" s="8"/>
      <c r="I325" s="9">
        <v>1</v>
      </c>
      <c r="J325" s="10">
        <v>5</v>
      </c>
      <c r="K325" s="10" t="s">
        <v>1</v>
      </c>
      <c r="L325" s="10" t="s">
        <v>81</v>
      </c>
      <c r="M325" s="10" t="s">
        <v>55</v>
      </c>
      <c r="N325" s="10" t="s">
        <v>151</v>
      </c>
      <c r="O325" s="10" t="s">
        <v>148</v>
      </c>
      <c r="P325" s="10" t="s">
        <v>152</v>
      </c>
    </row>
    <row r="326" spans="1:16" x14ac:dyDescent="0.35">
      <c r="A326" s="1">
        <v>46267</v>
      </c>
      <c r="B326" s="32">
        <v>3</v>
      </c>
      <c r="C326" s="10" t="s">
        <v>1</v>
      </c>
      <c r="D326" s="10" t="s">
        <v>81</v>
      </c>
      <c r="E326" s="10" t="s">
        <v>55</v>
      </c>
      <c r="F326" s="10" t="s">
        <v>151</v>
      </c>
      <c r="G326" s="10" t="s">
        <v>148</v>
      </c>
      <c r="H326" s="10" t="s">
        <v>152</v>
      </c>
      <c r="I326" s="11">
        <v>4</v>
      </c>
      <c r="J326" s="2">
        <v>2</v>
      </c>
      <c r="K326" s="2" t="s">
        <v>9</v>
      </c>
      <c r="L326" s="2" t="s">
        <v>80</v>
      </c>
      <c r="M326" s="31" t="s">
        <v>83</v>
      </c>
      <c r="N326" s="31" t="s">
        <v>170</v>
      </c>
      <c r="O326" s="31" t="s">
        <v>84</v>
      </c>
      <c r="P326" s="2" t="s">
        <v>108</v>
      </c>
    </row>
    <row r="327" spans="1:16" x14ac:dyDescent="0.35">
      <c r="A327" s="1">
        <v>46267</v>
      </c>
      <c r="B327" s="32">
        <v>2</v>
      </c>
      <c r="C327" s="2" t="s">
        <v>9</v>
      </c>
      <c r="D327" s="2" t="s">
        <v>80</v>
      </c>
      <c r="E327" s="31" t="s">
        <v>83</v>
      </c>
      <c r="F327" s="31" t="s">
        <v>170</v>
      </c>
      <c r="G327" s="31" t="s">
        <v>84</v>
      </c>
      <c r="H327" s="2" t="s">
        <v>108</v>
      </c>
      <c r="I327" s="5">
        <v>0</v>
      </c>
      <c r="J327" s="8">
        <v>3</v>
      </c>
      <c r="K327" s="8" t="s">
        <v>43</v>
      </c>
      <c r="L327" s="8" t="s">
        <v>5</v>
      </c>
      <c r="M327" s="8" t="s">
        <v>21</v>
      </c>
      <c r="N327" s="8" t="s">
        <v>149</v>
      </c>
      <c r="O327" s="8" t="s">
        <v>171</v>
      </c>
      <c r="P327" s="8"/>
    </row>
    <row r="328" spans="1:16" x14ac:dyDescent="0.35">
      <c r="A328" s="1">
        <v>46274</v>
      </c>
      <c r="B328" s="32">
        <v>2</v>
      </c>
      <c r="C328" s="8" t="s">
        <v>81</v>
      </c>
      <c r="D328" s="8" t="s">
        <v>83</v>
      </c>
      <c r="E328" s="8" t="s">
        <v>15</v>
      </c>
      <c r="F328" s="8" t="s">
        <v>108</v>
      </c>
      <c r="G328" s="8" t="s">
        <v>80</v>
      </c>
      <c r="H328" s="8"/>
      <c r="I328" s="9">
        <v>4</v>
      </c>
      <c r="J328" s="10">
        <v>0</v>
      </c>
      <c r="K328" s="10" t="s">
        <v>9</v>
      </c>
      <c r="L328" s="10" t="s">
        <v>55</v>
      </c>
      <c r="M328" s="10" t="s">
        <v>84</v>
      </c>
      <c r="N328" s="10" t="s">
        <v>97</v>
      </c>
      <c r="O328" s="10" t="s">
        <v>172</v>
      </c>
      <c r="P328" s="10"/>
    </row>
    <row r="329" spans="1:16" x14ac:dyDescent="0.35">
      <c r="A329" s="1">
        <v>46274</v>
      </c>
      <c r="B329" s="32">
        <v>1</v>
      </c>
      <c r="C329" s="10" t="s">
        <v>9</v>
      </c>
      <c r="D329" s="10" t="s">
        <v>55</v>
      </c>
      <c r="E329" s="10" t="s">
        <v>84</v>
      </c>
      <c r="F329" s="10" t="s">
        <v>97</v>
      </c>
      <c r="G329" s="10" t="s">
        <v>172</v>
      </c>
      <c r="H329" s="10"/>
      <c r="I329" s="11">
        <v>2</v>
      </c>
      <c r="J329" s="2">
        <v>0</v>
      </c>
      <c r="K329" s="2" t="s">
        <v>1</v>
      </c>
      <c r="L329" s="2" t="s">
        <v>5</v>
      </c>
      <c r="M329" s="31" t="s">
        <v>18</v>
      </c>
      <c r="N329" s="31" t="s">
        <v>21</v>
      </c>
      <c r="O329" s="31" t="s">
        <v>59</v>
      </c>
      <c r="P329" s="2"/>
    </row>
    <row r="330" spans="1:16" x14ac:dyDescent="0.35">
      <c r="A330" s="1">
        <v>46274</v>
      </c>
      <c r="B330" s="32">
        <v>3</v>
      </c>
      <c r="C330" s="2" t="s">
        <v>1</v>
      </c>
      <c r="D330" s="2" t="s">
        <v>5</v>
      </c>
      <c r="E330" s="31" t="s">
        <v>18</v>
      </c>
      <c r="F330" s="31" t="s">
        <v>21</v>
      </c>
      <c r="G330" s="31" t="s">
        <v>59</v>
      </c>
      <c r="H330" s="2"/>
      <c r="I330" s="5">
        <v>3</v>
      </c>
      <c r="J330" s="8">
        <v>4</v>
      </c>
      <c r="K330" s="8" t="s">
        <v>81</v>
      </c>
      <c r="L330" s="8" t="s">
        <v>83</v>
      </c>
      <c r="M330" s="8" t="s">
        <v>15</v>
      </c>
      <c r="N330" s="8" t="s">
        <v>108</v>
      </c>
      <c r="O330" s="8" t="s">
        <v>80</v>
      </c>
      <c r="P330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DCCA6-42DC-4211-A42F-70F3625FA6AA}">
  <dimension ref="A1:CQ103"/>
  <sheetViews>
    <sheetView topLeftCell="A78" zoomScaleNormal="100" workbookViewId="0">
      <pane xSplit="1" topLeftCell="CJ1" activePane="topRight" state="frozen"/>
      <selection pane="topRight" activeCell="CR92" sqref="CR92"/>
    </sheetView>
  </sheetViews>
  <sheetFormatPr defaultRowHeight="14.5" x14ac:dyDescent="0.35"/>
  <cols>
    <col min="1" max="1" width="16.81640625" bestFit="1" customWidth="1"/>
    <col min="2" max="4" width="10.54296875" bestFit="1" customWidth="1"/>
    <col min="5" max="5" width="9.54296875" bestFit="1" customWidth="1"/>
    <col min="6" max="8" width="10.54296875" bestFit="1" customWidth="1"/>
    <col min="9" max="9" width="9.54296875" bestFit="1" customWidth="1"/>
    <col min="10" max="11" width="10.54296875" bestFit="1" customWidth="1"/>
    <col min="13" max="13" width="9.54296875" bestFit="1" customWidth="1"/>
    <col min="14" max="92" width="10.453125" bestFit="1" customWidth="1"/>
    <col min="93" max="93" width="10.453125" customWidth="1"/>
    <col min="94" max="95" width="10.453125" bestFit="1" customWidth="1"/>
  </cols>
  <sheetData>
    <row r="1" spans="1:95" x14ac:dyDescent="0.35">
      <c r="A1" t="s">
        <v>0</v>
      </c>
      <c r="B1" s="1">
        <v>45581</v>
      </c>
      <c r="C1" s="1">
        <v>45588</v>
      </c>
      <c r="D1" s="1">
        <v>45595</v>
      </c>
      <c r="E1" s="1">
        <v>45602</v>
      </c>
      <c r="F1" s="1">
        <v>45609</v>
      </c>
      <c r="G1" s="1">
        <v>45616</v>
      </c>
      <c r="H1" s="1">
        <v>45623</v>
      </c>
      <c r="I1" s="1">
        <v>45629</v>
      </c>
      <c r="J1" s="1">
        <v>45637</v>
      </c>
      <c r="K1" s="1">
        <v>45645</v>
      </c>
      <c r="L1" s="1">
        <v>45666</v>
      </c>
      <c r="M1" s="1">
        <v>45672</v>
      </c>
      <c r="N1" s="1">
        <v>45679</v>
      </c>
      <c r="O1" s="1">
        <v>45686</v>
      </c>
      <c r="P1" s="1">
        <v>45693</v>
      </c>
      <c r="Q1" s="1">
        <v>45700</v>
      </c>
      <c r="R1" s="1">
        <v>45707</v>
      </c>
      <c r="S1" s="1">
        <v>45714</v>
      </c>
      <c r="T1" s="1">
        <v>45721</v>
      </c>
      <c r="U1" s="1">
        <v>45728</v>
      </c>
      <c r="V1" s="1">
        <v>45735</v>
      </c>
      <c r="W1" s="1">
        <v>45742</v>
      </c>
      <c r="X1" s="1">
        <v>45749</v>
      </c>
      <c r="Y1" s="1">
        <v>45756</v>
      </c>
      <c r="Z1" s="1">
        <v>45763</v>
      </c>
      <c r="AA1" s="1">
        <v>45770</v>
      </c>
      <c r="AB1" s="1">
        <v>45777</v>
      </c>
      <c r="AC1" s="1">
        <v>45784</v>
      </c>
      <c r="AD1" s="1">
        <v>45791</v>
      </c>
      <c r="AE1" s="1">
        <v>45798</v>
      </c>
      <c r="AF1" s="1">
        <v>45805</v>
      </c>
      <c r="AG1" s="1">
        <v>45812</v>
      </c>
      <c r="AH1" s="1">
        <v>45819</v>
      </c>
      <c r="AI1" s="1">
        <v>45826</v>
      </c>
      <c r="AJ1" s="1">
        <v>45833</v>
      </c>
      <c r="AK1" s="1">
        <v>45840</v>
      </c>
      <c r="AL1" s="1">
        <v>45847</v>
      </c>
      <c r="AM1" s="29">
        <v>45854</v>
      </c>
      <c r="AN1" s="29">
        <v>45861</v>
      </c>
      <c r="AO1" s="29">
        <v>45868</v>
      </c>
      <c r="AP1" s="29">
        <v>45875</v>
      </c>
      <c r="AQ1" s="29">
        <v>45882</v>
      </c>
      <c r="AR1" s="29">
        <v>45889</v>
      </c>
      <c r="AS1" s="29">
        <v>45896</v>
      </c>
      <c r="AT1" s="29">
        <v>45903</v>
      </c>
      <c r="AU1" s="29">
        <v>45910</v>
      </c>
      <c r="AV1" s="29">
        <v>45917</v>
      </c>
      <c r="AW1" s="29">
        <v>45924</v>
      </c>
      <c r="AX1" s="29">
        <v>45931</v>
      </c>
      <c r="AY1" s="29">
        <v>45938</v>
      </c>
      <c r="AZ1" s="29">
        <v>45945</v>
      </c>
      <c r="BA1" s="1">
        <v>45952</v>
      </c>
      <c r="BB1" s="1">
        <v>45960</v>
      </c>
      <c r="BC1" s="1">
        <v>45966</v>
      </c>
      <c r="BD1" s="1">
        <v>45973</v>
      </c>
      <c r="BE1" s="1">
        <v>45980</v>
      </c>
      <c r="BF1" s="1">
        <v>45987</v>
      </c>
      <c r="BG1" s="1">
        <v>45994</v>
      </c>
      <c r="BH1" s="1">
        <v>46001</v>
      </c>
      <c r="BI1" s="1">
        <v>46008</v>
      </c>
      <c r="BJ1" s="1">
        <v>46029</v>
      </c>
      <c r="BK1" s="1">
        <v>46036</v>
      </c>
      <c r="BL1" s="1">
        <v>46043</v>
      </c>
      <c r="BM1" s="1">
        <v>46050</v>
      </c>
      <c r="BN1" s="1">
        <v>46057</v>
      </c>
      <c r="BO1" s="1">
        <v>46064</v>
      </c>
      <c r="BP1" s="1">
        <v>46071</v>
      </c>
      <c r="BQ1" s="1">
        <v>46078</v>
      </c>
      <c r="BR1" s="1">
        <v>46085</v>
      </c>
      <c r="BS1" s="1">
        <v>46092</v>
      </c>
      <c r="BT1" s="1">
        <v>46099</v>
      </c>
      <c r="BU1" s="1">
        <v>46106</v>
      </c>
      <c r="BV1" s="1">
        <v>46113</v>
      </c>
      <c r="BW1" s="1">
        <v>46120</v>
      </c>
      <c r="BX1" s="1">
        <v>46127</v>
      </c>
      <c r="BY1" s="1">
        <v>46134</v>
      </c>
      <c r="BZ1" s="1">
        <v>46141</v>
      </c>
      <c r="CA1" s="1">
        <v>46148</v>
      </c>
      <c r="CB1" s="1">
        <v>46155</v>
      </c>
      <c r="CC1" s="1">
        <v>46162</v>
      </c>
      <c r="CD1" s="1">
        <v>46169</v>
      </c>
      <c r="CE1" s="1">
        <v>46176</v>
      </c>
      <c r="CF1" s="1">
        <v>46184</v>
      </c>
      <c r="CG1" s="1">
        <v>46190</v>
      </c>
      <c r="CH1" s="1">
        <v>46204</v>
      </c>
      <c r="CI1" s="1">
        <v>46211</v>
      </c>
      <c r="CJ1" s="1">
        <v>46218</v>
      </c>
      <c r="CK1" s="1">
        <v>46225</v>
      </c>
      <c r="CL1" s="1">
        <v>46232</v>
      </c>
      <c r="CM1" s="1">
        <v>46239</v>
      </c>
      <c r="CN1" s="34">
        <v>46246</v>
      </c>
      <c r="CO1" s="34">
        <v>46260</v>
      </c>
      <c r="CP1" s="1">
        <v>46267</v>
      </c>
      <c r="CQ1" s="1">
        <v>46274</v>
      </c>
    </row>
    <row r="2" spans="1:95" x14ac:dyDescent="0.35">
      <c r="A2" t="s">
        <v>2</v>
      </c>
      <c r="H2">
        <v>3</v>
      </c>
      <c r="L2">
        <v>1</v>
      </c>
      <c r="O2">
        <v>3</v>
      </c>
      <c r="P2">
        <v>1</v>
      </c>
      <c r="R2">
        <v>1</v>
      </c>
      <c r="S2">
        <v>1</v>
      </c>
      <c r="T2">
        <v>1</v>
      </c>
      <c r="AN2">
        <v>1</v>
      </c>
      <c r="AP2">
        <v>1</v>
      </c>
      <c r="AR2">
        <v>1</v>
      </c>
      <c r="AS2">
        <v>1</v>
      </c>
      <c r="BH2">
        <v>1</v>
      </c>
      <c r="BJ2">
        <v>2</v>
      </c>
      <c r="BL2">
        <v>1</v>
      </c>
      <c r="BR2">
        <v>3</v>
      </c>
      <c r="BS2">
        <v>1</v>
      </c>
      <c r="BV2">
        <v>2</v>
      </c>
      <c r="BW2">
        <v>3</v>
      </c>
      <c r="BX2">
        <v>2</v>
      </c>
      <c r="BY2">
        <v>2</v>
      </c>
      <c r="CG2">
        <v>1</v>
      </c>
      <c r="CH2">
        <v>1</v>
      </c>
      <c r="CN2">
        <v>1</v>
      </c>
      <c r="CO2">
        <v>1</v>
      </c>
    </row>
    <row r="3" spans="1:95" x14ac:dyDescent="0.35">
      <c r="A3" t="s">
        <v>23</v>
      </c>
      <c r="BO3">
        <v>2</v>
      </c>
    </row>
    <row r="4" spans="1:95" x14ac:dyDescent="0.35">
      <c r="A4" t="s">
        <v>100</v>
      </c>
      <c r="U4">
        <v>3</v>
      </c>
      <c r="V4">
        <v>1</v>
      </c>
      <c r="X4">
        <v>1</v>
      </c>
      <c r="Z4">
        <v>1</v>
      </c>
      <c r="AB4">
        <v>4</v>
      </c>
      <c r="AD4">
        <v>1</v>
      </c>
      <c r="AE4">
        <v>1</v>
      </c>
      <c r="AG4">
        <v>1</v>
      </c>
      <c r="AH4">
        <v>2</v>
      </c>
      <c r="AN4">
        <v>1</v>
      </c>
      <c r="BD4">
        <v>2</v>
      </c>
    </row>
    <row r="5" spans="1:95" x14ac:dyDescent="0.35">
      <c r="A5" t="s">
        <v>149</v>
      </c>
      <c r="CF5">
        <v>4</v>
      </c>
      <c r="CG5">
        <v>4</v>
      </c>
      <c r="CI5">
        <v>1</v>
      </c>
      <c r="CJ5">
        <v>6</v>
      </c>
      <c r="CK5">
        <v>4</v>
      </c>
      <c r="CM5">
        <v>4</v>
      </c>
    </row>
    <row r="6" spans="1:95" hidden="1" x14ac:dyDescent="0.35">
      <c r="A6" t="s">
        <v>116</v>
      </c>
    </row>
    <row r="7" spans="1:95" x14ac:dyDescent="0.35">
      <c r="A7" t="s">
        <v>76</v>
      </c>
      <c r="G7">
        <v>3</v>
      </c>
    </row>
    <row r="8" spans="1:95" x14ac:dyDescent="0.35">
      <c r="A8" t="s">
        <v>115</v>
      </c>
      <c r="AH8">
        <v>3</v>
      </c>
      <c r="AQ8">
        <v>2</v>
      </c>
      <c r="BS8">
        <v>3</v>
      </c>
      <c r="BU8">
        <v>2</v>
      </c>
    </row>
    <row r="9" spans="1:95" x14ac:dyDescent="0.35">
      <c r="A9" t="s">
        <v>151</v>
      </c>
      <c r="BW9">
        <v>2</v>
      </c>
      <c r="BX9">
        <v>9</v>
      </c>
      <c r="BY9">
        <v>4</v>
      </c>
      <c r="BZ9">
        <v>1</v>
      </c>
      <c r="CA9">
        <v>3</v>
      </c>
      <c r="CF9">
        <v>3</v>
      </c>
      <c r="CG9">
        <v>2</v>
      </c>
      <c r="CH9">
        <v>5</v>
      </c>
      <c r="CI9">
        <v>4</v>
      </c>
      <c r="CJ9">
        <v>6</v>
      </c>
      <c r="CK9">
        <v>7</v>
      </c>
      <c r="CM9">
        <v>4</v>
      </c>
      <c r="CN9">
        <v>2</v>
      </c>
      <c r="CP9">
        <v>3</v>
      </c>
    </row>
    <row r="10" spans="1:95" x14ac:dyDescent="0.35">
      <c r="A10" t="s">
        <v>7</v>
      </c>
      <c r="K10">
        <v>1</v>
      </c>
    </row>
    <row r="11" spans="1:95" x14ac:dyDescent="0.35">
      <c r="A11" t="s">
        <v>107</v>
      </c>
      <c r="G11">
        <v>1</v>
      </c>
    </row>
    <row r="12" spans="1:95" hidden="1" x14ac:dyDescent="0.35">
      <c r="A12" t="s">
        <v>101</v>
      </c>
    </row>
    <row r="13" spans="1:95" x14ac:dyDescent="0.35">
      <c r="A13" t="s">
        <v>47</v>
      </c>
    </row>
    <row r="14" spans="1:95" x14ac:dyDescent="0.35">
      <c r="A14" t="s">
        <v>145</v>
      </c>
      <c r="BX14">
        <v>2</v>
      </c>
    </row>
    <row r="15" spans="1:95" x14ac:dyDescent="0.35">
      <c r="A15" t="s">
        <v>148</v>
      </c>
      <c r="BW15">
        <v>1</v>
      </c>
      <c r="CC15">
        <v>3</v>
      </c>
      <c r="CD15">
        <v>1</v>
      </c>
      <c r="CI15">
        <v>2</v>
      </c>
      <c r="CM15">
        <v>1</v>
      </c>
      <c r="CP15">
        <v>1</v>
      </c>
    </row>
    <row r="16" spans="1:95" x14ac:dyDescent="0.35">
      <c r="A16" t="s">
        <v>133</v>
      </c>
    </row>
    <row r="17" spans="1:95" x14ac:dyDescent="0.35">
      <c r="A17" t="s">
        <v>113</v>
      </c>
      <c r="BK17">
        <v>1</v>
      </c>
    </row>
    <row r="18" spans="1:95" hidden="1" x14ac:dyDescent="0.35">
      <c r="A18" t="s">
        <v>17</v>
      </c>
    </row>
    <row r="19" spans="1:95" x14ac:dyDescent="0.35">
      <c r="A19" t="s">
        <v>24</v>
      </c>
      <c r="C19">
        <v>1</v>
      </c>
      <c r="E19">
        <v>1</v>
      </c>
      <c r="G19">
        <v>1</v>
      </c>
      <c r="J19">
        <v>3</v>
      </c>
      <c r="K19">
        <v>3</v>
      </c>
      <c r="M19">
        <v>1</v>
      </c>
      <c r="R19">
        <v>1</v>
      </c>
      <c r="V19">
        <v>1</v>
      </c>
      <c r="AE19">
        <v>1</v>
      </c>
      <c r="AF19">
        <v>1</v>
      </c>
      <c r="AH19">
        <v>2</v>
      </c>
      <c r="AT19">
        <v>1</v>
      </c>
      <c r="BA19">
        <v>1</v>
      </c>
      <c r="BH19">
        <v>1</v>
      </c>
      <c r="BM19">
        <v>1</v>
      </c>
    </row>
    <row r="20" spans="1:95" x14ac:dyDescent="0.35">
      <c r="A20" t="s">
        <v>13</v>
      </c>
      <c r="E20">
        <v>1</v>
      </c>
      <c r="F20">
        <v>1</v>
      </c>
      <c r="J20">
        <v>1</v>
      </c>
      <c r="P20">
        <v>1</v>
      </c>
      <c r="S20">
        <v>1</v>
      </c>
      <c r="W20">
        <v>1</v>
      </c>
      <c r="Z20">
        <v>2</v>
      </c>
      <c r="AA20">
        <v>0.5</v>
      </c>
      <c r="AK20">
        <v>1</v>
      </c>
      <c r="AR20">
        <v>2</v>
      </c>
      <c r="AX20">
        <v>1</v>
      </c>
      <c r="CD20">
        <v>2</v>
      </c>
    </row>
    <row r="21" spans="1:95" x14ac:dyDescent="0.35">
      <c r="A21" t="s">
        <v>129</v>
      </c>
      <c r="BL21">
        <v>1</v>
      </c>
      <c r="BR21">
        <v>1</v>
      </c>
      <c r="BX21">
        <v>2</v>
      </c>
    </row>
    <row r="22" spans="1:95" x14ac:dyDescent="0.35">
      <c r="A22" t="s">
        <v>53</v>
      </c>
      <c r="C22">
        <v>2</v>
      </c>
      <c r="D22">
        <v>3</v>
      </c>
      <c r="V22">
        <v>2</v>
      </c>
      <c r="CF22">
        <v>1</v>
      </c>
    </row>
    <row r="23" spans="1:95" x14ac:dyDescent="0.35">
      <c r="A23" t="s">
        <v>65</v>
      </c>
      <c r="D23">
        <v>2</v>
      </c>
      <c r="I23">
        <v>3</v>
      </c>
      <c r="J23">
        <v>1</v>
      </c>
      <c r="T23">
        <v>1</v>
      </c>
      <c r="W23">
        <v>1</v>
      </c>
      <c r="X23">
        <v>1</v>
      </c>
      <c r="Y23">
        <v>1</v>
      </c>
      <c r="Z23">
        <v>1</v>
      </c>
      <c r="AA23">
        <v>1</v>
      </c>
      <c r="AC23">
        <v>1</v>
      </c>
      <c r="AD23">
        <v>1</v>
      </c>
      <c r="AH23">
        <v>1</v>
      </c>
      <c r="AI23">
        <v>1</v>
      </c>
      <c r="BA23">
        <v>3</v>
      </c>
      <c r="BG23">
        <v>1</v>
      </c>
      <c r="BP23">
        <v>1</v>
      </c>
      <c r="BU23">
        <v>2</v>
      </c>
      <c r="CB23">
        <v>1</v>
      </c>
      <c r="CC23">
        <v>2</v>
      </c>
      <c r="CK23">
        <v>2</v>
      </c>
    </row>
    <row r="24" spans="1:95" x14ac:dyDescent="0.35">
      <c r="A24" t="s">
        <v>83</v>
      </c>
      <c r="I24">
        <v>2</v>
      </c>
      <c r="J24">
        <v>1</v>
      </c>
      <c r="L24">
        <v>3</v>
      </c>
      <c r="N24">
        <v>2</v>
      </c>
      <c r="O24">
        <v>2</v>
      </c>
      <c r="P24">
        <v>1</v>
      </c>
      <c r="S24">
        <v>2</v>
      </c>
      <c r="V24">
        <v>4</v>
      </c>
      <c r="W24">
        <v>6</v>
      </c>
      <c r="X24">
        <v>3</v>
      </c>
      <c r="AB24">
        <v>1</v>
      </c>
      <c r="AC24">
        <v>2</v>
      </c>
      <c r="AD24">
        <v>3</v>
      </c>
      <c r="AE24">
        <v>1</v>
      </c>
      <c r="AH24">
        <v>4</v>
      </c>
      <c r="AI24">
        <v>5</v>
      </c>
      <c r="AK24">
        <v>1</v>
      </c>
      <c r="AL24">
        <v>1</v>
      </c>
      <c r="AN24">
        <v>2</v>
      </c>
      <c r="AU24">
        <v>4</v>
      </c>
      <c r="AV24">
        <v>1</v>
      </c>
      <c r="AX24">
        <v>1</v>
      </c>
      <c r="BH24">
        <v>1</v>
      </c>
      <c r="BI24">
        <v>2</v>
      </c>
      <c r="BK24">
        <v>2</v>
      </c>
      <c r="BQ24">
        <v>2</v>
      </c>
      <c r="BR24">
        <v>3</v>
      </c>
      <c r="BU24">
        <v>1</v>
      </c>
      <c r="BV24">
        <v>1</v>
      </c>
      <c r="CA24">
        <v>1</v>
      </c>
      <c r="CF24">
        <v>2</v>
      </c>
      <c r="CG24">
        <v>1</v>
      </c>
      <c r="CH24">
        <v>1</v>
      </c>
      <c r="CI24">
        <v>1</v>
      </c>
      <c r="CL24">
        <v>3</v>
      </c>
      <c r="CM24">
        <v>2</v>
      </c>
      <c r="CN24">
        <v>1</v>
      </c>
      <c r="CO24">
        <v>1</v>
      </c>
      <c r="CP24">
        <v>1</v>
      </c>
      <c r="CQ24">
        <v>1</v>
      </c>
    </row>
    <row r="25" spans="1:95" x14ac:dyDescent="0.35">
      <c r="A25" t="s">
        <v>142</v>
      </c>
      <c r="BP25">
        <v>2</v>
      </c>
    </row>
    <row r="26" spans="1:95" x14ac:dyDescent="0.35">
      <c r="A26" t="s">
        <v>14</v>
      </c>
      <c r="F26">
        <v>1</v>
      </c>
      <c r="H26">
        <v>2</v>
      </c>
      <c r="I26">
        <v>1</v>
      </c>
      <c r="AK26">
        <v>1</v>
      </c>
      <c r="AL26">
        <v>4</v>
      </c>
      <c r="AO26">
        <v>2</v>
      </c>
      <c r="AR26">
        <v>3</v>
      </c>
      <c r="AS26">
        <v>2</v>
      </c>
      <c r="AT26">
        <v>1</v>
      </c>
      <c r="AY26">
        <v>1</v>
      </c>
      <c r="BE26">
        <v>2</v>
      </c>
      <c r="BF26">
        <v>1</v>
      </c>
      <c r="BI26">
        <v>2</v>
      </c>
      <c r="BR26">
        <v>1</v>
      </c>
      <c r="BS26">
        <v>1</v>
      </c>
      <c r="BT26">
        <v>3</v>
      </c>
      <c r="BU26">
        <v>1</v>
      </c>
      <c r="BW26">
        <v>1</v>
      </c>
      <c r="BX26">
        <v>2</v>
      </c>
      <c r="CB26">
        <v>3</v>
      </c>
      <c r="CC26">
        <v>1</v>
      </c>
      <c r="CK26">
        <v>1</v>
      </c>
      <c r="CN26">
        <v>1</v>
      </c>
      <c r="CO26">
        <v>1</v>
      </c>
    </row>
    <row r="27" spans="1:95" x14ac:dyDescent="0.35">
      <c r="A27" t="s">
        <v>161</v>
      </c>
    </row>
    <row r="28" spans="1:95" x14ac:dyDescent="0.35">
      <c r="A28" t="s">
        <v>126</v>
      </c>
      <c r="AW28">
        <v>1</v>
      </c>
    </row>
    <row r="29" spans="1:95" x14ac:dyDescent="0.35">
      <c r="A29" t="s">
        <v>6</v>
      </c>
      <c r="B29">
        <v>3</v>
      </c>
      <c r="E29">
        <v>2</v>
      </c>
      <c r="H29">
        <v>1</v>
      </c>
      <c r="L29">
        <v>2</v>
      </c>
      <c r="M29">
        <v>2</v>
      </c>
      <c r="N29">
        <v>6</v>
      </c>
      <c r="O29">
        <v>1</v>
      </c>
      <c r="Q29">
        <v>3</v>
      </c>
      <c r="R29">
        <v>1</v>
      </c>
      <c r="S29">
        <v>1</v>
      </c>
      <c r="T29">
        <v>3</v>
      </c>
      <c r="U29">
        <v>3</v>
      </c>
      <c r="V29">
        <v>6</v>
      </c>
      <c r="W29">
        <v>2</v>
      </c>
      <c r="X29">
        <v>3</v>
      </c>
      <c r="Y29">
        <v>1</v>
      </c>
      <c r="Z29">
        <v>3.5</v>
      </c>
      <c r="AA29">
        <v>3.5</v>
      </c>
      <c r="AB29">
        <v>3</v>
      </c>
      <c r="AC29">
        <v>1</v>
      </c>
      <c r="AE29">
        <v>10</v>
      </c>
      <c r="AF29">
        <v>3</v>
      </c>
      <c r="AG29">
        <v>3</v>
      </c>
      <c r="AH29">
        <v>2</v>
      </c>
      <c r="AJ29">
        <v>3</v>
      </c>
      <c r="AK29">
        <v>3</v>
      </c>
      <c r="AL29">
        <v>5</v>
      </c>
      <c r="AN29">
        <v>1</v>
      </c>
      <c r="AO29">
        <v>6</v>
      </c>
      <c r="AP29">
        <v>4</v>
      </c>
      <c r="AQ29">
        <v>3</v>
      </c>
      <c r="AR29">
        <v>4</v>
      </c>
      <c r="AS29">
        <v>2</v>
      </c>
      <c r="AT29">
        <v>4</v>
      </c>
      <c r="AU29">
        <v>4</v>
      </c>
      <c r="AV29">
        <v>6</v>
      </c>
      <c r="AW29">
        <v>1</v>
      </c>
      <c r="AY29">
        <v>4</v>
      </c>
      <c r="AZ29">
        <v>1</v>
      </c>
      <c r="BA29">
        <v>3</v>
      </c>
      <c r="BC29">
        <v>5</v>
      </c>
      <c r="BD29">
        <v>2</v>
      </c>
      <c r="BE29">
        <v>3</v>
      </c>
      <c r="BF29">
        <v>3</v>
      </c>
      <c r="BG29">
        <v>3</v>
      </c>
      <c r="BH29">
        <v>1</v>
      </c>
      <c r="BI29">
        <v>5</v>
      </c>
      <c r="BJ29">
        <v>1</v>
      </c>
      <c r="BK29">
        <v>1</v>
      </c>
      <c r="BL29">
        <v>2</v>
      </c>
    </row>
    <row r="30" spans="1:95" x14ac:dyDescent="0.35">
      <c r="A30" t="s">
        <v>97</v>
      </c>
      <c r="T30">
        <v>4</v>
      </c>
      <c r="AH30">
        <v>1</v>
      </c>
      <c r="AK30">
        <v>1</v>
      </c>
      <c r="BQ30">
        <v>2</v>
      </c>
      <c r="BV30">
        <v>2</v>
      </c>
    </row>
    <row r="31" spans="1:95" x14ac:dyDescent="0.35">
      <c r="A31" t="s">
        <v>51</v>
      </c>
      <c r="CC31">
        <v>1</v>
      </c>
    </row>
    <row r="32" spans="1:95" x14ac:dyDescent="0.35">
      <c r="A32" t="s">
        <v>154</v>
      </c>
    </row>
    <row r="33" spans="1:95" x14ac:dyDescent="0.35">
      <c r="A33" t="s">
        <v>140</v>
      </c>
      <c r="BO33">
        <v>3</v>
      </c>
    </row>
    <row r="34" spans="1:95" x14ac:dyDescent="0.35">
      <c r="A34" t="s">
        <v>139</v>
      </c>
    </row>
    <row r="35" spans="1:95" x14ac:dyDescent="0.35">
      <c r="A35" t="s">
        <v>147</v>
      </c>
      <c r="CC35">
        <v>1</v>
      </c>
    </row>
    <row r="36" spans="1:95" x14ac:dyDescent="0.35">
      <c r="A36" t="s">
        <v>12</v>
      </c>
      <c r="N36">
        <v>2</v>
      </c>
      <c r="U36">
        <v>1</v>
      </c>
      <c r="AI36">
        <v>1</v>
      </c>
      <c r="CH36">
        <v>1</v>
      </c>
      <c r="CI36">
        <v>2</v>
      </c>
    </row>
    <row r="37" spans="1:95" x14ac:dyDescent="0.35">
      <c r="A37" t="s">
        <v>4</v>
      </c>
      <c r="E37">
        <v>1</v>
      </c>
      <c r="F37">
        <v>3</v>
      </c>
      <c r="H37">
        <v>1</v>
      </c>
      <c r="J37">
        <v>1</v>
      </c>
      <c r="K37">
        <v>3</v>
      </c>
      <c r="P37">
        <v>3</v>
      </c>
      <c r="U37">
        <v>3</v>
      </c>
      <c r="W37">
        <v>1</v>
      </c>
      <c r="AD37">
        <v>1</v>
      </c>
      <c r="AF37">
        <v>1</v>
      </c>
      <c r="AH37">
        <v>1</v>
      </c>
      <c r="AI37">
        <v>1</v>
      </c>
      <c r="AJ37">
        <v>2</v>
      </c>
      <c r="AO37">
        <v>2</v>
      </c>
      <c r="AP37">
        <v>2</v>
      </c>
      <c r="AQ37">
        <v>4</v>
      </c>
      <c r="AR37">
        <v>2</v>
      </c>
      <c r="AT37">
        <v>1</v>
      </c>
      <c r="AU37">
        <v>2</v>
      </c>
      <c r="AV37">
        <v>1</v>
      </c>
      <c r="AW37">
        <v>1</v>
      </c>
      <c r="AX37">
        <v>1</v>
      </c>
      <c r="AZ37">
        <v>2</v>
      </c>
      <c r="BA37">
        <v>2</v>
      </c>
      <c r="BB37">
        <v>1</v>
      </c>
      <c r="BD37">
        <v>2</v>
      </c>
      <c r="BE37">
        <v>3</v>
      </c>
      <c r="BF37">
        <v>1</v>
      </c>
      <c r="BG37">
        <v>1</v>
      </c>
      <c r="BJ37">
        <v>1</v>
      </c>
      <c r="BK37">
        <v>1</v>
      </c>
      <c r="BL37">
        <v>1</v>
      </c>
      <c r="BM37">
        <v>2</v>
      </c>
    </row>
    <row r="38" spans="1:95" x14ac:dyDescent="0.35">
      <c r="A38" t="s">
        <v>112</v>
      </c>
      <c r="AD38">
        <v>2</v>
      </c>
      <c r="AM38">
        <v>1</v>
      </c>
      <c r="AU38">
        <v>1</v>
      </c>
      <c r="BF38">
        <v>3</v>
      </c>
    </row>
    <row r="39" spans="1:95" hidden="1" x14ac:dyDescent="0.35">
      <c r="A39" t="s">
        <v>105</v>
      </c>
      <c r="Z39">
        <v>1</v>
      </c>
    </row>
    <row r="40" spans="1:95" x14ac:dyDescent="0.35">
      <c r="A40" t="s">
        <v>1</v>
      </c>
      <c r="B40">
        <v>1</v>
      </c>
      <c r="C40">
        <v>1</v>
      </c>
      <c r="D40">
        <v>1</v>
      </c>
      <c r="E40">
        <v>1</v>
      </c>
      <c r="F40">
        <v>2</v>
      </c>
      <c r="I40">
        <v>2</v>
      </c>
      <c r="J40">
        <v>1</v>
      </c>
      <c r="K40">
        <v>2</v>
      </c>
      <c r="L40">
        <v>1</v>
      </c>
      <c r="M40">
        <v>2</v>
      </c>
      <c r="N40">
        <v>1</v>
      </c>
      <c r="O40">
        <v>1</v>
      </c>
      <c r="P40">
        <v>2</v>
      </c>
      <c r="R40">
        <v>1</v>
      </c>
      <c r="T40">
        <v>1</v>
      </c>
      <c r="U40">
        <v>2</v>
      </c>
      <c r="Y40">
        <v>2</v>
      </c>
      <c r="AB40">
        <v>2</v>
      </c>
      <c r="AD40">
        <v>1</v>
      </c>
      <c r="AH40">
        <v>1</v>
      </c>
      <c r="AJ40">
        <v>1</v>
      </c>
      <c r="AN40">
        <v>2</v>
      </c>
      <c r="AO40">
        <v>1</v>
      </c>
      <c r="AP40">
        <v>2</v>
      </c>
      <c r="AQ40">
        <v>1</v>
      </c>
      <c r="AS40">
        <v>2</v>
      </c>
      <c r="AW40">
        <v>1</v>
      </c>
      <c r="AX40">
        <v>1</v>
      </c>
      <c r="AY40">
        <v>2</v>
      </c>
      <c r="AZ40">
        <v>2</v>
      </c>
      <c r="BA40">
        <v>1</v>
      </c>
      <c r="BB40">
        <v>2</v>
      </c>
      <c r="BC40">
        <v>4</v>
      </c>
      <c r="BD40">
        <v>1</v>
      </c>
      <c r="BE40">
        <v>1</v>
      </c>
      <c r="BG40">
        <v>2</v>
      </c>
      <c r="BH40">
        <v>3</v>
      </c>
      <c r="BJ40">
        <v>1</v>
      </c>
      <c r="BM40">
        <v>3</v>
      </c>
      <c r="BN40">
        <v>1</v>
      </c>
      <c r="BP40">
        <v>1</v>
      </c>
      <c r="BR40">
        <v>3</v>
      </c>
      <c r="BV40">
        <v>1</v>
      </c>
      <c r="BW40">
        <v>4</v>
      </c>
      <c r="BX40">
        <v>2</v>
      </c>
      <c r="CB40">
        <v>1</v>
      </c>
      <c r="CC40">
        <v>1</v>
      </c>
      <c r="CJ40">
        <v>2</v>
      </c>
      <c r="CK40">
        <v>2</v>
      </c>
      <c r="CN40">
        <v>1</v>
      </c>
      <c r="CQ40">
        <v>2</v>
      </c>
    </row>
    <row r="41" spans="1:95" x14ac:dyDescent="0.35">
      <c r="A41" t="s">
        <v>9</v>
      </c>
      <c r="C41">
        <v>1</v>
      </c>
      <c r="D41">
        <v>1</v>
      </c>
      <c r="G41">
        <v>2</v>
      </c>
      <c r="H41">
        <v>2</v>
      </c>
      <c r="I41">
        <v>1</v>
      </c>
      <c r="J41">
        <v>1</v>
      </c>
      <c r="K41">
        <v>2</v>
      </c>
      <c r="L41">
        <v>5</v>
      </c>
      <c r="M41">
        <v>1</v>
      </c>
      <c r="O41">
        <v>4</v>
      </c>
      <c r="P41">
        <v>1</v>
      </c>
      <c r="Q41">
        <v>2</v>
      </c>
      <c r="T41">
        <v>6</v>
      </c>
      <c r="X41">
        <v>2</v>
      </c>
      <c r="Y41">
        <v>2</v>
      </c>
      <c r="Z41">
        <v>1</v>
      </c>
      <c r="AA41">
        <v>1</v>
      </c>
      <c r="AB41">
        <v>1</v>
      </c>
      <c r="AC41">
        <v>3</v>
      </c>
      <c r="AF41">
        <v>4</v>
      </c>
      <c r="AI41">
        <v>1</v>
      </c>
      <c r="AL41">
        <v>1</v>
      </c>
      <c r="AN41">
        <v>1</v>
      </c>
      <c r="AR41">
        <v>2</v>
      </c>
      <c r="AS41">
        <v>3</v>
      </c>
      <c r="AT41">
        <v>1</v>
      </c>
      <c r="AW41">
        <v>2</v>
      </c>
      <c r="AX41">
        <v>5</v>
      </c>
      <c r="AY41">
        <v>3</v>
      </c>
      <c r="AZ41">
        <v>1</v>
      </c>
      <c r="BA41">
        <v>3</v>
      </c>
      <c r="BB41">
        <v>2</v>
      </c>
      <c r="BD41">
        <v>3</v>
      </c>
      <c r="BF41">
        <v>3</v>
      </c>
      <c r="BG41">
        <v>4</v>
      </c>
      <c r="BH41">
        <v>3</v>
      </c>
      <c r="BI41">
        <v>2</v>
      </c>
      <c r="BJ41">
        <v>1</v>
      </c>
      <c r="BL41">
        <v>1</v>
      </c>
      <c r="BM41">
        <v>2</v>
      </c>
      <c r="BN41">
        <v>1</v>
      </c>
      <c r="BP41">
        <v>1</v>
      </c>
      <c r="BQ41">
        <v>2</v>
      </c>
      <c r="BR41">
        <v>3</v>
      </c>
      <c r="BS41">
        <v>2</v>
      </c>
      <c r="BV41">
        <v>5</v>
      </c>
      <c r="BW41">
        <v>4</v>
      </c>
      <c r="BY41">
        <v>1</v>
      </c>
      <c r="BZ41">
        <v>3</v>
      </c>
      <c r="CB41">
        <v>4</v>
      </c>
      <c r="CC41">
        <v>2</v>
      </c>
      <c r="CG41">
        <v>2</v>
      </c>
      <c r="CL41">
        <v>2</v>
      </c>
      <c r="CP41">
        <v>1</v>
      </c>
    </row>
    <row r="42" spans="1:95" x14ac:dyDescent="0.35">
      <c r="A42" t="s">
        <v>143</v>
      </c>
      <c r="BW42">
        <v>1</v>
      </c>
      <c r="BZ42">
        <v>2</v>
      </c>
      <c r="CA42">
        <v>5</v>
      </c>
      <c r="CC42">
        <v>1</v>
      </c>
      <c r="CF42">
        <v>1</v>
      </c>
    </row>
    <row r="43" spans="1:95" x14ac:dyDescent="0.35">
      <c r="A43" t="s">
        <v>132</v>
      </c>
      <c r="BG43">
        <v>2</v>
      </c>
    </row>
    <row r="44" spans="1:95" x14ac:dyDescent="0.35">
      <c r="A44" t="s">
        <v>19</v>
      </c>
      <c r="B44">
        <v>1</v>
      </c>
      <c r="D44">
        <v>1</v>
      </c>
      <c r="F44">
        <v>2</v>
      </c>
      <c r="G44">
        <v>2</v>
      </c>
      <c r="H44">
        <v>4</v>
      </c>
      <c r="J44">
        <v>2</v>
      </c>
      <c r="K44">
        <v>2</v>
      </c>
      <c r="L44">
        <v>1</v>
      </c>
      <c r="M44">
        <v>1</v>
      </c>
      <c r="P44">
        <v>1</v>
      </c>
      <c r="Q44">
        <v>1</v>
      </c>
      <c r="R44">
        <v>3</v>
      </c>
      <c r="S44">
        <v>2</v>
      </c>
      <c r="T44">
        <v>2</v>
      </c>
      <c r="U44">
        <v>2</v>
      </c>
      <c r="W44">
        <v>3</v>
      </c>
      <c r="X44">
        <v>3</v>
      </c>
      <c r="Y44">
        <v>2</v>
      </c>
      <c r="AA44">
        <v>2</v>
      </c>
      <c r="AB44">
        <v>2</v>
      </c>
      <c r="AC44">
        <v>2</v>
      </c>
      <c r="AE44">
        <v>2</v>
      </c>
      <c r="AF44">
        <v>1</v>
      </c>
      <c r="AG44">
        <v>2</v>
      </c>
      <c r="AJ44">
        <v>4</v>
      </c>
      <c r="AK44">
        <v>2</v>
      </c>
      <c r="AM44">
        <v>1</v>
      </c>
      <c r="AN44">
        <v>1</v>
      </c>
      <c r="AO44">
        <v>1</v>
      </c>
      <c r="AP44">
        <v>1</v>
      </c>
      <c r="AU44">
        <v>1</v>
      </c>
      <c r="AV44">
        <v>1</v>
      </c>
      <c r="AW44">
        <v>2</v>
      </c>
      <c r="BA44">
        <v>1</v>
      </c>
      <c r="BH44">
        <v>2</v>
      </c>
      <c r="BJ44">
        <v>2</v>
      </c>
      <c r="BK44">
        <v>3</v>
      </c>
      <c r="BP44">
        <v>2</v>
      </c>
      <c r="CJ44">
        <v>1</v>
      </c>
    </row>
    <row r="45" spans="1:95" x14ac:dyDescent="0.35">
      <c r="A45" t="s">
        <v>144</v>
      </c>
    </row>
    <row r="46" spans="1:95" hidden="1" x14ac:dyDescent="0.35">
      <c r="A46" t="s">
        <v>60</v>
      </c>
      <c r="D46">
        <v>1</v>
      </c>
    </row>
    <row r="47" spans="1:95" x14ac:dyDescent="0.35">
      <c r="A47" t="s">
        <v>79</v>
      </c>
      <c r="F47">
        <v>1</v>
      </c>
    </row>
    <row r="48" spans="1:95" x14ac:dyDescent="0.35">
      <c r="A48" t="s">
        <v>160</v>
      </c>
    </row>
    <row r="49" spans="1:95" x14ac:dyDescent="0.35">
      <c r="A49" t="s">
        <v>125</v>
      </c>
      <c r="AW49">
        <v>2</v>
      </c>
    </row>
    <row r="50" spans="1:95" x14ac:dyDescent="0.35">
      <c r="A50" t="s">
        <v>18</v>
      </c>
      <c r="B50">
        <v>2</v>
      </c>
      <c r="C50">
        <v>1</v>
      </c>
      <c r="D50">
        <v>1</v>
      </c>
      <c r="F50">
        <v>4</v>
      </c>
      <c r="G50">
        <v>3</v>
      </c>
      <c r="H50">
        <v>1</v>
      </c>
      <c r="I50">
        <v>1</v>
      </c>
      <c r="M50">
        <v>2</v>
      </c>
      <c r="N50">
        <v>3</v>
      </c>
      <c r="T50">
        <v>1</v>
      </c>
      <c r="X50">
        <v>1</v>
      </c>
      <c r="AA50">
        <v>2</v>
      </c>
      <c r="AB50">
        <v>2</v>
      </c>
      <c r="AC50">
        <v>1</v>
      </c>
      <c r="AD50">
        <v>2</v>
      </c>
      <c r="AE50">
        <v>1</v>
      </c>
      <c r="AG50">
        <v>1</v>
      </c>
      <c r="AH50">
        <v>2</v>
      </c>
      <c r="AJ50">
        <v>1</v>
      </c>
      <c r="AM50">
        <v>4</v>
      </c>
      <c r="AN50">
        <v>1</v>
      </c>
      <c r="AP50">
        <v>1</v>
      </c>
      <c r="AR50">
        <v>1</v>
      </c>
      <c r="AS50">
        <v>1</v>
      </c>
      <c r="AT50">
        <v>1</v>
      </c>
      <c r="AV50">
        <v>1</v>
      </c>
      <c r="AZ50">
        <v>2</v>
      </c>
      <c r="BA50">
        <v>1</v>
      </c>
      <c r="BC50">
        <v>3</v>
      </c>
      <c r="BD50">
        <v>1</v>
      </c>
      <c r="BI50">
        <v>1</v>
      </c>
      <c r="BJ50">
        <v>1</v>
      </c>
      <c r="BK50">
        <v>3</v>
      </c>
      <c r="BL50">
        <v>2</v>
      </c>
      <c r="BM50">
        <v>5</v>
      </c>
      <c r="BO50">
        <v>1</v>
      </c>
      <c r="BP50">
        <v>3</v>
      </c>
      <c r="BQ50">
        <v>3</v>
      </c>
      <c r="BS50">
        <v>1</v>
      </c>
      <c r="BX50">
        <v>3</v>
      </c>
      <c r="BY50">
        <v>5</v>
      </c>
      <c r="BZ50">
        <v>1</v>
      </c>
      <c r="CB50">
        <v>3</v>
      </c>
      <c r="CC50">
        <v>2</v>
      </c>
      <c r="CD50">
        <v>4</v>
      </c>
      <c r="CF50">
        <v>1</v>
      </c>
      <c r="CI50">
        <v>2</v>
      </c>
      <c r="CJ50">
        <v>2</v>
      </c>
      <c r="CK50">
        <v>2</v>
      </c>
      <c r="CL50">
        <v>1</v>
      </c>
      <c r="CM50">
        <v>3</v>
      </c>
      <c r="CQ50">
        <v>3</v>
      </c>
    </row>
    <row r="51" spans="1:95" x14ac:dyDescent="0.35">
      <c r="A51" t="s">
        <v>42</v>
      </c>
      <c r="AQ51">
        <v>2</v>
      </c>
    </row>
    <row r="52" spans="1:95" x14ac:dyDescent="0.35">
      <c r="A52" t="s">
        <v>67</v>
      </c>
      <c r="E52">
        <v>1</v>
      </c>
      <c r="I52">
        <v>1</v>
      </c>
      <c r="N52">
        <v>1</v>
      </c>
      <c r="W52">
        <v>2</v>
      </c>
      <c r="AQ52">
        <v>1</v>
      </c>
    </row>
    <row r="53" spans="1:95" x14ac:dyDescent="0.35">
      <c r="A53" t="s">
        <v>52</v>
      </c>
      <c r="N53">
        <v>1</v>
      </c>
      <c r="BZ53">
        <v>2</v>
      </c>
    </row>
    <row r="54" spans="1:95" x14ac:dyDescent="0.35">
      <c r="A54" t="s">
        <v>119</v>
      </c>
      <c r="AM54">
        <v>5</v>
      </c>
      <c r="BB54">
        <v>9</v>
      </c>
      <c r="BN54">
        <v>2</v>
      </c>
    </row>
    <row r="55" spans="1:95" x14ac:dyDescent="0.35">
      <c r="A55" t="s">
        <v>99</v>
      </c>
      <c r="U55">
        <v>1</v>
      </c>
      <c r="BR55">
        <v>1</v>
      </c>
      <c r="BS55">
        <v>1</v>
      </c>
      <c r="BT55">
        <v>1</v>
      </c>
    </row>
    <row r="56" spans="1:95" x14ac:dyDescent="0.35">
      <c r="A56" t="s">
        <v>170</v>
      </c>
      <c r="AN56">
        <v>1</v>
      </c>
      <c r="BR56">
        <v>1</v>
      </c>
      <c r="BS56">
        <v>1</v>
      </c>
      <c r="BT56">
        <v>3</v>
      </c>
      <c r="CD56">
        <v>1</v>
      </c>
      <c r="CJ56">
        <v>1</v>
      </c>
      <c r="CN56">
        <v>1</v>
      </c>
    </row>
    <row r="57" spans="1:95" x14ac:dyDescent="0.35">
      <c r="A57" t="s">
        <v>169</v>
      </c>
    </row>
    <row r="58" spans="1:95" x14ac:dyDescent="0.35">
      <c r="A58" t="s">
        <v>98</v>
      </c>
      <c r="X58">
        <v>1</v>
      </c>
      <c r="Y58">
        <v>2</v>
      </c>
      <c r="AF58">
        <v>2</v>
      </c>
    </row>
    <row r="59" spans="1:95" x14ac:dyDescent="0.35">
      <c r="A59" t="s">
        <v>146</v>
      </c>
      <c r="CB59">
        <v>5</v>
      </c>
      <c r="CH59">
        <v>5</v>
      </c>
    </row>
    <row r="60" spans="1:95" x14ac:dyDescent="0.35">
      <c r="A60" t="s">
        <v>10</v>
      </c>
      <c r="B60">
        <v>2</v>
      </c>
      <c r="C60">
        <v>3</v>
      </c>
      <c r="F60">
        <v>2</v>
      </c>
      <c r="I60">
        <v>2</v>
      </c>
      <c r="J60">
        <v>2</v>
      </c>
      <c r="K60">
        <v>1</v>
      </c>
      <c r="L60">
        <v>1</v>
      </c>
      <c r="M60">
        <v>1</v>
      </c>
      <c r="O60">
        <v>2</v>
      </c>
      <c r="R60">
        <v>3</v>
      </c>
      <c r="S60">
        <v>1</v>
      </c>
      <c r="T60">
        <v>1</v>
      </c>
      <c r="V60">
        <v>1</v>
      </c>
      <c r="W60">
        <v>3</v>
      </c>
      <c r="X60">
        <v>1</v>
      </c>
      <c r="Y60">
        <v>1</v>
      </c>
      <c r="Z60">
        <v>1.5</v>
      </c>
      <c r="AC60">
        <v>1</v>
      </c>
      <c r="AD60">
        <v>2</v>
      </c>
      <c r="AE60">
        <v>1</v>
      </c>
      <c r="AF60">
        <v>2</v>
      </c>
      <c r="AH60">
        <v>2</v>
      </c>
      <c r="AL60">
        <v>3</v>
      </c>
      <c r="AP60">
        <v>2</v>
      </c>
      <c r="AQ60">
        <v>4</v>
      </c>
      <c r="AR60">
        <v>3</v>
      </c>
      <c r="AS60">
        <v>0.5</v>
      </c>
      <c r="AU60">
        <v>2</v>
      </c>
      <c r="AV60">
        <v>1</v>
      </c>
      <c r="BC60">
        <v>1</v>
      </c>
      <c r="BD60">
        <v>1</v>
      </c>
      <c r="BE60">
        <v>7</v>
      </c>
      <c r="BH60">
        <v>1</v>
      </c>
      <c r="BI60">
        <v>1</v>
      </c>
      <c r="BJ60">
        <v>3</v>
      </c>
      <c r="BK60">
        <v>3</v>
      </c>
      <c r="BL60">
        <v>1</v>
      </c>
      <c r="BM60">
        <v>1</v>
      </c>
      <c r="BN60">
        <v>4</v>
      </c>
      <c r="BP60">
        <v>1</v>
      </c>
      <c r="BQ60">
        <v>3</v>
      </c>
      <c r="BR60">
        <v>1</v>
      </c>
      <c r="BT60">
        <v>1</v>
      </c>
      <c r="BV60">
        <v>1</v>
      </c>
      <c r="BW60">
        <v>2</v>
      </c>
      <c r="BX60">
        <v>2</v>
      </c>
      <c r="BZ60">
        <v>2</v>
      </c>
      <c r="CC60">
        <v>4</v>
      </c>
      <c r="CD60">
        <v>1</v>
      </c>
      <c r="CJ60">
        <v>1</v>
      </c>
      <c r="CK60">
        <v>1</v>
      </c>
      <c r="CL60">
        <v>1</v>
      </c>
    </row>
    <row r="61" spans="1:95" x14ac:dyDescent="0.35">
      <c r="A61" t="s">
        <v>45</v>
      </c>
      <c r="B61">
        <v>1</v>
      </c>
      <c r="O61">
        <v>3</v>
      </c>
      <c r="P61">
        <v>1</v>
      </c>
      <c r="Q61">
        <v>2</v>
      </c>
      <c r="AM61">
        <v>1</v>
      </c>
      <c r="AN61">
        <v>1</v>
      </c>
      <c r="AP61">
        <v>1</v>
      </c>
      <c r="AS61">
        <v>1</v>
      </c>
      <c r="AV61">
        <v>1</v>
      </c>
      <c r="AX61">
        <v>5</v>
      </c>
      <c r="AY61">
        <v>1</v>
      </c>
      <c r="BA61">
        <v>2</v>
      </c>
      <c r="BB61">
        <v>4</v>
      </c>
      <c r="BE61">
        <v>3</v>
      </c>
      <c r="BF61">
        <v>2</v>
      </c>
      <c r="BH61">
        <v>3</v>
      </c>
      <c r="BK61">
        <v>1</v>
      </c>
      <c r="BT61">
        <v>3</v>
      </c>
      <c r="BZ61">
        <v>1</v>
      </c>
      <c r="CB61">
        <v>2</v>
      </c>
      <c r="CC61">
        <v>1</v>
      </c>
      <c r="CD61">
        <v>1</v>
      </c>
      <c r="CF61">
        <v>1</v>
      </c>
    </row>
    <row r="62" spans="1:95" x14ac:dyDescent="0.35">
      <c r="A62" t="s">
        <v>152</v>
      </c>
      <c r="CN62">
        <v>1</v>
      </c>
      <c r="CO62">
        <v>1</v>
      </c>
      <c r="CP62">
        <v>2</v>
      </c>
    </row>
    <row r="63" spans="1:95" hidden="1" x14ac:dyDescent="0.35">
      <c r="A63" t="s">
        <v>104</v>
      </c>
    </row>
    <row r="64" spans="1:95" x14ac:dyDescent="0.35">
      <c r="A64" t="s">
        <v>128</v>
      </c>
    </row>
    <row r="65" spans="1:95" x14ac:dyDescent="0.35">
      <c r="A65" t="s">
        <v>3</v>
      </c>
      <c r="F65">
        <v>3</v>
      </c>
      <c r="L65">
        <v>1</v>
      </c>
      <c r="S65">
        <v>3</v>
      </c>
      <c r="AH65">
        <v>1</v>
      </c>
    </row>
    <row r="66" spans="1:95" x14ac:dyDescent="0.35">
      <c r="A66" t="s">
        <v>55</v>
      </c>
      <c r="C66">
        <v>3</v>
      </c>
      <c r="E66">
        <v>2</v>
      </c>
      <c r="F66">
        <v>1</v>
      </c>
      <c r="G66">
        <v>2</v>
      </c>
      <c r="I66">
        <v>1</v>
      </c>
      <c r="J66">
        <v>1</v>
      </c>
      <c r="K66">
        <v>1</v>
      </c>
      <c r="L66">
        <v>1</v>
      </c>
      <c r="M66">
        <v>1</v>
      </c>
      <c r="P66">
        <v>1</v>
      </c>
      <c r="R66">
        <v>1</v>
      </c>
      <c r="S66">
        <v>4</v>
      </c>
      <c r="T66">
        <v>1</v>
      </c>
      <c r="V66">
        <v>1</v>
      </c>
      <c r="W66">
        <v>2</v>
      </c>
      <c r="Z66">
        <v>2</v>
      </c>
      <c r="AA66">
        <v>1</v>
      </c>
      <c r="AB66">
        <v>4</v>
      </c>
      <c r="AC66">
        <v>1</v>
      </c>
      <c r="AD66">
        <v>1</v>
      </c>
      <c r="AX66">
        <v>1</v>
      </c>
      <c r="AY66">
        <v>1</v>
      </c>
      <c r="AZ66">
        <v>2</v>
      </c>
      <c r="BD66">
        <v>1</v>
      </c>
      <c r="BF66">
        <v>1</v>
      </c>
      <c r="BH66">
        <v>1</v>
      </c>
      <c r="BI66">
        <v>1</v>
      </c>
      <c r="BJ66">
        <v>2</v>
      </c>
      <c r="BK66">
        <v>1</v>
      </c>
      <c r="BL66">
        <v>2</v>
      </c>
      <c r="BM66">
        <v>2</v>
      </c>
      <c r="BN66">
        <v>2</v>
      </c>
      <c r="BO66">
        <v>1</v>
      </c>
      <c r="BP66">
        <v>1</v>
      </c>
      <c r="BR66">
        <v>1</v>
      </c>
      <c r="BS66">
        <v>2</v>
      </c>
      <c r="BU66">
        <v>2</v>
      </c>
      <c r="BV66">
        <v>1</v>
      </c>
      <c r="BX66">
        <v>1</v>
      </c>
      <c r="BY66">
        <v>2</v>
      </c>
      <c r="BZ66">
        <v>2</v>
      </c>
      <c r="CA66">
        <v>2</v>
      </c>
      <c r="CB66">
        <v>2</v>
      </c>
      <c r="CC66">
        <v>4</v>
      </c>
      <c r="CD66">
        <v>5</v>
      </c>
      <c r="CG66">
        <v>1</v>
      </c>
      <c r="CH66">
        <v>1</v>
      </c>
      <c r="CI66">
        <v>2</v>
      </c>
      <c r="CJ66">
        <v>5</v>
      </c>
      <c r="CN66">
        <v>1</v>
      </c>
      <c r="CO66">
        <v>1</v>
      </c>
      <c r="CQ66">
        <v>1</v>
      </c>
    </row>
    <row r="67" spans="1:95" x14ac:dyDescent="0.35">
      <c r="A67" t="s">
        <v>120</v>
      </c>
      <c r="AN67">
        <v>3</v>
      </c>
    </row>
    <row r="68" spans="1:95" x14ac:dyDescent="0.35">
      <c r="A68" t="s">
        <v>138</v>
      </c>
      <c r="BN68">
        <v>3</v>
      </c>
      <c r="BO68">
        <v>2</v>
      </c>
      <c r="BQ68">
        <v>2</v>
      </c>
    </row>
    <row r="69" spans="1:95" x14ac:dyDescent="0.35">
      <c r="A69" t="s">
        <v>59</v>
      </c>
      <c r="B69">
        <v>2</v>
      </c>
      <c r="BF69">
        <v>1</v>
      </c>
      <c r="BT69">
        <v>2</v>
      </c>
    </row>
    <row r="70" spans="1:95" x14ac:dyDescent="0.35">
      <c r="A70" t="s">
        <v>95</v>
      </c>
      <c r="Q70">
        <v>1</v>
      </c>
      <c r="U70">
        <v>1</v>
      </c>
      <c r="W70">
        <v>1</v>
      </c>
      <c r="X70">
        <v>3</v>
      </c>
      <c r="Y70">
        <v>1</v>
      </c>
      <c r="Z70">
        <v>1</v>
      </c>
    </row>
    <row r="71" spans="1:95" x14ac:dyDescent="0.35">
      <c r="A71" t="s">
        <v>94</v>
      </c>
    </row>
    <row r="72" spans="1:95" x14ac:dyDescent="0.35">
      <c r="A72" t="s">
        <v>171</v>
      </c>
    </row>
    <row r="73" spans="1:95" x14ac:dyDescent="0.35">
      <c r="A73" t="s">
        <v>162</v>
      </c>
    </row>
    <row r="74" spans="1:95" x14ac:dyDescent="0.35">
      <c r="A74" t="s">
        <v>11</v>
      </c>
    </row>
    <row r="75" spans="1:95" x14ac:dyDescent="0.35">
      <c r="A75" t="s">
        <v>54</v>
      </c>
      <c r="B75">
        <v>2</v>
      </c>
      <c r="C75">
        <v>1</v>
      </c>
      <c r="D75">
        <v>1</v>
      </c>
      <c r="E75">
        <v>1</v>
      </c>
      <c r="F75">
        <v>3</v>
      </c>
      <c r="G75">
        <v>2</v>
      </c>
      <c r="H75">
        <v>3</v>
      </c>
      <c r="J75">
        <v>1</v>
      </c>
      <c r="K75">
        <v>1</v>
      </c>
      <c r="M75">
        <v>3</v>
      </c>
      <c r="N75">
        <v>4</v>
      </c>
      <c r="X75">
        <v>6</v>
      </c>
      <c r="Y75">
        <v>5</v>
      </c>
      <c r="Z75">
        <v>1</v>
      </c>
      <c r="AD75">
        <v>2</v>
      </c>
      <c r="AG75">
        <v>3</v>
      </c>
      <c r="AJ75">
        <v>2</v>
      </c>
      <c r="AM75">
        <v>2</v>
      </c>
      <c r="AO75">
        <v>3</v>
      </c>
      <c r="AQ75">
        <v>2</v>
      </c>
      <c r="AT75">
        <v>1</v>
      </c>
      <c r="AU75">
        <v>4</v>
      </c>
      <c r="AV75">
        <v>2</v>
      </c>
      <c r="AX75">
        <v>1</v>
      </c>
      <c r="AY75">
        <v>2</v>
      </c>
      <c r="AZ75">
        <v>1</v>
      </c>
      <c r="BA75">
        <v>4</v>
      </c>
      <c r="BB75">
        <v>2</v>
      </c>
      <c r="BH75">
        <v>1</v>
      </c>
      <c r="BR75">
        <v>2</v>
      </c>
    </row>
    <row r="76" spans="1:95" x14ac:dyDescent="0.35">
      <c r="A76" t="s">
        <v>20</v>
      </c>
    </row>
    <row r="77" spans="1:95" x14ac:dyDescent="0.35">
      <c r="A77" t="s">
        <v>80</v>
      </c>
      <c r="G77">
        <v>3</v>
      </c>
      <c r="K77">
        <v>1</v>
      </c>
      <c r="BG77">
        <v>2</v>
      </c>
      <c r="BN77">
        <v>4</v>
      </c>
      <c r="BP77">
        <v>1</v>
      </c>
      <c r="BR77">
        <v>2</v>
      </c>
      <c r="BS77">
        <v>3</v>
      </c>
      <c r="BU77">
        <v>3</v>
      </c>
      <c r="BV77">
        <v>2</v>
      </c>
      <c r="BW77">
        <v>2</v>
      </c>
      <c r="BX77">
        <v>2</v>
      </c>
      <c r="BY77">
        <v>2</v>
      </c>
    </row>
    <row r="78" spans="1:95" x14ac:dyDescent="0.35">
      <c r="A78" t="s">
        <v>62</v>
      </c>
      <c r="B78">
        <v>2</v>
      </c>
      <c r="D78">
        <v>1</v>
      </c>
      <c r="AF78">
        <v>2</v>
      </c>
      <c r="AQ78">
        <v>3</v>
      </c>
      <c r="BF78">
        <v>1</v>
      </c>
      <c r="BM78">
        <v>1</v>
      </c>
      <c r="BW78">
        <v>1</v>
      </c>
      <c r="CB78">
        <v>1</v>
      </c>
      <c r="CD78">
        <v>2</v>
      </c>
    </row>
    <row r="79" spans="1:95" x14ac:dyDescent="0.35">
      <c r="A79" t="s">
        <v>82</v>
      </c>
    </row>
    <row r="80" spans="1:95" x14ac:dyDescent="0.35">
      <c r="A80" t="s">
        <v>153</v>
      </c>
    </row>
    <row r="81" spans="1:95" x14ac:dyDescent="0.35">
      <c r="A81" t="s">
        <v>21</v>
      </c>
      <c r="Y81">
        <v>1</v>
      </c>
      <c r="AB81">
        <v>2</v>
      </c>
      <c r="AD81">
        <v>3</v>
      </c>
      <c r="AI81">
        <v>1</v>
      </c>
      <c r="AR81">
        <v>4</v>
      </c>
      <c r="AV81">
        <v>3</v>
      </c>
      <c r="BA81">
        <v>2</v>
      </c>
      <c r="BB81">
        <v>5</v>
      </c>
      <c r="BE81">
        <v>6</v>
      </c>
      <c r="BS81">
        <v>1</v>
      </c>
      <c r="BT81">
        <v>1</v>
      </c>
      <c r="BU81">
        <v>2</v>
      </c>
      <c r="BV81">
        <v>3</v>
      </c>
      <c r="BX81">
        <v>2</v>
      </c>
      <c r="CC81">
        <v>2</v>
      </c>
      <c r="CG81">
        <v>1</v>
      </c>
      <c r="CI81">
        <v>1</v>
      </c>
      <c r="CM81">
        <v>3</v>
      </c>
      <c r="CP81">
        <v>1</v>
      </c>
    </row>
    <row r="82" spans="1:95" x14ac:dyDescent="0.35">
      <c r="A82" t="s">
        <v>108</v>
      </c>
      <c r="CP82">
        <v>1</v>
      </c>
      <c r="CQ82">
        <v>1</v>
      </c>
    </row>
    <row r="83" spans="1:95" x14ac:dyDescent="0.35">
      <c r="A83" t="s">
        <v>127</v>
      </c>
      <c r="AU83">
        <v>1</v>
      </c>
      <c r="AV83">
        <v>1</v>
      </c>
      <c r="AW83">
        <v>3</v>
      </c>
      <c r="AX83">
        <v>1</v>
      </c>
      <c r="AZ83">
        <v>1</v>
      </c>
      <c r="BC83">
        <v>2</v>
      </c>
      <c r="BX83">
        <v>1</v>
      </c>
    </row>
    <row r="84" spans="1:95" x14ac:dyDescent="0.35">
      <c r="A84" t="s">
        <v>43</v>
      </c>
      <c r="N84">
        <v>3</v>
      </c>
      <c r="S84">
        <v>2</v>
      </c>
      <c r="AG84">
        <v>2</v>
      </c>
      <c r="AI84">
        <v>1</v>
      </c>
      <c r="AP84">
        <v>2</v>
      </c>
      <c r="AQ84">
        <v>1</v>
      </c>
      <c r="AR84">
        <v>3</v>
      </c>
      <c r="AW84">
        <v>1</v>
      </c>
      <c r="BA84">
        <v>1</v>
      </c>
      <c r="BE84">
        <v>1</v>
      </c>
      <c r="BI84">
        <v>2</v>
      </c>
      <c r="BL84">
        <v>2</v>
      </c>
      <c r="BN84">
        <v>2</v>
      </c>
      <c r="BO84">
        <v>1</v>
      </c>
      <c r="BP84">
        <v>1</v>
      </c>
      <c r="BR84">
        <v>1</v>
      </c>
      <c r="CH84">
        <v>1</v>
      </c>
      <c r="CJ84">
        <v>1</v>
      </c>
      <c r="CL84">
        <v>1</v>
      </c>
      <c r="CM84">
        <v>1</v>
      </c>
      <c r="CN84">
        <v>1</v>
      </c>
      <c r="CO84">
        <v>1</v>
      </c>
      <c r="CP84">
        <v>1</v>
      </c>
    </row>
    <row r="85" spans="1:95" x14ac:dyDescent="0.35">
      <c r="A85" t="s">
        <v>130</v>
      </c>
      <c r="BF85">
        <v>1</v>
      </c>
      <c r="BG85">
        <v>1</v>
      </c>
    </row>
    <row r="86" spans="1:95" x14ac:dyDescent="0.35">
      <c r="A86" t="s">
        <v>8</v>
      </c>
      <c r="B86">
        <v>1</v>
      </c>
      <c r="H86">
        <v>1</v>
      </c>
      <c r="J86">
        <v>2</v>
      </c>
      <c r="Q86">
        <v>2</v>
      </c>
    </row>
    <row r="87" spans="1:95" x14ac:dyDescent="0.35">
      <c r="A87" t="s">
        <v>81</v>
      </c>
      <c r="B87">
        <v>2</v>
      </c>
      <c r="C87">
        <v>2</v>
      </c>
      <c r="D87">
        <v>1</v>
      </c>
      <c r="E87">
        <v>2</v>
      </c>
      <c r="F87">
        <v>1</v>
      </c>
      <c r="G87">
        <v>2</v>
      </c>
      <c r="H87">
        <v>2</v>
      </c>
      <c r="I87">
        <v>3</v>
      </c>
      <c r="J87">
        <v>4</v>
      </c>
      <c r="L87">
        <v>4</v>
      </c>
      <c r="M87">
        <v>1</v>
      </c>
      <c r="N87">
        <v>2</v>
      </c>
      <c r="O87">
        <v>1</v>
      </c>
      <c r="P87">
        <v>1</v>
      </c>
      <c r="Q87">
        <v>1</v>
      </c>
      <c r="R87">
        <v>3</v>
      </c>
      <c r="S87">
        <v>3</v>
      </c>
      <c r="U87">
        <v>3</v>
      </c>
      <c r="V87">
        <v>1</v>
      </c>
      <c r="W87">
        <v>3</v>
      </c>
      <c r="AC87">
        <v>1</v>
      </c>
      <c r="AF87">
        <v>1</v>
      </c>
      <c r="AH87">
        <v>2</v>
      </c>
      <c r="AI87">
        <v>3</v>
      </c>
      <c r="AJ87">
        <v>1</v>
      </c>
      <c r="AK87">
        <v>4</v>
      </c>
      <c r="AL87">
        <v>3</v>
      </c>
      <c r="AN87">
        <v>1</v>
      </c>
      <c r="AP87">
        <v>2</v>
      </c>
      <c r="AT87">
        <v>2</v>
      </c>
      <c r="AU87">
        <v>3</v>
      </c>
      <c r="AV87">
        <v>1</v>
      </c>
      <c r="AW87">
        <v>1</v>
      </c>
      <c r="AX87">
        <v>1</v>
      </c>
      <c r="AY87">
        <v>1</v>
      </c>
      <c r="AZ87">
        <v>2</v>
      </c>
      <c r="BC87">
        <v>2</v>
      </c>
      <c r="BD87">
        <v>1</v>
      </c>
      <c r="BF87">
        <v>2</v>
      </c>
      <c r="BH87">
        <v>3</v>
      </c>
      <c r="BI87">
        <v>1</v>
      </c>
      <c r="BJ87">
        <v>2</v>
      </c>
      <c r="BK87">
        <v>3</v>
      </c>
      <c r="BM87">
        <v>2</v>
      </c>
      <c r="BN87">
        <v>3</v>
      </c>
      <c r="BU87">
        <v>1</v>
      </c>
      <c r="BV87">
        <v>3</v>
      </c>
      <c r="BX87">
        <v>2</v>
      </c>
      <c r="BY87">
        <v>1</v>
      </c>
      <c r="BZ87">
        <v>1</v>
      </c>
      <c r="CA87">
        <v>1</v>
      </c>
      <c r="CB87">
        <v>1</v>
      </c>
      <c r="CD87">
        <v>3</v>
      </c>
      <c r="CG87">
        <v>1</v>
      </c>
      <c r="CH87">
        <v>2</v>
      </c>
      <c r="CL87">
        <v>2</v>
      </c>
      <c r="CP87">
        <v>1</v>
      </c>
      <c r="CQ87">
        <v>1</v>
      </c>
    </row>
    <row r="88" spans="1:95" x14ac:dyDescent="0.35">
      <c r="A88" t="s">
        <v>172</v>
      </c>
    </row>
    <row r="89" spans="1:95" x14ac:dyDescent="0.35">
      <c r="A89" t="s">
        <v>48</v>
      </c>
      <c r="G89">
        <v>2</v>
      </c>
    </row>
    <row r="90" spans="1:95" x14ac:dyDescent="0.35">
      <c r="A90" t="s">
        <v>155</v>
      </c>
    </row>
    <row r="91" spans="1:95" x14ac:dyDescent="0.35">
      <c r="A91" t="s">
        <v>141</v>
      </c>
      <c r="BZ91">
        <v>5</v>
      </c>
      <c r="CA91">
        <v>2</v>
      </c>
      <c r="CB91">
        <v>1</v>
      </c>
      <c r="CJ91">
        <v>3</v>
      </c>
    </row>
    <row r="92" spans="1:95" x14ac:dyDescent="0.35">
      <c r="A92" t="s">
        <v>84</v>
      </c>
      <c r="K92">
        <v>4</v>
      </c>
      <c r="L92">
        <v>2</v>
      </c>
      <c r="M92">
        <v>5</v>
      </c>
      <c r="CP92">
        <v>2</v>
      </c>
      <c r="CQ92">
        <v>5</v>
      </c>
    </row>
    <row r="93" spans="1:95" x14ac:dyDescent="0.35">
      <c r="A93" t="s">
        <v>5</v>
      </c>
      <c r="B93">
        <v>1</v>
      </c>
      <c r="C93">
        <v>2</v>
      </c>
      <c r="D93">
        <v>2</v>
      </c>
      <c r="E93">
        <v>3</v>
      </c>
      <c r="F93">
        <v>2</v>
      </c>
      <c r="G93">
        <v>3</v>
      </c>
      <c r="H93">
        <v>1</v>
      </c>
      <c r="M93">
        <v>4</v>
      </c>
      <c r="N93">
        <v>6</v>
      </c>
      <c r="P93">
        <v>2</v>
      </c>
      <c r="Q93">
        <v>1</v>
      </c>
      <c r="R93">
        <v>2</v>
      </c>
      <c r="S93">
        <v>3</v>
      </c>
      <c r="V93">
        <v>2</v>
      </c>
      <c r="W93">
        <v>1</v>
      </c>
      <c r="X93">
        <v>1</v>
      </c>
      <c r="Y93">
        <v>4</v>
      </c>
      <c r="Z93">
        <v>5</v>
      </c>
      <c r="AA93">
        <v>1</v>
      </c>
      <c r="AB93">
        <v>3</v>
      </c>
      <c r="AC93">
        <v>4</v>
      </c>
      <c r="AD93">
        <v>3</v>
      </c>
      <c r="AE93">
        <v>3</v>
      </c>
      <c r="AF93">
        <v>2</v>
      </c>
      <c r="AG93">
        <v>5</v>
      </c>
      <c r="AH93">
        <v>7</v>
      </c>
      <c r="AI93">
        <v>3</v>
      </c>
      <c r="AJ93">
        <v>1</v>
      </c>
      <c r="AK93">
        <v>1</v>
      </c>
      <c r="AL93">
        <v>6</v>
      </c>
      <c r="AR93">
        <v>3</v>
      </c>
      <c r="AS93">
        <v>2</v>
      </c>
      <c r="AV93">
        <v>2</v>
      </c>
      <c r="AW93">
        <v>1</v>
      </c>
      <c r="AX93">
        <v>4</v>
      </c>
      <c r="AY93">
        <v>3</v>
      </c>
      <c r="AZ93">
        <v>4</v>
      </c>
      <c r="BA93">
        <v>5</v>
      </c>
      <c r="BB93">
        <v>6</v>
      </c>
      <c r="BC93">
        <v>2</v>
      </c>
      <c r="BD93">
        <v>2</v>
      </c>
      <c r="BE93">
        <v>7</v>
      </c>
      <c r="BG93">
        <v>4</v>
      </c>
      <c r="BH93">
        <v>3</v>
      </c>
      <c r="BI93">
        <v>4</v>
      </c>
      <c r="BK93">
        <v>1</v>
      </c>
      <c r="BL93">
        <v>8</v>
      </c>
      <c r="BM93">
        <v>4</v>
      </c>
      <c r="BN93">
        <v>5</v>
      </c>
      <c r="BO93">
        <v>3</v>
      </c>
      <c r="BP93">
        <v>1</v>
      </c>
      <c r="BQ93">
        <v>1</v>
      </c>
      <c r="BR93">
        <v>3</v>
      </c>
      <c r="BS93">
        <v>1</v>
      </c>
      <c r="CF93">
        <v>4</v>
      </c>
      <c r="CG93">
        <v>4</v>
      </c>
      <c r="CH93">
        <v>6</v>
      </c>
      <c r="CI93">
        <v>2</v>
      </c>
      <c r="CJ93">
        <v>7</v>
      </c>
      <c r="CL93">
        <v>3</v>
      </c>
      <c r="CM93">
        <v>6</v>
      </c>
      <c r="CN93">
        <v>2</v>
      </c>
      <c r="CO93">
        <v>1</v>
      </c>
      <c r="CP93">
        <v>1</v>
      </c>
      <c r="CQ93">
        <v>1</v>
      </c>
    </row>
    <row r="94" spans="1:95" x14ac:dyDescent="0.35">
      <c r="A94" t="s">
        <v>44</v>
      </c>
      <c r="K94">
        <v>1</v>
      </c>
      <c r="BJ94">
        <v>1</v>
      </c>
    </row>
    <row r="95" spans="1:95" x14ac:dyDescent="0.35">
      <c r="A95" t="s">
        <v>118</v>
      </c>
      <c r="B95">
        <v>1</v>
      </c>
      <c r="D95">
        <v>1</v>
      </c>
      <c r="E95">
        <v>3</v>
      </c>
      <c r="O95">
        <v>2</v>
      </c>
      <c r="P95">
        <v>2</v>
      </c>
      <c r="Q95">
        <v>1</v>
      </c>
      <c r="R95">
        <v>1</v>
      </c>
      <c r="AD95">
        <v>1</v>
      </c>
      <c r="AE95">
        <v>1</v>
      </c>
      <c r="AG95">
        <v>1</v>
      </c>
      <c r="AH95">
        <v>2</v>
      </c>
      <c r="AL95">
        <v>3</v>
      </c>
      <c r="AM95">
        <v>2</v>
      </c>
      <c r="AN95">
        <v>1</v>
      </c>
      <c r="AO95">
        <v>1</v>
      </c>
      <c r="AR95">
        <v>1</v>
      </c>
      <c r="AS95">
        <v>1</v>
      </c>
      <c r="AT95">
        <v>1</v>
      </c>
      <c r="AV95">
        <v>1</v>
      </c>
      <c r="AW95">
        <v>2</v>
      </c>
      <c r="BD95">
        <v>1</v>
      </c>
      <c r="BF95">
        <v>1</v>
      </c>
      <c r="BI95">
        <v>1</v>
      </c>
      <c r="BU95">
        <v>2</v>
      </c>
      <c r="BW95">
        <v>2</v>
      </c>
      <c r="CB95">
        <v>1</v>
      </c>
      <c r="CL95">
        <v>1</v>
      </c>
    </row>
    <row r="96" spans="1:95" x14ac:dyDescent="0.35">
      <c r="A96" t="s">
        <v>106</v>
      </c>
      <c r="Z96">
        <v>1</v>
      </c>
    </row>
    <row r="97" spans="1:95" x14ac:dyDescent="0.35">
      <c r="A97" t="s">
        <v>159</v>
      </c>
    </row>
    <row r="98" spans="1:95" x14ac:dyDescent="0.35">
      <c r="A98" t="s">
        <v>117</v>
      </c>
    </row>
    <row r="99" spans="1:95" hidden="1" x14ac:dyDescent="0.35">
      <c r="A99" t="s">
        <v>46</v>
      </c>
    </row>
    <row r="100" spans="1:95" x14ac:dyDescent="0.35">
      <c r="A100" t="s">
        <v>16</v>
      </c>
      <c r="F100">
        <v>2</v>
      </c>
      <c r="J100">
        <v>1</v>
      </c>
      <c r="K100">
        <v>1</v>
      </c>
    </row>
    <row r="101" spans="1:95" x14ac:dyDescent="0.35">
      <c r="A101" t="s">
        <v>165</v>
      </c>
    </row>
    <row r="102" spans="1:95" x14ac:dyDescent="0.35">
      <c r="A102" t="s">
        <v>85</v>
      </c>
      <c r="K102">
        <v>5</v>
      </c>
    </row>
    <row r="103" spans="1:95" x14ac:dyDescent="0.35">
      <c r="A103" t="s">
        <v>15</v>
      </c>
      <c r="C103">
        <v>4</v>
      </c>
      <c r="D103">
        <v>3</v>
      </c>
      <c r="F103">
        <v>2</v>
      </c>
      <c r="G103">
        <v>5</v>
      </c>
      <c r="H103">
        <v>3</v>
      </c>
      <c r="I103">
        <v>2</v>
      </c>
      <c r="J103">
        <v>5</v>
      </c>
      <c r="K103">
        <v>3</v>
      </c>
      <c r="L103">
        <v>2</v>
      </c>
      <c r="M103">
        <v>3</v>
      </c>
      <c r="O103">
        <v>5</v>
      </c>
      <c r="P103">
        <v>5</v>
      </c>
      <c r="Q103">
        <v>3</v>
      </c>
      <c r="R103">
        <v>2</v>
      </c>
      <c r="S103">
        <v>3</v>
      </c>
      <c r="T103">
        <v>1</v>
      </c>
      <c r="U103">
        <v>1</v>
      </c>
      <c r="V103">
        <v>3</v>
      </c>
      <c r="W103">
        <v>3</v>
      </c>
      <c r="X103">
        <v>5</v>
      </c>
      <c r="Y103">
        <v>4</v>
      </c>
      <c r="Z103">
        <v>1</v>
      </c>
      <c r="AA103">
        <v>3</v>
      </c>
      <c r="AC103">
        <v>1</v>
      </c>
      <c r="AE103">
        <v>4</v>
      </c>
      <c r="AF103">
        <v>2</v>
      </c>
      <c r="AG103">
        <v>3</v>
      </c>
      <c r="AH103">
        <v>2</v>
      </c>
      <c r="AI103">
        <v>2</v>
      </c>
      <c r="AJ103">
        <v>7</v>
      </c>
      <c r="AK103">
        <v>3</v>
      </c>
      <c r="AL103">
        <v>5</v>
      </c>
      <c r="AM103">
        <v>1</v>
      </c>
      <c r="AN103">
        <v>4</v>
      </c>
      <c r="AO103">
        <v>3</v>
      </c>
      <c r="AP103">
        <v>6</v>
      </c>
      <c r="AQ103">
        <v>4</v>
      </c>
      <c r="AR103">
        <v>5</v>
      </c>
      <c r="AS103">
        <v>3</v>
      </c>
      <c r="AT103">
        <v>2</v>
      </c>
      <c r="AU103">
        <v>2</v>
      </c>
      <c r="AW103">
        <v>3</v>
      </c>
      <c r="AY103">
        <v>1</v>
      </c>
      <c r="AZ103">
        <v>3</v>
      </c>
      <c r="BB103">
        <v>4</v>
      </c>
      <c r="BC103">
        <v>4</v>
      </c>
      <c r="BD103">
        <v>3</v>
      </c>
      <c r="BF103">
        <v>2</v>
      </c>
      <c r="BG103">
        <v>4</v>
      </c>
      <c r="BH103">
        <v>5</v>
      </c>
      <c r="BJ103">
        <v>4</v>
      </c>
      <c r="BK103">
        <v>2</v>
      </c>
      <c r="BL103">
        <v>4</v>
      </c>
      <c r="BM103">
        <v>1</v>
      </c>
      <c r="BN103">
        <v>2</v>
      </c>
      <c r="BO103">
        <v>3</v>
      </c>
      <c r="BS103">
        <v>3</v>
      </c>
      <c r="BT103">
        <v>4</v>
      </c>
      <c r="BU103">
        <v>4</v>
      </c>
      <c r="BV103">
        <v>3</v>
      </c>
      <c r="BX103">
        <v>5</v>
      </c>
      <c r="BY103">
        <v>2</v>
      </c>
      <c r="BZ103">
        <v>3</v>
      </c>
      <c r="CA103">
        <v>1</v>
      </c>
      <c r="CG103">
        <v>3</v>
      </c>
      <c r="CH103">
        <v>6</v>
      </c>
      <c r="CI103">
        <v>3</v>
      </c>
      <c r="CJ103">
        <v>3</v>
      </c>
      <c r="CK103">
        <v>4</v>
      </c>
      <c r="CL103">
        <v>8</v>
      </c>
      <c r="CM103">
        <v>1</v>
      </c>
      <c r="CQ103">
        <v>4</v>
      </c>
    </row>
  </sheetData>
  <autoFilter ref="A1:CN103" xr:uid="{E6D73437-9035-4F38-AC23-65184BC2B5F6}">
    <sortState ref="A2:CN103">
      <sortCondition ref="A1:A103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49BC3-8DAE-4185-A4C0-F8573FA5A3A2}">
  <dimension ref="A1:AI53"/>
  <sheetViews>
    <sheetView zoomScaleNormal="100" workbookViewId="0">
      <pane xSplit="1" topLeftCell="S1" activePane="topRight" state="frozen"/>
      <selection pane="topRight" activeCell="AE6" sqref="AE6"/>
    </sheetView>
  </sheetViews>
  <sheetFormatPr defaultRowHeight="14.5" x14ac:dyDescent="0.35"/>
  <cols>
    <col min="7" max="7" width="8.54296875" bestFit="1" customWidth="1"/>
    <col min="8" max="11" width="9.54296875" bestFit="1" customWidth="1"/>
    <col min="12" max="12" width="8.54296875" bestFit="1" customWidth="1"/>
    <col min="13" max="15" width="9.54296875" bestFit="1" customWidth="1"/>
    <col min="16" max="16" width="8.54296875" bestFit="1" customWidth="1"/>
    <col min="17" max="21" width="9.54296875" bestFit="1" customWidth="1"/>
    <col min="22" max="24" width="10.54296875" bestFit="1" customWidth="1"/>
    <col min="25" max="25" width="9.54296875" bestFit="1" customWidth="1"/>
    <col min="26" max="28" width="10.54296875" bestFit="1" customWidth="1"/>
    <col min="29" max="29" width="9.54296875" bestFit="1" customWidth="1"/>
    <col min="30" max="31" width="10.54296875" bestFit="1" customWidth="1"/>
  </cols>
  <sheetData>
    <row r="1" spans="1:35" x14ac:dyDescent="0.35">
      <c r="A1" t="s">
        <v>0</v>
      </c>
      <c r="B1" t="s">
        <v>66</v>
      </c>
      <c r="C1" s="1">
        <v>45448</v>
      </c>
      <c r="D1" s="1">
        <v>45455</v>
      </c>
      <c r="E1" s="1">
        <v>45462</v>
      </c>
      <c r="F1" s="1">
        <v>45469</v>
      </c>
      <c r="G1" s="1">
        <v>45476</v>
      </c>
      <c r="H1" s="1">
        <v>45483</v>
      </c>
      <c r="I1" s="1">
        <v>45490</v>
      </c>
      <c r="J1" s="1">
        <v>45498</v>
      </c>
      <c r="K1" s="1">
        <v>45504</v>
      </c>
      <c r="L1" s="1">
        <v>45511</v>
      </c>
      <c r="M1" s="1">
        <v>45518</v>
      </c>
      <c r="N1" s="1">
        <v>45525</v>
      </c>
      <c r="O1" s="1">
        <v>45532</v>
      </c>
      <c r="P1" s="1">
        <v>45539</v>
      </c>
      <c r="Q1" s="1">
        <v>45546</v>
      </c>
      <c r="R1" s="1">
        <v>45553</v>
      </c>
      <c r="S1" s="1">
        <v>45560</v>
      </c>
      <c r="T1" s="1">
        <v>45568</v>
      </c>
      <c r="U1" s="1">
        <v>45574</v>
      </c>
      <c r="V1" s="1">
        <v>45581</v>
      </c>
      <c r="W1" s="1">
        <v>45588</v>
      </c>
      <c r="X1" s="1">
        <v>45595</v>
      </c>
      <c r="Y1" s="1">
        <v>45602</v>
      </c>
      <c r="Z1" s="1">
        <v>45609</v>
      </c>
      <c r="AA1" s="1">
        <v>45616</v>
      </c>
      <c r="AB1" s="1">
        <v>45623</v>
      </c>
      <c r="AC1" s="1">
        <v>45629</v>
      </c>
      <c r="AD1" s="1">
        <v>45637</v>
      </c>
      <c r="AE1" s="1">
        <v>45645</v>
      </c>
      <c r="AH1" t="s">
        <v>64</v>
      </c>
      <c r="AI1" t="s">
        <v>63</v>
      </c>
    </row>
    <row r="2" spans="1:35" x14ac:dyDescent="0.35">
      <c r="A2" t="s">
        <v>2</v>
      </c>
      <c r="L2">
        <v>3</v>
      </c>
      <c r="M2">
        <v>2</v>
      </c>
      <c r="AB2">
        <v>3</v>
      </c>
      <c r="AH2">
        <f t="shared" ref="AH2:AH33" si="0">SUM(B2:AG2)</f>
        <v>8</v>
      </c>
      <c r="AI2">
        <f t="shared" ref="AI2:AI45" si="1">SUM(V2:AG2)</f>
        <v>3</v>
      </c>
    </row>
    <row r="3" spans="1:35" x14ac:dyDescent="0.35">
      <c r="A3" t="s">
        <v>23</v>
      </c>
      <c r="K3">
        <v>1</v>
      </c>
      <c r="M3">
        <v>1</v>
      </c>
      <c r="AH3">
        <f t="shared" si="0"/>
        <v>2</v>
      </c>
      <c r="AI3">
        <f t="shared" si="1"/>
        <v>0</v>
      </c>
    </row>
    <row r="4" spans="1:35" x14ac:dyDescent="0.35">
      <c r="A4" t="s">
        <v>76</v>
      </c>
      <c r="AA4">
        <v>3</v>
      </c>
      <c r="AH4">
        <f t="shared" si="0"/>
        <v>3</v>
      </c>
      <c r="AI4">
        <f t="shared" si="1"/>
        <v>3</v>
      </c>
    </row>
    <row r="5" spans="1:35" x14ac:dyDescent="0.35">
      <c r="A5" t="s">
        <v>7</v>
      </c>
      <c r="B5">
        <v>3</v>
      </c>
      <c r="L5">
        <v>1</v>
      </c>
      <c r="AE5">
        <v>1</v>
      </c>
      <c r="AH5">
        <f t="shared" si="0"/>
        <v>5</v>
      </c>
      <c r="AI5">
        <f t="shared" si="1"/>
        <v>1</v>
      </c>
    </row>
    <row r="6" spans="1:35" x14ac:dyDescent="0.35">
      <c r="A6" t="s">
        <v>47</v>
      </c>
      <c r="AH6">
        <f t="shared" si="0"/>
        <v>0</v>
      </c>
      <c r="AI6">
        <f t="shared" si="1"/>
        <v>0</v>
      </c>
    </row>
    <row r="7" spans="1:35" x14ac:dyDescent="0.35">
      <c r="A7" t="s">
        <v>17</v>
      </c>
      <c r="AH7">
        <f t="shared" si="0"/>
        <v>0</v>
      </c>
      <c r="AI7">
        <f t="shared" si="1"/>
        <v>0</v>
      </c>
    </row>
    <row r="8" spans="1:35" x14ac:dyDescent="0.35">
      <c r="A8" t="s">
        <v>24</v>
      </c>
      <c r="N8">
        <v>1</v>
      </c>
      <c r="P8">
        <v>1</v>
      </c>
      <c r="W8">
        <v>1</v>
      </c>
      <c r="Y8">
        <v>1</v>
      </c>
      <c r="AA8">
        <v>1</v>
      </c>
      <c r="AD8">
        <v>3</v>
      </c>
      <c r="AE8">
        <v>3</v>
      </c>
      <c r="AH8">
        <f t="shared" si="0"/>
        <v>11</v>
      </c>
      <c r="AI8">
        <f t="shared" si="1"/>
        <v>9</v>
      </c>
    </row>
    <row r="9" spans="1:35" x14ac:dyDescent="0.35">
      <c r="A9" t="s">
        <v>13</v>
      </c>
      <c r="B9">
        <v>1</v>
      </c>
      <c r="J9">
        <v>1</v>
      </c>
      <c r="Y9">
        <v>1</v>
      </c>
      <c r="Z9">
        <v>1</v>
      </c>
      <c r="AD9">
        <v>1</v>
      </c>
      <c r="AH9">
        <f t="shared" si="0"/>
        <v>5</v>
      </c>
      <c r="AI9">
        <f t="shared" si="1"/>
        <v>3</v>
      </c>
    </row>
    <row r="10" spans="1:35" x14ac:dyDescent="0.35">
      <c r="A10" t="s">
        <v>53</v>
      </c>
      <c r="W10">
        <v>2</v>
      </c>
      <c r="X10">
        <v>3</v>
      </c>
      <c r="AH10">
        <f t="shared" si="0"/>
        <v>5</v>
      </c>
      <c r="AI10">
        <f t="shared" si="1"/>
        <v>5</v>
      </c>
    </row>
    <row r="11" spans="1:35" x14ac:dyDescent="0.35">
      <c r="A11" t="s">
        <v>65</v>
      </c>
      <c r="X11">
        <v>2</v>
      </c>
      <c r="AC11">
        <v>3</v>
      </c>
      <c r="AD11">
        <v>1</v>
      </c>
      <c r="AH11">
        <f t="shared" si="0"/>
        <v>6</v>
      </c>
      <c r="AI11">
        <f t="shared" si="1"/>
        <v>6</v>
      </c>
    </row>
    <row r="12" spans="1:35" x14ac:dyDescent="0.35">
      <c r="A12" t="s">
        <v>83</v>
      </c>
      <c r="AC12">
        <v>2</v>
      </c>
      <c r="AD12">
        <v>1</v>
      </c>
      <c r="AH12">
        <f t="shared" si="0"/>
        <v>3</v>
      </c>
      <c r="AI12">
        <f t="shared" si="1"/>
        <v>3</v>
      </c>
    </row>
    <row r="13" spans="1:35" x14ac:dyDescent="0.35">
      <c r="A13" t="s">
        <v>14</v>
      </c>
      <c r="B13">
        <v>2</v>
      </c>
      <c r="C13">
        <v>1</v>
      </c>
      <c r="H13">
        <v>2</v>
      </c>
      <c r="S13">
        <v>1</v>
      </c>
      <c r="T13">
        <v>1</v>
      </c>
      <c r="U13">
        <v>1</v>
      </c>
      <c r="Z13">
        <v>1</v>
      </c>
      <c r="AB13">
        <v>2</v>
      </c>
      <c r="AC13">
        <v>1</v>
      </c>
      <c r="AH13">
        <f t="shared" si="0"/>
        <v>12</v>
      </c>
      <c r="AI13">
        <f t="shared" si="1"/>
        <v>4</v>
      </c>
    </row>
    <row r="14" spans="1:35" x14ac:dyDescent="0.35">
      <c r="A14" t="s">
        <v>6</v>
      </c>
      <c r="J14">
        <v>4</v>
      </c>
      <c r="L14">
        <v>4</v>
      </c>
      <c r="P14">
        <v>3</v>
      </c>
      <c r="V14">
        <v>3</v>
      </c>
      <c r="Y14">
        <v>2</v>
      </c>
      <c r="AB14">
        <v>1</v>
      </c>
      <c r="AH14">
        <f t="shared" si="0"/>
        <v>17</v>
      </c>
      <c r="AI14">
        <f t="shared" si="1"/>
        <v>6</v>
      </c>
    </row>
    <row r="15" spans="1:35" x14ac:dyDescent="0.35">
      <c r="A15" t="s">
        <v>51</v>
      </c>
      <c r="K15">
        <v>1</v>
      </c>
      <c r="AH15">
        <f t="shared" si="0"/>
        <v>1</v>
      </c>
      <c r="AI15">
        <f t="shared" si="1"/>
        <v>0</v>
      </c>
    </row>
    <row r="16" spans="1:35" x14ac:dyDescent="0.35">
      <c r="A16" t="s">
        <v>77</v>
      </c>
      <c r="AH16">
        <f t="shared" si="0"/>
        <v>0</v>
      </c>
      <c r="AI16">
        <f t="shared" si="1"/>
        <v>0</v>
      </c>
    </row>
    <row r="17" spans="1:35" x14ac:dyDescent="0.35">
      <c r="A17" t="s">
        <v>12</v>
      </c>
      <c r="J17">
        <v>3</v>
      </c>
      <c r="M17">
        <v>1</v>
      </c>
      <c r="N17">
        <v>1</v>
      </c>
      <c r="AH17">
        <f t="shared" si="0"/>
        <v>5</v>
      </c>
      <c r="AI17">
        <f t="shared" si="1"/>
        <v>0</v>
      </c>
    </row>
    <row r="18" spans="1:35" x14ac:dyDescent="0.35">
      <c r="A18" t="s">
        <v>4</v>
      </c>
      <c r="M18">
        <v>2</v>
      </c>
      <c r="P18">
        <v>1</v>
      </c>
      <c r="R18">
        <v>1</v>
      </c>
      <c r="Y18">
        <v>1</v>
      </c>
      <c r="Z18">
        <v>3</v>
      </c>
      <c r="AB18">
        <v>1</v>
      </c>
      <c r="AD18">
        <v>1</v>
      </c>
      <c r="AE18">
        <v>3</v>
      </c>
      <c r="AH18">
        <f t="shared" si="0"/>
        <v>13</v>
      </c>
      <c r="AI18">
        <f t="shared" si="1"/>
        <v>9</v>
      </c>
    </row>
    <row r="19" spans="1:35" x14ac:dyDescent="0.35">
      <c r="A19" t="s">
        <v>1</v>
      </c>
      <c r="J19">
        <v>3</v>
      </c>
      <c r="K19">
        <v>2</v>
      </c>
      <c r="L19">
        <v>1</v>
      </c>
      <c r="Q19">
        <v>1</v>
      </c>
      <c r="V19">
        <v>1</v>
      </c>
      <c r="W19">
        <v>1</v>
      </c>
      <c r="X19">
        <v>1</v>
      </c>
      <c r="Y19">
        <v>1</v>
      </c>
      <c r="Z19">
        <v>2</v>
      </c>
      <c r="AC19">
        <v>2</v>
      </c>
      <c r="AD19">
        <v>1</v>
      </c>
      <c r="AE19">
        <v>2</v>
      </c>
      <c r="AH19">
        <f t="shared" si="0"/>
        <v>18</v>
      </c>
      <c r="AI19">
        <f t="shared" si="1"/>
        <v>11</v>
      </c>
    </row>
    <row r="20" spans="1:35" x14ac:dyDescent="0.35">
      <c r="A20" t="s">
        <v>78</v>
      </c>
      <c r="AA20">
        <v>1</v>
      </c>
      <c r="AH20">
        <f t="shared" si="0"/>
        <v>1</v>
      </c>
      <c r="AI20">
        <f t="shared" si="1"/>
        <v>1</v>
      </c>
    </row>
    <row r="21" spans="1:35" x14ac:dyDescent="0.35">
      <c r="A21" t="s">
        <v>9</v>
      </c>
      <c r="M21">
        <v>2</v>
      </c>
      <c r="N21">
        <v>2</v>
      </c>
      <c r="O21">
        <v>1</v>
      </c>
      <c r="P21">
        <v>2</v>
      </c>
      <c r="W21">
        <v>1</v>
      </c>
      <c r="X21">
        <v>1</v>
      </c>
      <c r="AA21">
        <v>2</v>
      </c>
      <c r="AB21">
        <v>2</v>
      </c>
      <c r="AC21">
        <v>1</v>
      </c>
      <c r="AD21">
        <v>1</v>
      </c>
      <c r="AE21">
        <v>2</v>
      </c>
      <c r="AH21">
        <f t="shared" si="0"/>
        <v>17</v>
      </c>
      <c r="AI21">
        <f t="shared" si="1"/>
        <v>10</v>
      </c>
    </row>
    <row r="22" spans="1:35" x14ac:dyDescent="0.35">
      <c r="A22" t="s">
        <v>19</v>
      </c>
      <c r="J22">
        <v>2</v>
      </c>
      <c r="K22">
        <v>1</v>
      </c>
      <c r="L22">
        <v>1</v>
      </c>
      <c r="M22">
        <v>1</v>
      </c>
      <c r="N22">
        <v>1</v>
      </c>
      <c r="V22">
        <v>1</v>
      </c>
      <c r="X22">
        <v>1</v>
      </c>
      <c r="Z22">
        <v>2</v>
      </c>
      <c r="AA22">
        <v>2</v>
      </c>
      <c r="AB22">
        <v>4</v>
      </c>
      <c r="AD22">
        <v>2</v>
      </c>
      <c r="AE22">
        <v>2</v>
      </c>
      <c r="AH22">
        <f t="shared" si="0"/>
        <v>20</v>
      </c>
      <c r="AI22">
        <f t="shared" si="1"/>
        <v>14</v>
      </c>
    </row>
    <row r="23" spans="1:35" x14ac:dyDescent="0.35">
      <c r="A23" t="s">
        <v>79</v>
      </c>
      <c r="Z23">
        <v>1</v>
      </c>
      <c r="AH23">
        <f t="shared" si="0"/>
        <v>1</v>
      </c>
      <c r="AI23">
        <f t="shared" si="1"/>
        <v>1</v>
      </c>
    </row>
    <row r="24" spans="1:35" x14ac:dyDescent="0.35">
      <c r="A24" t="s">
        <v>60</v>
      </c>
      <c r="X24">
        <v>1</v>
      </c>
      <c r="AH24">
        <f t="shared" si="0"/>
        <v>1</v>
      </c>
      <c r="AI24">
        <f t="shared" si="1"/>
        <v>1</v>
      </c>
    </row>
    <row r="25" spans="1:35" x14ac:dyDescent="0.35">
      <c r="A25" t="s">
        <v>18</v>
      </c>
      <c r="V25">
        <v>2</v>
      </c>
      <c r="W25">
        <v>1</v>
      </c>
      <c r="X25">
        <v>1</v>
      </c>
      <c r="Z25">
        <v>4</v>
      </c>
      <c r="AA25">
        <v>3</v>
      </c>
      <c r="AB25">
        <v>1</v>
      </c>
      <c r="AC25">
        <v>1</v>
      </c>
      <c r="AH25">
        <f t="shared" si="0"/>
        <v>13</v>
      </c>
      <c r="AI25">
        <f t="shared" si="1"/>
        <v>13</v>
      </c>
    </row>
    <row r="26" spans="1:35" x14ac:dyDescent="0.35">
      <c r="A26" t="s">
        <v>42</v>
      </c>
      <c r="AH26">
        <f t="shared" si="0"/>
        <v>0</v>
      </c>
      <c r="AI26">
        <f t="shared" si="1"/>
        <v>0</v>
      </c>
    </row>
    <row r="27" spans="1:35" x14ac:dyDescent="0.35">
      <c r="A27" t="s">
        <v>67</v>
      </c>
      <c r="Y27">
        <v>1</v>
      </c>
      <c r="AC27">
        <v>1</v>
      </c>
      <c r="AH27">
        <f t="shared" si="0"/>
        <v>2</v>
      </c>
      <c r="AI27">
        <f t="shared" si="1"/>
        <v>2</v>
      </c>
    </row>
    <row r="28" spans="1:35" x14ac:dyDescent="0.35">
      <c r="A28" t="s">
        <v>52</v>
      </c>
      <c r="AH28">
        <f t="shared" si="0"/>
        <v>0</v>
      </c>
      <c r="AI28">
        <f t="shared" si="1"/>
        <v>0</v>
      </c>
    </row>
    <row r="29" spans="1:35" x14ac:dyDescent="0.35">
      <c r="A29" t="s">
        <v>50</v>
      </c>
      <c r="N29">
        <v>2</v>
      </c>
      <c r="AH29">
        <f t="shared" si="0"/>
        <v>2</v>
      </c>
      <c r="AI29">
        <f t="shared" si="1"/>
        <v>0</v>
      </c>
    </row>
    <row r="30" spans="1:35" x14ac:dyDescent="0.35">
      <c r="A30" t="s">
        <v>10</v>
      </c>
      <c r="J30">
        <v>1</v>
      </c>
      <c r="K30">
        <v>1</v>
      </c>
      <c r="M30">
        <v>1</v>
      </c>
      <c r="N30">
        <v>1</v>
      </c>
      <c r="P30">
        <v>3</v>
      </c>
      <c r="V30">
        <v>2</v>
      </c>
      <c r="W30">
        <v>3</v>
      </c>
      <c r="Z30">
        <v>2</v>
      </c>
      <c r="AC30">
        <v>2</v>
      </c>
      <c r="AD30">
        <v>2</v>
      </c>
      <c r="AE30">
        <v>1</v>
      </c>
      <c r="AH30">
        <f t="shared" si="0"/>
        <v>19</v>
      </c>
      <c r="AI30">
        <f t="shared" si="1"/>
        <v>12</v>
      </c>
    </row>
    <row r="31" spans="1:35" x14ac:dyDescent="0.35">
      <c r="A31" t="s">
        <v>45</v>
      </c>
      <c r="J31">
        <v>1</v>
      </c>
      <c r="L31">
        <v>1</v>
      </c>
      <c r="P31">
        <v>4</v>
      </c>
      <c r="V31">
        <v>1</v>
      </c>
      <c r="AH31">
        <f t="shared" si="0"/>
        <v>7</v>
      </c>
      <c r="AI31">
        <f t="shared" si="1"/>
        <v>1</v>
      </c>
    </row>
    <row r="32" spans="1:35" x14ac:dyDescent="0.35">
      <c r="A32" t="s">
        <v>3</v>
      </c>
      <c r="J32">
        <v>1</v>
      </c>
      <c r="Z32">
        <v>3</v>
      </c>
      <c r="AH32">
        <f t="shared" si="0"/>
        <v>4</v>
      </c>
      <c r="AI32">
        <f t="shared" si="1"/>
        <v>3</v>
      </c>
    </row>
    <row r="33" spans="1:35" x14ac:dyDescent="0.35">
      <c r="A33" t="s">
        <v>55</v>
      </c>
      <c r="R33">
        <v>1</v>
      </c>
      <c r="W33">
        <v>3</v>
      </c>
      <c r="Y33">
        <v>2</v>
      </c>
      <c r="Z33">
        <v>1</v>
      </c>
      <c r="AA33">
        <v>2</v>
      </c>
      <c r="AC33">
        <v>1</v>
      </c>
      <c r="AD33">
        <v>1</v>
      </c>
      <c r="AE33">
        <v>1</v>
      </c>
      <c r="AH33">
        <f t="shared" si="0"/>
        <v>12</v>
      </c>
      <c r="AI33">
        <f t="shared" si="1"/>
        <v>11</v>
      </c>
    </row>
    <row r="34" spans="1:35" x14ac:dyDescent="0.35">
      <c r="A34" t="s">
        <v>59</v>
      </c>
      <c r="V34">
        <v>2</v>
      </c>
      <c r="AH34">
        <f t="shared" ref="AH34:AH53" si="2">SUM(B34:AG34)</f>
        <v>2</v>
      </c>
      <c r="AI34">
        <f t="shared" si="1"/>
        <v>2</v>
      </c>
    </row>
    <row r="35" spans="1:35" x14ac:dyDescent="0.35">
      <c r="A35" t="s">
        <v>11</v>
      </c>
      <c r="AH35">
        <f t="shared" si="2"/>
        <v>0</v>
      </c>
      <c r="AI35">
        <f t="shared" si="1"/>
        <v>0</v>
      </c>
    </row>
    <row r="36" spans="1:35" x14ac:dyDescent="0.35">
      <c r="A36" t="s">
        <v>54</v>
      </c>
      <c r="V36">
        <v>2</v>
      </c>
      <c r="W36">
        <v>1</v>
      </c>
      <c r="X36">
        <v>1</v>
      </c>
      <c r="Y36">
        <v>1</v>
      </c>
      <c r="Z36">
        <v>3</v>
      </c>
      <c r="AA36">
        <v>2</v>
      </c>
      <c r="AB36">
        <v>3</v>
      </c>
      <c r="AD36">
        <v>1</v>
      </c>
      <c r="AE36">
        <v>1</v>
      </c>
      <c r="AH36">
        <f t="shared" si="2"/>
        <v>15</v>
      </c>
      <c r="AI36">
        <f t="shared" si="1"/>
        <v>15</v>
      </c>
    </row>
    <row r="37" spans="1:35" x14ac:dyDescent="0.35">
      <c r="A37" t="s">
        <v>20</v>
      </c>
      <c r="AH37">
        <f t="shared" si="2"/>
        <v>0</v>
      </c>
      <c r="AI37">
        <f t="shared" si="1"/>
        <v>0</v>
      </c>
    </row>
    <row r="38" spans="1:35" x14ac:dyDescent="0.35">
      <c r="A38" t="s">
        <v>80</v>
      </c>
      <c r="AA38">
        <v>3</v>
      </c>
      <c r="AE38">
        <v>1</v>
      </c>
      <c r="AH38">
        <f t="shared" si="2"/>
        <v>4</v>
      </c>
      <c r="AI38">
        <f t="shared" si="1"/>
        <v>4</v>
      </c>
    </row>
    <row r="39" spans="1:35" x14ac:dyDescent="0.35">
      <c r="A39" t="s">
        <v>62</v>
      </c>
      <c r="V39">
        <v>2</v>
      </c>
      <c r="X39">
        <v>1</v>
      </c>
      <c r="AH39">
        <f t="shared" si="2"/>
        <v>3</v>
      </c>
      <c r="AI39">
        <f t="shared" si="1"/>
        <v>3</v>
      </c>
    </row>
    <row r="40" spans="1:35" x14ac:dyDescent="0.35">
      <c r="A40" t="s">
        <v>82</v>
      </c>
      <c r="AH40">
        <f t="shared" si="2"/>
        <v>0</v>
      </c>
      <c r="AI40">
        <f t="shared" si="1"/>
        <v>0</v>
      </c>
    </row>
    <row r="41" spans="1:35" x14ac:dyDescent="0.35">
      <c r="A41" t="s">
        <v>21</v>
      </c>
      <c r="L41">
        <v>2</v>
      </c>
      <c r="M41">
        <v>1</v>
      </c>
      <c r="AH41">
        <f t="shared" si="2"/>
        <v>3</v>
      </c>
      <c r="AI41">
        <f t="shared" si="1"/>
        <v>0</v>
      </c>
    </row>
    <row r="42" spans="1:35" x14ac:dyDescent="0.35">
      <c r="A42" t="s">
        <v>43</v>
      </c>
      <c r="AH42">
        <f t="shared" si="2"/>
        <v>0</v>
      </c>
      <c r="AI42">
        <f t="shared" si="1"/>
        <v>0</v>
      </c>
    </row>
    <row r="43" spans="1:35" x14ac:dyDescent="0.35">
      <c r="A43" t="s">
        <v>8</v>
      </c>
      <c r="L43">
        <v>1</v>
      </c>
      <c r="V43">
        <v>1</v>
      </c>
      <c r="AB43">
        <v>1</v>
      </c>
      <c r="AD43">
        <v>2</v>
      </c>
      <c r="AH43">
        <f t="shared" si="2"/>
        <v>5</v>
      </c>
      <c r="AI43">
        <f t="shared" si="1"/>
        <v>4</v>
      </c>
    </row>
    <row r="44" spans="1:35" x14ac:dyDescent="0.35">
      <c r="A44" t="s">
        <v>81</v>
      </c>
      <c r="J44">
        <v>1</v>
      </c>
      <c r="K44">
        <v>3</v>
      </c>
      <c r="L44">
        <v>2</v>
      </c>
      <c r="M44">
        <v>1</v>
      </c>
      <c r="P44">
        <v>1</v>
      </c>
      <c r="V44">
        <v>2</v>
      </c>
      <c r="W44">
        <v>2</v>
      </c>
      <c r="X44">
        <v>1</v>
      </c>
      <c r="Y44">
        <v>2</v>
      </c>
      <c r="Z44">
        <v>1</v>
      </c>
      <c r="AA44">
        <v>2</v>
      </c>
      <c r="AB44">
        <v>2</v>
      </c>
      <c r="AC44">
        <v>3</v>
      </c>
      <c r="AD44">
        <v>4</v>
      </c>
      <c r="AH44">
        <f t="shared" si="2"/>
        <v>27</v>
      </c>
      <c r="AI44">
        <f t="shared" si="1"/>
        <v>19</v>
      </c>
    </row>
    <row r="45" spans="1:35" x14ac:dyDescent="0.35">
      <c r="A45" t="s">
        <v>48</v>
      </c>
      <c r="J45">
        <v>1</v>
      </c>
      <c r="AA45">
        <v>2</v>
      </c>
      <c r="AH45">
        <f t="shared" si="2"/>
        <v>3</v>
      </c>
      <c r="AI45">
        <f t="shared" si="1"/>
        <v>2</v>
      </c>
    </row>
    <row r="46" spans="1:35" x14ac:dyDescent="0.35">
      <c r="A46" t="s">
        <v>84</v>
      </c>
      <c r="AE46">
        <v>4</v>
      </c>
      <c r="AH46">
        <f t="shared" si="2"/>
        <v>4</v>
      </c>
      <c r="AI46">
        <f t="shared" ref="AI46:AI51" si="3">SUM(V46:AG46)</f>
        <v>4</v>
      </c>
    </row>
    <row r="47" spans="1:35" x14ac:dyDescent="0.35">
      <c r="A47" t="s">
        <v>5</v>
      </c>
      <c r="K47">
        <v>2</v>
      </c>
      <c r="L47">
        <v>4</v>
      </c>
      <c r="P47">
        <v>3</v>
      </c>
      <c r="V47">
        <v>1</v>
      </c>
      <c r="W47">
        <v>2</v>
      </c>
      <c r="X47">
        <v>2</v>
      </c>
      <c r="Y47">
        <v>3</v>
      </c>
      <c r="Z47">
        <v>2</v>
      </c>
      <c r="AA47">
        <v>3</v>
      </c>
      <c r="AB47">
        <v>1</v>
      </c>
      <c r="AH47">
        <f t="shared" si="2"/>
        <v>23</v>
      </c>
      <c r="AI47">
        <f t="shared" si="3"/>
        <v>14</v>
      </c>
    </row>
    <row r="48" spans="1:35" x14ac:dyDescent="0.35">
      <c r="A48" t="s">
        <v>44</v>
      </c>
      <c r="K48">
        <v>1</v>
      </c>
      <c r="L48">
        <v>1</v>
      </c>
      <c r="M48">
        <v>1</v>
      </c>
      <c r="P48">
        <v>2</v>
      </c>
      <c r="AE48">
        <v>1</v>
      </c>
      <c r="AH48">
        <f t="shared" si="2"/>
        <v>6</v>
      </c>
      <c r="AI48">
        <f t="shared" si="3"/>
        <v>1</v>
      </c>
    </row>
    <row r="49" spans="1:35" x14ac:dyDescent="0.35">
      <c r="A49" t="s">
        <v>22</v>
      </c>
      <c r="J49">
        <v>2</v>
      </c>
      <c r="V49">
        <v>1</v>
      </c>
      <c r="X49">
        <v>1</v>
      </c>
      <c r="Y49">
        <v>3</v>
      </c>
      <c r="AH49">
        <f t="shared" si="2"/>
        <v>7</v>
      </c>
      <c r="AI49">
        <f t="shared" si="3"/>
        <v>5</v>
      </c>
    </row>
    <row r="50" spans="1:35" x14ac:dyDescent="0.35">
      <c r="A50" t="s">
        <v>16</v>
      </c>
      <c r="Z50">
        <v>2</v>
      </c>
      <c r="AD50">
        <v>1</v>
      </c>
      <c r="AE50">
        <v>1</v>
      </c>
      <c r="AH50">
        <f t="shared" si="2"/>
        <v>4</v>
      </c>
      <c r="AI50">
        <f t="shared" si="3"/>
        <v>4</v>
      </c>
    </row>
    <row r="51" spans="1:35" x14ac:dyDescent="0.35">
      <c r="A51" t="s">
        <v>85</v>
      </c>
      <c r="AE51">
        <v>5</v>
      </c>
      <c r="AH51">
        <f t="shared" si="2"/>
        <v>5</v>
      </c>
      <c r="AI51">
        <f t="shared" si="3"/>
        <v>5</v>
      </c>
    </row>
    <row r="52" spans="1:35" x14ac:dyDescent="0.35">
      <c r="A52" t="s">
        <v>15</v>
      </c>
      <c r="W52">
        <v>4</v>
      </c>
      <c r="X52">
        <v>3</v>
      </c>
      <c r="Z52">
        <v>2</v>
      </c>
      <c r="AA52">
        <v>5</v>
      </c>
      <c r="AB52">
        <v>3</v>
      </c>
      <c r="AC52">
        <v>2</v>
      </c>
      <c r="AD52">
        <v>5</v>
      </c>
      <c r="AE52">
        <v>3</v>
      </c>
      <c r="AH52">
        <f t="shared" si="2"/>
        <v>27</v>
      </c>
      <c r="AI52">
        <f>SUM(V52:AG52)</f>
        <v>27</v>
      </c>
    </row>
    <row r="53" spans="1:35" x14ac:dyDescent="0.35">
      <c r="A53" t="s">
        <v>46</v>
      </c>
      <c r="J53">
        <v>1</v>
      </c>
      <c r="AH53">
        <f t="shared" si="2"/>
        <v>1</v>
      </c>
      <c r="AI53">
        <f>SUM(V53:AG53)</f>
        <v>0</v>
      </c>
    </row>
  </sheetData>
  <autoFilter ref="A1:AI51" xr:uid="{5167CA1B-91AA-4363-B433-E3207EDE53DF}">
    <sortState ref="A2:AI53">
      <sortCondition ref="A1:A5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notas</vt:lpstr>
      <vt:lpstr>conversão notas</vt:lpstr>
      <vt:lpstr>pagamento</vt:lpstr>
      <vt:lpstr>placares</vt:lpstr>
      <vt:lpstr>artilharia</vt:lpstr>
      <vt:lpstr>artilharia 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Medeiros Hamacher</dc:creator>
  <cp:lastModifiedBy>Pedro Medeiros Hamacher</cp:lastModifiedBy>
  <dcterms:created xsi:type="dcterms:W3CDTF">2024-06-27T13:20:42Z</dcterms:created>
  <dcterms:modified xsi:type="dcterms:W3CDTF">2026-09-11T16:17:21Z</dcterms:modified>
</cp:coreProperties>
</file>