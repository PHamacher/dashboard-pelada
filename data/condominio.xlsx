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hamacher\OneDrive\Documentos antigo\Projetos_jl\Streamlit\Dashboard Pelada\data\"/>
    </mc:Choice>
  </mc:AlternateContent>
  <xr:revisionPtr revIDLastSave="27" documentId="14_{A1B3B906-E661-414D-BCC5-34D6B6413D4C}" xr6:coauthVersionLast="36" xr6:coauthVersionMax="36" xr10:uidLastSave="{CBE10764-4F8F-4272-A0FC-32B605BA99E0}"/>
  <bookViews>
    <workbookView xWindow="0" yWindow="0" windowWidth="13800" windowHeight="3780" activeTab="4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extrato 2024" sheetId="5" r:id="rId6"/>
    <sheet name="vagas mensal" sheetId="8" r:id="rId7"/>
    <sheet name="artilharia total" sheetId="3" r:id="rId8"/>
  </sheets>
  <definedNames>
    <definedName name="_xlnm._FilterDatabase" localSheetId="4" hidden="1">artilharia!$A$1:$AB$81</definedName>
    <definedName name="_xlnm._FilterDatabase" localSheetId="7" hidden="1">'artilharia total'!$A$1:$AI$51</definedName>
    <definedName name="_xlnm._FilterDatabase" localSheetId="5" hidden="1">'extrato 2024'!$A$1:$C$187</definedName>
    <definedName name="_xlnm._FilterDatabase" localSheetId="0" hidden="1">notas!$A$1:$CN$80</definedName>
  </definedNames>
  <calcPr calcId="191029"/>
</workbook>
</file>

<file path=xl/calcChain.xml><?xml version="1.0" encoding="utf-8"?>
<calcChain xmlns="http://schemas.openxmlformats.org/spreadsheetml/2006/main">
  <c r="CI81" i="1" l="1"/>
  <c r="CJ81" i="1"/>
  <c r="CK81" i="1"/>
  <c r="CM81" i="1"/>
  <c r="CN81" i="1"/>
  <c r="CI24" i="1"/>
  <c r="CJ24" i="1"/>
  <c r="CI16" i="1"/>
  <c r="CJ16" i="1"/>
  <c r="CI15" i="1"/>
  <c r="CJ15" i="1"/>
  <c r="CI12" i="1"/>
  <c r="CJ12" i="1"/>
  <c r="CI11" i="1"/>
  <c r="CJ11" i="1"/>
  <c r="CI10" i="1"/>
  <c r="CJ10" i="1"/>
  <c r="CI9" i="1"/>
  <c r="CJ9" i="1"/>
  <c r="CI8" i="1"/>
  <c r="CJ8" i="1"/>
  <c r="CI7" i="1"/>
  <c r="CJ7" i="1"/>
  <c r="CI4" i="1"/>
  <c r="CJ4" i="1"/>
  <c r="CI3" i="1"/>
  <c r="CJ3" i="1"/>
  <c r="CI2" i="1"/>
  <c r="CJ2" i="1"/>
  <c r="U84" i="4" l="1"/>
  <c r="S84" i="4"/>
  <c r="U82" i="4"/>
  <c r="T82" i="4"/>
  <c r="S82" i="4"/>
  <c r="R82" i="4"/>
  <c r="Q82" i="4"/>
  <c r="P82" i="4"/>
  <c r="O82" i="4"/>
  <c r="N82" i="4"/>
  <c r="M82" i="4"/>
  <c r="L82" i="4"/>
  <c r="K82" i="4"/>
  <c r="J82" i="4"/>
  <c r="I82" i="4"/>
  <c r="H82" i="4"/>
  <c r="G82" i="4"/>
  <c r="F82" i="4"/>
  <c r="E82" i="4"/>
  <c r="D82" i="4"/>
  <c r="C82" i="4"/>
  <c r="B82" i="4"/>
  <c r="U83" i="4"/>
  <c r="CN3" i="1"/>
  <c r="CN7" i="1"/>
  <c r="CN5" i="1"/>
  <c r="CN4" i="1"/>
  <c r="CN8" i="1"/>
  <c r="CN9" i="1"/>
  <c r="CN10" i="1"/>
  <c r="CN11" i="1"/>
  <c r="CN14" i="1"/>
  <c r="CN13" i="1"/>
  <c r="CN16" i="1"/>
  <c r="CN18" i="1"/>
  <c r="CN15" i="1"/>
  <c r="CN19" i="1"/>
  <c r="CN12" i="1"/>
  <c r="CN17" i="1"/>
  <c r="CN6" i="1"/>
  <c r="CN69" i="1"/>
  <c r="CN70" i="1"/>
  <c r="CN71" i="1"/>
  <c r="CN2" i="1"/>
  <c r="CM2" i="1"/>
  <c r="CM3" i="1"/>
  <c r="CM7" i="1"/>
  <c r="CM5" i="1"/>
  <c r="CM4" i="1"/>
  <c r="CM8" i="1"/>
  <c r="CM9" i="1"/>
  <c r="CM10" i="1"/>
  <c r="CM17" i="1"/>
  <c r="CM6" i="1"/>
  <c r="CM20" i="1"/>
  <c r="CN20" i="1" s="1"/>
  <c r="CM11" i="1"/>
  <c r="CM22" i="1"/>
  <c r="CN22" i="1" s="1"/>
  <c r="CM14" i="1"/>
  <c r="CM13" i="1"/>
  <c r="CM16" i="1"/>
  <c r="CM18" i="1"/>
  <c r="CM21" i="1"/>
  <c r="CN21" i="1" s="1"/>
  <c r="CM15" i="1"/>
  <c r="CM19" i="1"/>
  <c r="CM23" i="1"/>
  <c r="CN23" i="1" s="1"/>
  <c r="CM25" i="1"/>
  <c r="CN25" i="1" s="1"/>
  <c r="CM27" i="1"/>
  <c r="CN27" i="1" s="1"/>
  <c r="CM24" i="1"/>
  <c r="CN24" i="1" s="1"/>
  <c r="CM28" i="1"/>
  <c r="CN28" i="1" s="1"/>
  <c r="CM26" i="1"/>
  <c r="CN26" i="1" s="1"/>
  <c r="CM29" i="1"/>
  <c r="CN29" i="1" s="1"/>
  <c r="CM30" i="1"/>
  <c r="CN30" i="1" s="1"/>
  <c r="CM12" i="1"/>
  <c r="CM32" i="1"/>
  <c r="CN32" i="1" s="1"/>
  <c r="CM33" i="1"/>
  <c r="CN33" i="1" s="1"/>
  <c r="CM31" i="1"/>
  <c r="CN31" i="1" s="1"/>
  <c r="CM34" i="1"/>
  <c r="CN34" i="1" s="1"/>
  <c r="CM35" i="1"/>
  <c r="CN35" i="1" s="1"/>
  <c r="CM36" i="1"/>
  <c r="CN36" i="1" s="1"/>
  <c r="CM40" i="1"/>
  <c r="CN40" i="1" s="1"/>
  <c r="CM41" i="1"/>
  <c r="CN41" i="1" s="1"/>
  <c r="CM42" i="1"/>
  <c r="CN42" i="1" s="1"/>
  <c r="CM43" i="1"/>
  <c r="CN43" i="1" s="1"/>
  <c r="CM44" i="1"/>
  <c r="CN44" i="1" s="1"/>
  <c r="CM45" i="1"/>
  <c r="CN45" i="1" s="1"/>
  <c r="CM46" i="1"/>
  <c r="CN46" i="1" s="1"/>
  <c r="CM48" i="1"/>
  <c r="CN48" i="1" s="1"/>
  <c r="CM47" i="1"/>
  <c r="CN47" i="1" s="1"/>
  <c r="CM49" i="1"/>
  <c r="CN49" i="1" s="1"/>
  <c r="CM50" i="1"/>
  <c r="CN50" i="1" s="1"/>
  <c r="CM38" i="1"/>
  <c r="CN38" i="1" s="1"/>
  <c r="CM37" i="1"/>
  <c r="CN37" i="1" s="1"/>
  <c r="CM52" i="1"/>
  <c r="CN52" i="1" s="1"/>
  <c r="CM53" i="1"/>
  <c r="CN53" i="1" s="1"/>
  <c r="CM54" i="1"/>
  <c r="CN54" i="1" s="1"/>
  <c r="CM55" i="1"/>
  <c r="CN55" i="1" s="1"/>
  <c r="CM56" i="1"/>
  <c r="CN56" i="1" s="1"/>
  <c r="CM61" i="1"/>
  <c r="CN61" i="1" s="1"/>
  <c r="CM62" i="1"/>
  <c r="CN62" i="1" s="1"/>
  <c r="CM63" i="1"/>
  <c r="CN63" i="1" s="1"/>
  <c r="CM64" i="1"/>
  <c r="CN64" i="1" s="1"/>
  <c r="CM57" i="1"/>
  <c r="CN57" i="1" s="1"/>
  <c r="CM65" i="1"/>
  <c r="CN65" i="1" s="1"/>
  <c r="CM66" i="1"/>
  <c r="CN66" i="1" s="1"/>
  <c r="CM67" i="1"/>
  <c r="CN67" i="1" s="1"/>
  <c r="CM68" i="1"/>
  <c r="CN68" i="1" s="1"/>
  <c r="CM69" i="1"/>
  <c r="CM70" i="1"/>
  <c r="CM71" i="1"/>
  <c r="CM72" i="1"/>
  <c r="CN72" i="1" s="1"/>
  <c r="CM73" i="1"/>
  <c r="CN73" i="1" s="1"/>
  <c r="CM51" i="1"/>
  <c r="CN51" i="1" s="1"/>
  <c r="CM74" i="1"/>
  <c r="CN74" i="1" s="1"/>
  <c r="CM75" i="1"/>
  <c r="CN75" i="1" s="1"/>
  <c r="CM58" i="1"/>
  <c r="CN58" i="1" s="1"/>
  <c r="CM76" i="1"/>
  <c r="CN76" i="1" s="1"/>
  <c r="CM77" i="1"/>
  <c r="CN77" i="1" s="1"/>
  <c r="CM78" i="1"/>
  <c r="CN78" i="1" s="1"/>
  <c r="CM39" i="1"/>
  <c r="CN39" i="1" s="1"/>
  <c r="CM59" i="1"/>
  <c r="CN59" i="1" s="1"/>
  <c r="CM79" i="1"/>
  <c r="CN79" i="1" s="1"/>
  <c r="CM80" i="1"/>
  <c r="CN80" i="1" s="1"/>
  <c r="CM60" i="1"/>
  <c r="CN60" i="1" s="1"/>
  <c r="T84" i="4"/>
  <c r="U85" i="4" l="1"/>
  <c r="CI60" i="1"/>
  <c r="CK60" i="1" s="1"/>
  <c r="CJ60" i="1"/>
  <c r="T83" i="4" l="1"/>
  <c r="R84" i="4"/>
  <c r="N84" i="4"/>
  <c r="K84" i="4"/>
  <c r="T85" i="4" l="1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V2" i="6"/>
  <c r="R2" i="6"/>
  <c r="U2" i="6"/>
  <c r="U3" i="6" s="1"/>
  <c r="Q3" i="6"/>
  <c r="Q4" i="6" s="1"/>
  <c r="S2" i="6"/>
  <c r="U4" i="6" l="1"/>
  <c r="W3" i="6"/>
  <c r="W2" i="6"/>
  <c r="Q5" i="6"/>
  <c r="S4" i="6"/>
  <c r="S3" i="6"/>
  <c r="CI79" i="1"/>
  <c r="CK79" i="1" s="1"/>
  <c r="CJ79" i="1"/>
  <c r="CI80" i="1"/>
  <c r="CK80" i="1" s="1"/>
  <c r="CJ80" i="1"/>
  <c r="U5" i="6" l="1"/>
  <c r="W4" i="6"/>
  <c r="S5" i="6"/>
  <c r="Q6" i="6"/>
  <c r="Q84" i="4"/>
  <c r="U6" i="6" l="1"/>
  <c r="W5" i="6"/>
  <c r="Q7" i="6"/>
  <c r="S6" i="6"/>
  <c r="S83" i="4"/>
  <c r="S85" i="4" s="1"/>
  <c r="CI39" i="1"/>
  <c r="CK39" i="1" s="1"/>
  <c r="CJ39" i="1"/>
  <c r="CI59" i="1"/>
  <c r="CK59" i="1" s="1"/>
  <c r="CJ59" i="1"/>
  <c r="W6" i="6" l="1"/>
  <c r="U7" i="6"/>
  <c r="S7" i="6"/>
  <c r="Q8" i="6"/>
  <c r="P84" i="4"/>
  <c r="W7" i="6" l="1"/>
  <c r="U8" i="6"/>
  <c r="S8" i="6"/>
  <c r="Q9" i="6"/>
  <c r="R32" i="4"/>
  <c r="R72" i="4"/>
  <c r="R26" i="4"/>
  <c r="R53" i="4"/>
  <c r="R17" i="4"/>
  <c r="R83" i="4" s="1"/>
  <c r="U9" i="6" l="1"/>
  <c r="W8" i="6"/>
  <c r="Q10" i="6"/>
  <c r="S9" i="6"/>
  <c r="R85" i="4"/>
  <c r="U10" i="6" l="1"/>
  <c r="W9" i="6"/>
  <c r="Q11" i="6"/>
  <c r="S10" i="6"/>
  <c r="CJ5" i="1"/>
  <c r="CJ23" i="1"/>
  <c r="CJ17" i="1"/>
  <c r="CJ6" i="1"/>
  <c r="CJ18" i="1"/>
  <c r="CJ20" i="1"/>
  <c r="CJ19" i="1"/>
  <c r="CJ21" i="1"/>
  <c r="CJ22" i="1"/>
  <c r="CJ14" i="1"/>
  <c r="CJ13" i="1"/>
  <c r="CJ25" i="1"/>
  <c r="CJ27" i="1"/>
  <c r="CJ28" i="1"/>
  <c r="CJ26" i="1"/>
  <c r="CJ29" i="1"/>
  <c r="CJ30" i="1"/>
  <c r="CJ32" i="1"/>
  <c r="CJ33" i="1"/>
  <c r="CJ31" i="1"/>
  <c r="CJ34" i="1"/>
  <c r="CJ35" i="1"/>
  <c r="CJ36" i="1"/>
  <c r="CJ40" i="1"/>
  <c r="CJ41" i="1"/>
  <c r="CJ42" i="1"/>
  <c r="CJ43" i="1"/>
  <c r="CJ44" i="1"/>
  <c r="CJ45" i="1"/>
  <c r="CJ46" i="1"/>
  <c r="CJ48" i="1"/>
  <c r="CJ47" i="1"/>
  <c r="CJ49" i="1"/>
  <c r="CJ50" i="1"/>
  <c r="CJ38" i="1"/>
  <c r="CJ37" i="1"/>
  <c r="CJ52" i="1"/>
  <c r="CJ53" i="1"/>
  <c r="CJ54" i="1"/>
  <c r="CJ55" i="1"/>
  <c r="CJ56" i="1"/>
  <c r="CJ61" i="1"/>
  <c r="CJ62" i="1"/>
  <c r="CJ63" i="1"/>
  <c r="CJ64" i="1"/>
  <c r="CJ57" i="1"/>
  <c r="CJ65" i="1"/>
  <c r="CJ66" i="1"/>
  <c r="CJ67" i="1"/>
  <c r="CJ68" i="1"/>
  <c r="CJ69" i="1"/>
  <c r="CJ70" i="1"/>
  <c r="CJ71" i="1"/>
  <c r="CJ72" i="1"/>
  <c r="CJ73" i="1"/>
  <c r="CJ51" i="1"/>
  <c r="CJ74" i="1"/>
  <c r="CJ75" i="1"/>
  <c r="CJ58" i="1"/>
  <c r="CJ76" i="1"/>
  <c r="CJ77" i="1"/>
  <c r="CJ78" i="1"/>
  <c r="CK3" i="1"/>
  <c r="CK15" i="1"/>
  <c r="CK7" i="1"/>
  <c r="CI5" i="1"/>
  <c r="CK5" i="1" s="1"/>
  <c r="CK4" i="1"/>
  <c r="CK8" i="1"/>
  <c r="CK9" i="1"/>
  <c r="CI23" i="1"/>
  <c r="CK23" i="1" s="1"/>
  <c r="CK10" i="1"/>
  <c r="CI17" i="1"/>
  <c r="CK17" i="1" s="1"/>
  <c r="CI6" i="1"/>
  <c r="CK6" i="1" s="1"/>
  <c r="CI18" i="1"/>
  <c r="CK18" i="1" s="1"/>
  <c r="CI20" i="1"/>
  <c r="CK20" i="1" s="1"/>
  <c r="CK11" i="1"/>
  <c r="CI19" i="1"/>
  <c r="CK19" i="1" s="1"/>
  <c r="CI21" i="1"/>
  <c r="CK21" i="1" s="1"/>
  <c r="CI22" i="1"/>
  <c r="CK22" i="1" s="1"/>
  <c r="CI14" i="1"/>
  <c r="CK14" i="1" s="1"/>
  <c r="CI13" i="1"/>
  <c r="CK13" i="1" s="1"/>
  <c r="CK16" i="1"/>
  <c r="CI25" i="1"/>
  <c r="CK25" i="1" s="1"/>
  <c r="CI27" i="1"/>
  <c r="CK27" i="1" s="1"/>
  <c r="CK24" i="1"/>
  <c r="CI28" i="1"/>
  <c r="CK28" i="1" s="1"/>
  <c r="CI26" i="1"/>
  <c r="CK26" i="1" s="1"/>
  <c r="CI29" i="1"/>
  <c r="CK29" i="1" s="1"/>
  <c r="CI30" i="1"/>
  <c r="CK30" i="1" s="1"/>
  <c r="CK12" i="1"/>
  <c r="CI32" i="1"/>
  <c r="CK32" i="1" s="1"/>
  <c r="CI33" i="1"/>
  <c r="CK33" i="1" s="1"/>
  <c r="CI31" i="1"/>
  <c r="CK31" i="1" s="1"/>
  <c r="CI34" i="1"/>
  <c r="CK34" i="1" s="1"/>
  <c r="CI35" i="1"/>
  <c r="CK35" i="1" s="1"/>
  <c r="CI36" i="1"/>
  <c r="CK36" i="1" s="1"/>
  <c r="CI40" i="1"/>
  <c r="CK40" i="1" s="1"/>
  <c r="CI41" i="1"/>
  <c r="CK41" i="1" s="1"/>
  <c r="CI42" i="1"/>
  <c r="CK42" i="1" s="1"/>
  <c r="CI43" i="1"/>
  <c r="CK43" i="1" s="1"/>
  <c r="CI44" i="1"/>
  <c r="CK44" i="1" s="1"/>
  <c r="CI45" i="1"/>
  <c r="CK45" i="1" s="1"/>
  <c r="CI46" i="1"/>
  <c r="CK46" i="1" s="1"/>
  <c r="CI48" i="1"/>
  <c r="CK48" i="1" s="1"/>
  <c r="CI47" i="1"/>
  <c r="CK47" i="1" s="1"/>
  <c r="CI49" i="1"/>
  <c r="CK49" i="1" s="1"/>
  <c r="CI50" i="1"/>
  <c r="CK50" i="1" s="1"/>
  <c r="CI38" i="1"/>
  <c r="CK38" i="1" s="1"/>
  <c r="CI37" i="1"/>
  <c r="CK37" i="1" s="1"/>
  <c r="CI52" i="1"/>
  <c r="CK52" i="1" s="1"/>
  <c r="CI53" i="1"/>
  <c r="CK53" i="1" s="1"/>
  <c r="CI54" i="1"/>
  <c r="CK54" i="1" s="1"/>
  <c r="CI55" i="1"/>
  <c r="CK55" i="1" s="1"/>
  <c r="CI56" i="1"/>
  <c r="CK56" i="1" s="1"/>
  <c r="CI61" i="1"/>
  <c r="CK61" i="1" s="1"/>
  <c r="CI62" i="1"/>
  <c r="CK62" i="1" s="1"/>
  <c r="CI63" i="1"/>
  <c r="CK63" i="1" s="1"/>
  <c r="CI64" i="1"/>
  <c r="CK64" i="1" s="1"/>
  <c r="CI57" i="1"/>
  <c r="CK57" i="1" s="1"/>
  <c r="CI65" i="1"/>
  <c r="CK65" i="1" s="1"/>
  <c r="CI66" i="1"/>
  <c r="CK66" i="1" s="1"/>
  <c r="CI67" i="1"/>
  <c r="CK67" i="1" s="1"/>
  <c r="CI68" i="1"/>
  <c r="CK68" i="1" s="1"/>
  <c r="CI69" i="1"/>
  <c r="CK69" i="1" s="1"/>
  <c r="CI70" i="1"/>
  <c r="CK70" i="1" s="1"/>
  <c r="CI71" i="1"/>
  <c r="CK71" i="1" s="1"/>
  <c r="CI72" i="1"/>
  <c r="CK72" i="1" s="1"/>
  <c r="CI73" i="1"/>
  <c r="CK73" i="1" s="1"/>
  <c r="CI51" i="1"/>
  <c r="CK51" i="1" s="1"/>
  <c r="CI74" i="1"/>
  <c r="CK74" i="1" s="1"/>
  <c r="CI75" i="1"/>
  <c r="CK75" i="1" s="1"/>
  <c r="CI58" i="1"/>
  <c r="CK58" i="1" s="1"/>
  <c r="CI76" i="1"/>
  <c r="CK76" i="1" s="1"/>
  <c r="CI77" i="1"/>
  <c r="CK77" i="1" s="1"/>
  <c r="CI78" i="1"/>
  <c r="CK78" i="1" s="1"/>
  <c r="U11" i="6" l="1"/>
  <c r="W10" i="6"/>
  <c r="Q12" i="6"/>
  <c r="S11" i="6"/>
  <c r="CK2" i="1"/>
  <c r="W11" i="6" l="1"/>
  <c r="U12" i="6"/>
  <c r="Q13" i="6"/>
  <c r="S12" i="6"/>
  <c r="U13" i="6" l="1"/>
  <c r="W12" i="6"/>
  <c r="S13" i="6"/>
  <c r="Q14" i="6"/>
  <c r="Q83" i="4"/>
  <c r="Q85" i="4" s="1"/>
  <c r="W13" i="6" l="1"/>
  <c r="U14" i="6"/>
  <c r="Q15" i="6"/>
  <c r="S14" i="6"/>
  <c r="O84" i="4"/>
  <c r="W14" i="6" l="1"/>
  <c r="U15" i="6"/>
  <c r="S15" i="6"/>
  <c r="Q16" i="6"/>
  <c r="P43" i="4"/>
  <c r="P83" i="4" s="1"/>
  <c r="P85" i="4" s="1"/>
  <c r="W15" i="6" l="1"/>
  <c r="U16" i="6"/>
  <c r="Q17" i="6"/>
  <c r="S16" i="6"/>
  <c r="W16" i="6" l="1"/>
  <c r="U17" i="6"/>
  <c r="Q18" i="6"/>
  <c r="S17" i="6"/>
  <c r="O30" i="4"/>
  <c r="O59" i="4"/>
  <c r="O83" i="4"/>
  <c r="Y6" i="4"/>
  <c r="U18" i="6" l="1"/>
  <c r="W17" i="6"/>
  <c r="Q19" i="6"/>
  <c r="S18" i="6"/>
  <c r="O85" i="4"/>
  <c r="U19" i="6" l="1"/>
  <c r="W18" i="6"/>
  <c r="Q20" i="6"/>
  <c r="S19" i="6"/>
  <c r="M84" i="4"/>
  <c r="U20" i="6" l="1"/>
  <c r="W19" i="6"/>
  <c r="Q21" i="6"/>
  <c r="S20" i="6"/>
  <c r="L84" i="4"/>
  <c r="Y7" i="4"/>
  <c r="Y8" i="4" s="1"/>
  <c r="M83" i="4"/>
  <c r="N83" i="4"/>
  <c r="U21" i="6" l="1"/>
  <c r="W20" i="6"/>
  <c r="S21" i="6"/>
  <c r="Q22" i="6"/>
  <c r="N85" i="4"/>
  <c r="U22" i="6" l="1"/>
  <c r="W21" i="6"/>
  <c r="Q23" i="6"/>
  <c r="S22" i="6"/>
  <c r="M85" i="4"/>
  <c r="W22" i="6" l="1"/>
  <c r="U23" i="6"/>
  <c r="S23" i="6"/>
  <c r="Q24" i="6"/>
  <c r="L83" i="4"/>
  <c r="W23" i="6" l="1"/>
  <c r="U24" i="6"/>
  <c r="Q25" i="6"/>
  <c r="S24" i="6"/>
  <c r="L85" i="4"/>
  <c r="W24" i="6" l="1"/>
  <c r="U25" i="6"/>
  <c r="S25" i="6"/>
  <c r="Q26" i="6"/>
  <c r="J84" i="4"/>
  <c r="I84" i="4"/>
  <c r="U26" i="6" l="1"/>
  <c r="W25" i="6"/>
  <c r="Q27" i="6"/>
  <c r="S26" i="6"/>
  <c r="K53" i="4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83" i="4" s="1"/>
  <c r="K2" i="4"/>
  <c r="U27" i="6" l="1"/>
  <c r="W26" i="6"/>
  <c r="Q28" i="6"/>
  <c r="S27" i="6"/>
  <c r="K85" i="4"/>
  <c r="U28" i="6" l="1"/>
  <c r="W27" i="6"/>
  <c r="Q29" i="6"/>
  <c r="S28" i="6"/>
  <c r="J83" i="4"/>
  <c r="U29" i="6" l="1"/>
  <c r="W28" i="6"/>
  <c r="S29" i="6"/>
  <c r="Q30" i="6"/>
  <c r="J85" i="4"/>
  <c r="U30" i="6" l="1"/>
  <c r="W29" i="6"/>
  <c r="Q31" i="6"/>
  <c r="S30" i="6"/>
  <c r="E84" i="4"/>
  <c r="U31" i="6" l="1"/>
  <c r="W30" i="6"/>
  <c r="S31" i="6"/>
  <c r="Q32" i="6"/>
  <c r="G84" i="4"/>
  <c r="H84" i="4"/>
  <c r="W31" i="6" l="1"/>
  <c r="U32" i="6"/>
  <c r="S32" i="6"/>
  <c r="Q33" i="6"/>
  <c r="I83" i="4"/>
  <c r="I85" i="4" s="1"/>
  <c r="U33" i="6" l="1"/>
  <c r="W32" i="6"/>
  <c r="Q34" i="6"/>
  <c r="S33" i="6"/>
  <c r="D84" i="4"/>
  <c r="C84" i="4"/>
  <c r="U34" i="6" l="1"/>
  <c r="W33" i="6"/>
  <c r="Q35" i="6"/>
  <c r="S34" i="6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U35" i="6" l="1"/>
  <c r="W34" i="6"/>
  <c r="Q36" i="6"/>
  <c r="S35" i="6"/>
  <c r="E33" i="6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W35" i="6" l="1"/>
  <c r="U36" i="6"/>
  <c r="Q37" i="6"/>
  <c r="S36" i="6"/>
  <c r="I5" i="6"/>
  <c r="J5" i="6" s="1"/>
  <c r="H6" i="6"/>
  <c r="F84" i="4"/>
  <c r="H83" i="4"/>
  <c r="U37" i="6" l="1"/>
  <c r="W36" i="6"/>
  <c r="S37" i="6"/>
  <c r="Q38" i="6"/>
  <c r="H7" i="6"/>
  <c r="I6" i="6"/>
  <c r="J6" i="6" s="1"/>
  <c r="H85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U38" i="6" l="1"/>
  <c r="W37" i="6"/>
  <c r="Q39" i="6"/>
  <c r="S39" i="6" s="1"/>
  <c r="S38" i="6"/>
  <c r="I7" i="6"/>
  <c r="J7" i="6" s="1"/>
  <c r="H8" i="6"/>
  <c r="AH12" i="3"/>
  <c r="AI12" i="3"/>
  <c r="AH40" i="3"/>
  <c r="AI40" i="3"/>
  <c r="W38" i="6" l="1"/>
  <c r="U39" i="6"/>
  <c r="W39" i="6" s="1"/>
  <c r="H9" i="6"/>
  <c r="I8" i="6"/>
  <c r="J8" i="6" s="1"/>
  <c r="AH52" i="3"/>
  <c r="AI52" i="3"/>
  <c r="AH53" i="3"/>
  <c r="AI53" i="3"/>
  <c r="H10" i="6" l="1"/>
  <c r="I9" i="6"/>
  <c r="J9" i="6" s="1"/>
  <c r="G83" i="4"/>
  <c r="I10" i="6" l="1"/>
  <c r="J10" i="6" s="1"/>
  <c r="H11" i="6"/>
  <c r="G85" i="4"/>
  <c r="B84" i="4"/>
  <c r="E83" i="4"/>
  <c r="D83" i="4"/>
  <c r="C83" i="4"/>
  <c r="F20" i="4"/>
  <c r="F19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E85" i="4" l="1"/>
  <c r="F83" i="4"/>
  <c r="F85" i="4" s="1"/>
  <c r="H12" i="6"/>
  <c r="I11" i="6"/>
  <c r="J11" i="6" s="1"/>
  <c r="C85" i="4"/>
  <c r="D85" i="4"/>
  <c r="B83" i="4"/>
  <c r="B85" i="4" s="1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sharedStrings.xml><?xml version="1.0" encoding="utf-8"?>
<sst xmlns="http://schemas.openxmlformats.org/spreadsheetml/2006/main" count="4857" uniqueCount="389">
  <si>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</si>
  <si>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</si>
  <si>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</si>
  <si>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</si>
  <si>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</si>
  <si>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</si>
  <si>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</si>
  <si>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</si>
  <si>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</si>
  <si>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</si>
  <si>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</si>
  <si>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</si>
  <si>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</si>
  <si>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Joebo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</si>
  <si>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</si>
  <si>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</si>
  <si>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</si>
  <si>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</si>
  <si>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</si>
  <si>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</si>
  <si>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</si>
  <si>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</si>
  <si>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</si>
  <si>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</si>
  <si>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</si>
  <si>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</si>
  <si>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</si>
  <si>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</si>
  <si>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</si>
  <si>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</si>
  <si>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</si>
  <si>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</si>
  <si>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</si>
  <si>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</si>
  <si>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</si>
  <si>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</si>
  <si>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</si>
  <si>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</si>
  <si>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</si>
  <si>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</si>
  <si>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</si>
  <si>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</si>
  <si>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</si>
  <si>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</si>
  <si>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</si>
  <si>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</si>
  <si>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</si>
  <si>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</si>
  <si>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</si>
  <si>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</si>
  <si>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</si>
  <si>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</si>
  <si>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</si>
  <si>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</si>
  <si>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</si>
  <si>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</si>
  <si>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</si>
  <si>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</si>
  <si>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</si>
  <si>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</si>
  <si>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</si>
  <si>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</si>
  <si>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</si>
  <si>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</si>
  <si>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</si>
  <si>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</si>
  <si>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</si>
  <si>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</si>
  <si>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</si>
  <si>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</si>
  <si>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</si>
  <si>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</si>
  <si>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</si>
  <si>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</si>
  <si>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</si>
  <si>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</si>
  <si>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</si>
  <si>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</si>
  <si>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</si>
  <si>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</si>
  <si>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</si>
  <si>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</si>
  <si>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</si>
  <si>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</si>
  <si>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</si>
  <si>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</si>
  <si>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</si>
  <si>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data</t>
  </si>
  <si>
    <t>lançamento</t>
  </si>
  <si>
    <t>valor (R$)</t>
  </si>
  <si>
    <t>12/06/2024</t>
  </si>
  <si>
    <t>PIX TRANSF RICARDO12/06</t>
  </si>
  <si>
    <t>PIX TRANSF ROBERTO12/06</t>
  </si>
  <si>
    <t>14/06/2024</t>
  </si>
  <si>
    <t>PIX TRANSF  LUCCA V14/06</t>
  </si>
  <si>
    <t>PIX TRANSF  VINICIU14/06</t>
  </si>
  <si>
    <t>17/06/2024</t>
  </si>
  <si>
    <t>PIX TRANSF  MATHEUS15/06</t>
  </si>
  <si>
    <t>19/06/2024</t>
  </si>
  <si>
    <t>PIX TRANSF Matheus19/06</t>
  </si>
  <si>
    <t>26/06/2024</t>
  </si>
  <si>
    <t>PIX TRANSF JoÃ£o Pe26/06</t>
  </si>
  <si>
    <t>PIX TRANSF Matheus26/06</t>
  </si>
  <si>
    <t>27/06/2024</t>
  </si>
  <si>
    <t>PIX TRANSF PEDRO M27/06</t>
  </si>
  <si>
    <t>PIX TRANSF LUCCA M27/06</t>
  </si>
  <si>
    <t>PIX TRANSF TÃºlio C27/06</t>
  </si>
  <si>
    <t>PIX TRANSF Lucas M27/06</t>
  </si>
  <si>
    <t>PIX TRANSF ROBERTO27/06</t>
  </si>
  <si>
    <t>PIX TRANSF FELIPE 27/06</t>
  </si>
  <si>
    <t>PIX TRANSF Felipe 27/06</t>
  </si>
  <si>
    <t>PIX TRANSF Rodrigo27/06</t>
  </si>
  <si>
    <t>PIX TRANSF GUSTAVO27/06</t>
  </si>
  <si>
    <t>PIX TRANSF YURI LI27/06</t>
  </si>
  <si>
    <t>PIX TRANSF VinÃ­ciu27/06</t>
  </si>
  <si>
    <t>01/07/2024</t>
  </si>
  <si>
    <t>PIX TRANSF Murilo 01/07</t>
  </si>
  <si>
    <t>PIX TRANSF Joao Pe30/06</t>
  </si>
  <si>
    <t>PIX TRANSF Pedro H29/06</t>
  </si>
  <si>
    <t>02/07/2024</t>
  </si>
  <si>
    <t>PIX TRANSF JoÃ£o Pe02/07</t>
  </si>
  <si>
    <t>04/07/2024</t>
  </si>
  <si>
    <t>PIX TRANSF Matheus04/07</t>
  </si>
  <si>
    <t>PIX TRANSF RICARDO04/07</t>
  </si>
  <si>
    <t>10/07/2024</t>
  </si>
  <si>
    <t>PIX TRANSF RICARDO10/07</t>
  </si>
  <si>
    <t>11/07/2024</t>
  </si>
  <si>
    <t>PIX TRANSF Matheus11/07</t>
  </si>
  <si>
    <t>17/07/2024</t>
  </si>
  <si>
    <t>PIX TRANSF Matheus17/07</t>
  </si>
  <si>
    <t>19/07/2024</t>
  </si>
  <si>
    <t>PIX TRANSF FELIPE 19/07</t>
  </si>
  <si>
    <t>22/07/2024</t>
  </si>
  <si>
    <t>PIX TRANSF Silvio 21/07</t>
  </si>
  <si>
    <t>23/07/2024</t>
  </si>
  <si>
    <t>PIX TRANSF GEORGES23/07</t>
  </si>
  <si>
    <t>24/07/2024</t>
  </si>
  <si>
    <t>PIX TRANSF Matheus24/07</t>
  </si>
  <si>
    <t>25/07/2024</t>
  </si>
  <si>
    <t>PIX TRANSF THEO PA25/07</t>
  </si>
  <si>
    <t>31/07/2024</t>
  </si>
  <si>
    <t>PIX TRANSF JoÃ£o Pe31/07</t>
  </si>
  <si>
    <t>01/08/2024</t>
  </si>
  <si>
    <t>PIX TRANSF JoÃ£o Pe01/08</t>
  </si>
  <si>
    <t>PIX TRANSF PEDRO C01/08</t>
  </si>
  <si>
    <t>PIX TRANSF Joao Pe01/08</t>
  </si>
  <si>
    <t>PIX TRANSF Lucas M01/08</t>
  </si>
  <si>
    <t>PIX TRANSF GUILHER01/08</t>
  </si>
  <si>
    <t>PIX TRANSF MATEUS 01/08</t>
  </si>
  <si>
    <t>PIX TRANSF Rodrigo01/08</t>
  </si>
  <si>
    <t>PIX TRANSF Matheus01/08</t>
  </si>
  <si>
    <t>PIX TRANSF Felipe 01/08</t>
  </si>
  <si>
    <t>PIX TRANSF MIGUEL 01/08</t>
  </si>
  <si>
    <t>02/08/2024</t>
  </si>
  <si>
    <t>PIX TRANSF  ALINE S02/08</t>
  </si>
  <si>
    <t>PIX TRANSF  YURI DO02/08</t>
  </si>
  <si>
    <t>05/08/2024</t>
  </si>
  <si>
    <t>PIX TRANSF  JOAO PE05/08</t>
  </si>
  <si>
    <t>PIX TRANSF  ROBERTO04/08</t>
  </si>
  <si>
    <t>PIX TRANSF  LUCCA M05/08</t>
  </si>
  <si>
    <t>PIX TRANSF  GUSTAVO05/08</t>
  </si>
  <si>
    <t>06/08/2024</t>
  </si>
  <si>
    <t>PIX TRANSF  FABIANA06/08</t>
  </si>
  <si>
    <t>PIX TRANSF  VINICIU06/08</t>
  </si>
  <si>
    <t>PIX TRANSF  TULIO C06/08</t>
  </si>
  <si>
    <t>07/08/2024</t>
  </si>
  <si>
    <t>PIX TRANSF  CAIO H 07/08</t>
  </si>
  <si>
    <t>PIX TRANSF  MATHEUS07/08</t>
  </si>
  <si>
    <t>12/08/2024</t>
  </si>
  <si>
    <t>PIX TRANSF  JOAO PE12/08</t>
  </si>
  <si>
    <t>PIX TRANSF  PEDRO M12/08</t>
  </si>
  <si>
    <t>14/08/2024</t>
  </si>
  <si>
    <t>PIX TRANSF  MATHEUS14/08</t>
  </si>
  <si>
    <t>15/08/2024</t>
  </si>
  <si>
    <t>PIX TRANSF  RICARDO15/08</t>
  </si>
  <si>
    <t>PIX TRANSF  JOAO PE15/08</t>
  </si>
  <si>
    <t>16/08/2024</t>
  </si>
  <si>
    <t>PIX TRANSF  PEDRO H16/08</t>
  </si>
  <si>
    <t>PIX TRANSF  FELIPE 16/08</t>
  </si>
  <si>
    <t>PIX TRANSF  MURILO 16/08</t>
  </si>
  <si>
    <t>PIX TRANSF  ROBERTO16/08</t>
  </si>
  <si>
    <t>21/08/2024</t>
  </si>
  <si>
    <t>PIX TRANSF  RICARDO21/08</t>
  </si>
  <si>
    <t>PIX TRANSF  MATHEUS21/08</t>
  </si>
  <si>
    <t>29/08/2024</t>
  </si>
  <si>
    <t>PIX TRANSF  TULIO C29/08</t>
  </si>
  <si>
    <t>PIX TRANSF  ROBERTO29/08</t>
  </si>
  <si>
    <t>PIX TRANSF  ARTHUR 29/08</t>
  </si>
  <si>
    <t>PIX TRANSF  RODRIGO29/08</t>
  </si>
  <si>
    <t>PIX TRANSF  FELIPE 29/08</t>
  </si>
  <si>
    <t>PIX TRANSF  MATHEUS29/08</t>
  </si>
  <si>
    <t>PIX TRANSF  GUSTAVO29/08</t>
  </si>
  <si>
    <t>PIX TRANSF  GUILHER29/08</t>
  </si>
  <si>
    <t>PIX TRANSF  VINICIU29/08</t>
  </si>
  <si>
    <t>PIX TRANSF  JOAO PE29/08</t>
  </si>
  <si>
    <t>PIX TRANSF  LUCAS M29/08</t>
  </si>
  <si>
    <t>30/08/2024</t>
  </si>
  <si>
    <t>PIX TRANSF  JOAO PE30/08</t>
  </si>
  <si>
    <t>PIX TRANSF  PEDRO M30/08</t>
  </si>
  <si>
    <t>02/09/2024</t>
  </si>
  <si>
    <t>PIX TRANSF Joao Pe02/09</t>
  </si>
  <si>
    <t>PIX TRANSF LUCCA M02/09</t>
  </si>
  <si>
    <t>PIX TRANSF  FELIPE 02/09</t>
  </si>
  <si>
    <t>03/09/2024</t>
  </si>
  <si>
    <t>PIX TRANSF  MIGUEL 03/09</t>
  </si>
  <si>
    <t>04/09/2024</t>
  </si>
  <si>
    <t>PIX TRANSF  MURILO 04/09</t>
  </si>
  <si>
    <t>PIX TRANSF  PEDRO H04/09</t>
  </si>
  <si>
    <t>06/09/2024</t>
  </si>
  <si>
    <t>PIX TRANSF  DIEGO A06/09</t>
  </si>
  <si>
    <t>11/09/2024</t>
  </si>
  <si>
    <t>PIX TRANSF  MATHEUS11/09</t>
  </si>
  <si>
    <t>18/09/2024</t>
  </si>
  <si>
    <t>PIX TRANSF  JOAO PE18/09</t>
  </si>
  <si>
    <t>20/09/2024</t>
  </si>
  <si>
    <t>PIX TRANSF  MATHEUS20/09</t>
  </si>
  <si>
    <t>25/09/2024</t>
  </si>
  <si>
    <t>PIX TRANSF  MATHEUS25/09</t>
  </si>
  <si>
    <t>26/09/2024</t>
  </si>
  <si>
    <t>PIX TRANSF  RODRIGO26/09</t>
  </si>
  <si>
    <t>PIX TRANSF  JOAO PE26/09</t>
  </si>
  <si>
    <t>PIX TRANSF  VINICIU26/09</t>
  </si>
  <si>
    <t>PIX TRANSF  TULIO C26/09</t>
  </si>
  <si>
    <t>PIX TRANSF  GUILHER26/09</t>
  </si>
  <si>
    <t>PIX TRANSF  LUCAS A26/09</t>
  </si>
  <si>
    <t>PIX TRANSF  PEDRO H26/09</t>
  </si>
  <si>
    <t>PIX TRANSF  FELIPE 26/09</t>
  </si>
  <si>
    <t>PIX TRANSF  LUCCA V26/09</t>
  </si>
  <si>
    <t>27/09/2024</t>
  </si>
  <si>
    <t>PIX TRANSF  MIGUEL 27/09</t>
  </si>
  <si>
    <t>30/09/2024</t>
  </si>
  <si>
    <t>PIX TRANSF  FABIANA29/09</t>
  </si>
  <si>
    <t>PIX TRANSF  FELIPE 28/09</t>
  </si>
  <si>
    <t>PIX TRANSF  GUSTAVO28/09</t>
  </si>
  <si>
    <t>PIX TRANSF  LUCCA M28/09</t>
  </si>
  <si>
    <t>PIX TRANSF  LUCAS M28/09</t>
  </si>
  <si>
    <t>PIX TRANSF  OCTAVIO28/09</t>
  </si>
  <si>
    <t>PIX TRANSF  GUILHER28/09</t>
  </si>
  <si>
    <t>03/10/2024</t>
  </si>
  <si>
    <t>PIX TRANSF  OCTAVIO03/10</t>
  </si>
  <si>
    <t>PIX TRANSF  EDUARDO03/10</t>
  </si>
  <si>
    <t>PIX TRANSF  MATHEUS03/10</t>
  </si>
  <si>
    <t>07/10/2024</t>
  </si>
  <si>
    <t>PIX TRANSF  JOAO PE07/10</t>
  </si>
  <si>
    <t>PIX TRANSF  PEDRO M07/10</t>
  </si>
  <si>
    <t>PIX TRANSF  MURILO 07/10</t>
  </si>
  <si>
    <t>08/10/2024</t>
  </si>
  <si>
    <t>PIX TRANSF  PEDRO C08/10</t>
  </si>
  <si>
    <t>PIX TRANSF  JOAO PE08/10</t>
  </si>
  <si>
    <t>PIX TRANSF  PEDRO H08/10</t>
  </si>
  <si>
    <t>15/10/2024</t>
  </si>
  <si>
    <t>PIX TRANSF  PEDRO H15/10</t>
  </si>
  <si>
    <t>24/10/2024</t>
  </si>
  <si>
    <t>PIX TRANSF MATHEUS24/10</t>
  </si>
  <si>
    <t>25/10/2024</t>
  </si>
  <si>
    <t>PIX TRANSF SILVIO 25/10</t>
  </si>
  <si>
    <t>31/10/2024</t>
  </si>
  <si>
    <t>PIX TRANSF MATHEUS31/10</t>
  </si>
  <si>
    <t>PIX TRANSF TÃºlio C31/10</t>
  </si>
  <si>
    <t>PIX TRANSF EDUARDO31/10</t>
  </si>
  <si>
    <t>PIX TRANSF JoÃ£o Pe31/10</t>
  </si>
  <si>
    <t>PIX TRANSF RODRIGO31/10</t>
  </si>
  <si>
    <t>PIX TRANSF Joao Pe31/10</t>
  </si>
  <si>
    <t>PIX TRANSF Lucas M31/10</t>
  </si>
  <si>
    <t>PIX TRANSF GUILHER31/10</t>
  </si>
  <si>
    <t>01/11/2024</t>
  </si>
  <si>
    <t>PIX TRANSF OctÃ¡vio01/11</t>
  </si>
  <si>
    <t>PIX TRANSF Felipe 01/11</t>
  </si>
  <si>
    <t>PIX TRANSF LUCCA M01/11</t>
  </si>
  <si>
    <t>04/11/2024</t>
  </si>
  <si>
    <t>PIX TRANSF YURI LI02/11</t>
  </si>
  <si>
    <t>PIX TRANSF Miguel 04/11</t>
  </si>
  <si>
    <t>PIX TRANSF RODRIGO04/11</t>
  </si>
  <si>
    <t>PIX TRANSF CAIO H 02/11</t>
  </si>
  <si>
    <t>11/11/2024</t>
  </si>
  <si>
    <t>PIX TRANSF PEDRO C11/11</t>
  </si>
  <si>
    <t>PIX TRANSF GUSTAVO10/11</t>
  </si>
  <si>
    <t>PIX TRANSF PEDRO M10/11</t>
  </si>
  <si>
    <t>PIX TRANSF JoÃ£o Pe10/11</t>
  </si>
  <si>
    <t>PIX TRANSF FELIPE 11/11</t>
  </si>
  <si>
    <t>PIX QRS LUIS FELLIP11/11</t>
  </si>
  <si>
    <t>12/11/2024</t>
  </si>
  <si>
    <t>PIX TRANSF JoÃ£o Pe12/11</t>
  </si>
  <si>
    <t>PIX TRANSF VinÃ­ciu12/11</t>
  </si>
  <si>
    <t>14/11/2024</t>
  </si>
  <si>
    <t>PIX TRANSF MATHEUS14/11</t>
  </si>
  <si>
    <t>21/11/2024</t>
  </si>
  <si>
    <t>PIX QRS JoÃ£o Pedro 21/11</t>
  </si>
  <si>
    <t>PIX QRS LEONARDO GO18/11</t>
  </si>
  <si>
    <t>PIX QRS VINICIUS KU18/11</t>
  </si>
  <si>
    <t>22/11/2024</t>
  </si>
  <si>
    <t>PIX TRANSF OCTAVIO22/11</t>
  </si>
  <si>
    <t>27/11/2024</t>
  </si>
  <si>
    <t>PIX TRANSF Pedro H27/11</t>
  </si>
  <si>
    <t>28/11/2024</t>
  </si>
  <si>
    <t>PIX TRANSF RODRIGO28/11</t>
  </si>
  <si>
    <t>PIX TRANSF MATHEUS28/11</t>
  </si>
  <si>
    <t>PIX TRANSF Lucas M28/11</t>
  </si>
  <si>
    <t>PIX TRANSF JoÃ£o Pe28/11</t>
  </si>
  <si>
    <t>PIX QRS Vinicius Ku28/11</t>
  </si>
  <si>
    <t>PIX TRANSF THEO PA28/11</t>
  </si>
  <si>
    <t>PIX TRANSF VinÃ­ciu28/11</t>
  </si>
  <si>
    <t>PIX TRANSF LUCCA M28/11</t>
  </si>
  <si>
    <t>PIX TRANSF LUCIANO28/11</t>
  </si>
  <si>
    <t>PIX TRANSF Felipe 28/11</t>
  </si>
  <si>
    <t>PIX TRANSF TÃºlio C28/11</t>
  </si>
  <si>
    <t>PIX TRANSF OCTAVIO28/11</t>
  </si>
  <si>
    <t>29/11/2024</t>
  </si>
  <si>
    <t>PIX TRANSF YURI LI29/11</t>
  </si>
  <si>
    <t>PIX TRANSF Joao Pe29/11</t>
  </si>
  <si>
    <t>PIX TRANSF Bernard29/11</t>
  </si>
  <si>
    <t>PIX TRANSF GABRIEL29/11</t>
  </si>
  <si>
    <t>PIX TRANSF LUIS FE29/11</t>
  </si>
  <si>
    <t>PIX TRANSF DIEGO A29/11</t>
  </si>
  <si>
    <t>PIX TRANSF Murilo 29/11</t>
  </si>
  <si>
    <t>PIX TRANSF GUILHER29/11</t>
  </si>
  <si>
    <t>PIX TRANSF RICARDO29/11</t>
  </si>
  <si>
    <t>05/12/2024</t>
  </si>
  <si>
    <t>PIX TRANSF Pedro R05/12</t>
  </si>
  <si>
    <t>PIX TRANSF MATHEUS05/12</t>
  </si>
  <si>
    <t>PIX QRS Rafael Volo05/12</t>
  </si>
  <si>
    <t>PIX QRS Vinicius Ku05/12</t>
  </si>
  <si>
    <t>09/12/2024</t>
  </si>
  <si>
    <t>PIX TRANSF PEDRO M09/12</t>
  </si>
  <si>
    <t>10/12/2024</t>
  </si>
  <si>
    <t>PIX TRANSF Pedro R10/12</t>
  </si>
  <si>
    <t>11/12/2024</t>
  </si>
  <si>
    <t>PIX TRANSF MATHEUS11/12</t>
  </si>
  <si>
    <t>PIX TRANSF Pedro H11/12</t>
  </si>
  <si>
    <t>19/12/2024</t>
  </si>
  <si>
    <t>PIX TRANSF ANTONIO19/12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</si>
  <si>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</si>
  <si>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</si>
  <si>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</si>
  <si>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</si>
  <si>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</si>
  <si>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</si>
  <si>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</si>
  <si>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</si>
  <si>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</si>
  <si>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</si>
  <si>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</si>
  <si>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</si>
  <si>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Mateus (Spohr)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</si>
  <si>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</si>
  <si>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</si>
  <si>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</si>
  <si>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</si>
  <si>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</si>
  <si>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</si>
  <si>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</si>
  <si>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</si>
  <si>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</si>
  <si>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</si>
  <si>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</si>
  <si>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</si>
  <si>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</si>
  <si>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Vaga</t>
  </si>
  <si>
    <t>Maio</t>
  </si>
  <si>
    <t>Tuca/Samps</t>
  </si>
  <si>
    <t>Samps/Yuri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</si>
  <si>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</si>
  <si>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</si>
  <si>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</si>
  <si>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</si>
  <si>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</si>
  <si>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</si>
  <si>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</si>
  <si>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</si>
  <si>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</si>
  <si>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</si>
  <si>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</si>
  <si>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</si>
  <si>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</si>
  <si>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</si>
  <si>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</si>
  <si>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</si>
  <si>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</si>
  <si>
    <t>Croce</t>
  </si>
  <si>
    <t>Saramago</t>
  </si>
  <si>
    <t>Sarra</t>
  </si>
  <si>
    <t>Juninho</t>
  </si>
  <si>
    <t>Caio Yuri</t>
  </si>
  <si>
    <t>2025 -&gt; 2026</t>
  </si>
  <si>
    <t>conv</t>
  </si>
  <si>
    <t>Thiago</t>
  </si>
  <si>
    <t>jan</t>
  </si>
  <si>
    <t>Verificação</t>
  </si>
  <si>
    <t>Passo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</si>
</sst>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name val="Arial"/>
      <family val="2"/>
    </font>
    <font>
      <sz val="11"/>
      <name val="Arial"/>
      <family val="2"/>
    </font>
    <font>
      <sz val="11"/>
      <color indexed="17"/>
      <name val="Arial"/>
      <family val="2"/>
    </font>
    <font>
      <sz val="11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22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1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0" fontId="18" fillId="0" borderId="18" xfId="0" applyFont="1" applyBorder="1" applyAlignment="1">
      <alignment horizontal="left" vertical="center" indent="1"/>
    </xf>
    <xf numFmtId="0" fontId="18" fillId="0" borderId="18" xfId="0" applyFont="1" applyBorder="1" applyAlignment="1">
      <alignment horizontal="left" vertical="center"/>
    </xf>
    <xf numFmtId="0" fontId="18" fillId="0" borderId="18" xfId="0" applyFont="1" applyBorder="1" applyAlignment="1">
      <alignment horizontal="right" vertical="center" indent="1"/>
    </xf>
    <xf numFmtId="0" fontId="19" fillId="0" borderId="18" xfId="0" applyFont="1" applyBorder="1" applyAlignment="1">
      <alignment horizontal="left" vertical="center" indent="1"/>
    </xf>
    <xf numFmtId="4" fontId="20" fillId="0" borderId="18" xfId="0" applyNumberFormat="1" applyFont="1" applyBorder="1" applyAlignment="1">
      <alignment horizontal="right" vertical="center" indent="1"/>
    </xf>
    <xf numFmtId="165" fontId="0" fillId="36" borderId="0" xfId="42" applyNumberFormat="1" applyFont="1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7" fillId="43" borderId="0" xfId="0" applyFont="1" applyFill="1"/>
    <xf numFmtId="0" fontId="17" fillId="42" borderId="0" xfId="0" applyFont="1" applyFill="1"/>
    <xf numFmtId="0" fontId="21" fillId="44" borderId="0" xfId="0" applyFont="1" applyFill="1"/>
    <xf numFmtId="0" fontId="0" fillId="45" borderId="0" xfId="0" applyFill="1"/>
    <xf numFmtId="0" fontId="17" fillId="46" borderId="0" xfId="0" applyFont="1" applyFill="1"/>
    <xf numFmtId="0" fontId="17" fillId="47" borderId="0" xfId="0" applyFont="1" applyFill="1"/>
    <xf numFmtId="0" fontId="17" fillId="48" borderId="0" xfId="0" applyFont="1" applyFill="1"/>
    <xf numFmtId="0" fontId="17" fillId="49" borderId="0" xfId="0" applyFont="1" applyFill="1"/>
    <xf numFmtId="0" fontId="0" fillId="34" borderId="0" xfId="0" applyFill="1"/>
    <xf numFmtId="0" fontId="0" fillId="50" borderId="0" xfId="0" applyFill="1"/>
    <xf numFmtId="0" fontId="0" fillId="51" borderId="0" xfId="0" applyFill="1"/>
    <xf numFmtId="0" fontId="0" fillId="35" borderId="0" xfId="0" applyFill="1"/>
    <xf numFmtId="0" fontId="0" fillId="52" borderId="0" xfId="0" applyFill="1"/>
    <xf numFmtId="0" fontId="0" fillId="33" borderId="0" xfId="0" applyFill="1"/>
    <xf numFmtId="0" fontId="17" fillId="53" borderId="0" xfId="0" applyFont="1" applyFill="1"/>
    <xf numFmtId="0" fontId="17" fillId="54" borderId="0" xfId="0" applyFont="1" applyFill="1"/>
    <xf numFmtId="0" fontId="0" fillId="55" borderId="0" xfId="0" applyFill="1"/>
    <xf numFmtId="0" fontId="17" fillId="56" borderId="0" xfId="0" applyFont="1" applyFill="1"/>
    <xf numFmtId="0" fontId="0" fillId="57" borderId="0" xfId="0" applyFill="1"/>
    <xf numFmtId="0" fontId="0" fillId="58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  <xf numFmtId="16" fontId="0" fillId="0" borderId="0" xfId="0" applyNumberForma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</a:t>
            </a:r>
            <a:r>
              <a:rPr lang="en-US" baseline="0"/>
              <a:t> -&gt;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'conversão notas'!$N$2:$N$8</c:f>
              <c:numCache>
                <c:formatCode>General</c:formatCode>
                <c:ptCount val="7"/>
                <c:pt idx="0">
                  <c:v>5</c:v>
                </c:pt>
                <c:pt idx="1">
                  <c:v>5.5</c:v>
                </c:pt>
                <c:pt idx="2">
                  <c:v>6</c:v>
                </c:pt>
                <c:pt idx="3">
                  <c:v>6.5</c:v>
                </c:pt>
                <c:pt idx="4">
                  <c:v>7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'conversão notas'!$O$2:$O$8</c:f>
              <c:numCache>
                <c:formatCode>General</c:formatCode>
                <c:ptCount val="7"/>
                <c:pt idx="0">
                  <c:v>5.7</c:v>
                </c:pt>
                <c:pt idx="1">
                  <c:v>6.3</c:v>
                </c:pt>
                <c:pt idx="2">
                  <c:v>7.2</c:v>
                </c:pt>
                <c:pt idx="3">
                  <c:v>7.9</c:v>
                </c:pt>
                <c:pt idx="4">
                  <c:v>8.4</c:v>
                </c:pt>
                <c:pt idx="5">
                  <c:v>4.9000000000000004</c:v>
                </c:pt>
                <c:pt idx="6">
                  <c:v>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0-4766-A091-AF632C4D8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854895"/>
        <c:axId val="59774447"/>
      </c:scatterChart>
      <c:valAx>
        <c:axId val="6085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4447"/>
        <c:crosses val="autoZero"/>
        <c:crossBetween val="midCat"/>
      </c:valAx>
      <c:valAx>
        <c:axId val="5977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54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34925</xdr:colOff>
      <xdr:row>10</xdr:row>
      <xdr:rowOff>179387</xdr:rowOff>
    </xdr:from>
    <xdr:to>
      <xdr:col>31</xdr:col>
      <xdr:colOff>339725</xdr:colOff>
      <xdr:row>26</xdr:row>
      <xdr:rowOff>39687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BB6484-9303-4BD2-AD74-614857E34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N81"/>
  <sheetViews>
    <sheetView zoomScale="85" zoomScaleNormal="85" workbookViewId="0">
      <pane xSplit="1" topLeftCell="BR1" activePane="topRight" state="frozen"/>
      <selection pane="topRight" activeCell="CG4" sqref="CG4"/>
    </sheetView>
  </sheetViews>
  <sheetFormatPr defaultRowHeight="14.5" x14ac:dyDescent="0.35"/>
  <cols>
    <col min="2" max="2" width="9.453125" bestFit="1" customWidth="1"/>
    <col min="3" max="5" width="10.6328125" bestFit="1" customWidth="1"/>
    <col min="6" max="6" width="9.453125" bestFit="1" customWidth="1"/>
    <col min="7" max="10" width="10.6328125" bestFit="1" customWidth="1"/>
    <col min="11" max="11" width="9.453125" bestFit="1" customWidth="1"/>
    <col min="12" max="14" width="10.6328125" bestFit="1" customWidth="1"/>
    <col min="15" max="15" width="9.453125" bestFit="1" customWidth="1"/>
    <col min="16" max="18" width="10.6328125" bestFit="1" customWidth="1"/>
    <col min="19" max="19" width="9.54296875" bestFit="1" customWidth="1"/>
    <col min="20" max="20" width="9.81640625" bestFit="1" customWidth="1"/>
    <col min="21" max="23" width="10.54296875" bestFit="1" customWidth="1"/>
    <col min="24" max="24" width="9.54296875" bestFit="1" customWidth="1"/>
    <col min="25" max="25" width="10.54296875" bestFit="1" customWidth="1"/>
    <col min="26" max="26" width="11.54296875" bestFit="1" customWidth="1"/>
    <col min="27" max="27" width="10.54296875" bestFit="1" customWidth="1"/>
    <col min="28" max="29" width="10.54296875" customWidth="1"/>
    <col min="30" max="30" width="11" bestFit="1" customWidth="1"/>
    <col min="31" max="48" width="10.54296875" customWidth="1"/>
    <col min="49" max="49" width="9.54296875" bestFit="1" customWidth="1"/>
    <col min="50" max="58" width="9.54296875" customWidth="1"/>
    <col min="59" max="65" width="10.453125" bestFit="1" customWidth="1"/>
    <col min="66" max="66" width="11" bestFit="1" customWidth="1"/>
    <col min="67" max="86" width="11" customWidth="1"/>
  </cols>
  <sheetData>
    <row r="1" spans="1:92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>
        <v>45973</v>
      </c>
      <c r="BX1" s="1">
        <v>45980</v>
      </c>
      <c r="BY1" s="1">
        <v>45987</v>
      </c>
      <c r="BZ1" s="1">
        <v>45994</v>
      </c>
      <c r="CA1" s="1">
        <v>46001</v>
      </c>
      <c r="CB1" s="1">
        <v>46008</v>
      </c>
      <c r="CC1" s="1">
        <v>46029</v>
      </c>
      <c r="CD1" s="1">
        <v>46036</v>
      </c>
      <c r="CE1" s="1">
        <v>46043</v>
      </c>
      <c r="CF1" s="1">
        <v>46050</v>
      </c>
      <c r="CG1" s="1">
        <v>46057</v>
      </c>
      <c r="CH1" s="1"/>
      <c r="CI1" t="s">
        <v>57</v>
      </c>
      <c r="CJ1" t="s">
        <v>58</v>
      </c>
      <c r="CK1" t="s">
        <v>59</v>
      </c>
      <c r="CL1" t="s">
        <v>62</v>
      </c>
      <c r="CM1" t="s">
        <v>386</v>
      </c>
      <c r="CN1" t="s">
        <v>384</v>
      </c>
    </row>
    <row r="2" spans="1:92" x14ac:dyDescent="0.35">
      <c r="A2" t="s">
        <v>1</v>
      </c>
      <c r="B2">
        <v>8.5</v>
      </c>
      <c r="C2">
        <v>3</v>
      </c>
      <c r="D2">
        <v>7.5</v>
      </c>
      <c r="E2">
        <v>6</v>
      </c>
      <c r="F2">
        <v>7</v>
      </c>
      <c r="G2">
        <v>7</v>
      </c>
      <c r="H2">
        <v>5.5</v>
      </c>
      <c r="I2">
        <v>7.5</v>
      </c>
      <c r="J2">
        <v>5.5</v>
      </c>
      <c r="K2">
        <v>7</v>
      </c>
      <c r="L2">
        <v>7.5</v>
      </c>
      <c r="M2">
        <v>5.5</v>
      </c>
      <c r="N2">
        <v>6</v>
      </c>
      <c r="O2">
        <v>5.5</v>
      </c>
      <c r="P2">
        <v>7</v>
      </c>
      <c r="Q2">
        <v>7</v>
      </c>
      <c r="R2">
        <v>7</v>
      </c>
      <c r="S2">
        <v>7.5</v>
      </c>
      <c r="T2">
        <v>6</v>
      </c>
      <c r="U2">
        <v>5.5</v>
      </c>
      <c r="V2">
        <v>6</v>
      </c>
      <c r="W2">
        <v>6</v>
      </c>
      <c r="X2">
        <v>6</v>
      </c>
      <c r="Y2">
        <v>7</v>
      </c>
      <c r="Z2" t="s">
        <v>26</v>
      </c>
      <c r="AA2">
        <v>6</v>
      </c>
      <c r="AB2">
        <v>6</v>
      </c>
      <c r="AC2">
        <v>7.5</v>
      </c>
      <c r="AD2">
        <v>7</v>
      </c>
      <c r="AE2">
        <v>6</v>
      </c>
      <c r="AF2">
        <v>6</v>
      </c>
      <c r="AG2">
        <v>6</v>
      </c>
      <c r="AH2">
        <v>6.5</v>
      </c>
      <c r="AI2">
        <v>6.5</v>
      </c>
      <c r="AJ2">
        <v>4.5</v>
      </c>
      <c r="AK2">
        <v>5</v>
      </c>
      <c r="AL2">
        <v>4</v>
      </c>
      <c r="AM2">
        <v>4</v>
      </c>
      <c r="AN2">
        <v>5.5</v>
      </c>
      <c r="AO2">
        <v>5</v>
      </c>
      <c r="AP2">
        <v>5.5</v>
      </c>
      <c r="AQ2">
        <v>5</v>
      </c>
      <c r="AR2">
        <v>5.5</v>
      </c>
      <c r="AS2">
        <v>4.5</v>
      </c>
      <c r="AT2">
        <v>5.5</v>
      </c>
      <c r="AU2">
        <v>5</v>
      </c>
      <c r="AV2">
        <v>4</v>
      </c>
      <c r="AW2">
        <v>5.5</v>
      </c>
      <c r="AX2">
        <v>5.5</v>
      </c>
      <c r="BA2">
        <v>5</v>
      </c>
      <c r="BB2">
        <v>5.5</v>
      </c>
      <c r="BC2">
        <v>4</v>
      </c>
      <c r="BD2">
        <v>4.5</v>
      </c>
      <c r="BF2">
        <v>5</v>
      </c>
      <c r="BG2">
        <v>5</v>
      </c>
      <c r="BH2">
        <v>5.5</v>
      </c>
      <c r="BI2">
        <v>5.5</v>
      </c>
      <c r="BJ2">
        <v>5</v>
      </c>
      <c r="BK2">
        <v>5.5</v>
      </c>
      <c r="BL2">
        <v>6.5</v>
      </c>
      <c r="BM2">
        <v>5</v>
      </c>
      <c r="BO2">
        <v>5</v>
      </c>
      <c r="BP2">
        <v>4.5</v>
      </c>
      <c r="BQ2">
        <v>5</v>
      </c>
      <c r="BR2">
        <v>6.5</v>
      </c>
      <c r="BS2">
        <v>5.5</v>
      </c>
      <c r="BT2">
        <v>5</v>
      </c>
      <c r="BU2">
        <v>5.5</v>
      </c>
      <c r="BV2">
        <v>6</v>
      </c>
      <c r="BW2">
        <v>5.5</v>
      </c>
      <c r="BX2">
        <v>5</v>
      </c>
      <c r="BY2">
        <v>4</v>
      </c>
      <c r="BZ2">
        <v>5.5</v>
      </c>
      <c r="CA2">
        <v>5</v>
      </c>
      <c r="CB2">
        <v>5</v>
      </c>
      <c r="CC2">
        <v>5.5</v>
      </c>
      <c r="CD2">
        <v>5.5</v>
      </c>
      <c r="CF2">
        <v>6</v>
      </c>
      <c r="CG2">
        <v>4</v>
      </c>
      <c r="CI2">
        <f>COUNT(B2:CG2)</f>
        <v>78</v>
      </c>
      <c r="CJ2" s="18">
        <f>AVERAGE(B2:CG2)</f>
        <v>5.6602564102564106</v>
      </c>
      <c r="CK2">
        <f>IF(CI2&gt;1,_xlfn.STDEV.S(B2:CF2),"")</f>
        <v>1.0062603085744963</v>
      </c>
      <c r="CL2">
        <v>1</v>
      </c>
      <c r="CM2">
        <f>COUNT(CC2:CF2)</f>
        <v>3</v>
      </c>
      <c r="CN2">
        <f>IF(CL2=0,CM2,0)</f>
        <v>0</v>
      </c>
    </row>
    <row r="3" spans="1:92" x14ac:dyDescent="0.35">
      <c r="A3" t="s">
        <v>10</v>
      </c>
      <c r="B3">
        <v>4</v>
      </c>
      <c r="C3">
        <v>5.5</v>
      </c>
      <c r="D3">
        <v>7</v>
      </c>
      <c r="E3">
        <v>5.5</v>
      </c>
      <c r="F3">
        <v>5.5</v>
      </c>
      <c r="G3">
        <v>5.5</v>
      </c>
      <c r="H3">
        <v>6</v>
      </c>
      <c r="I3">
        <v>5.5</v>
      </c>
      <c r="J3">
        <v>6</v>
      </c>
      <c r="K3">
        <v>6</v>
      </c>
      <c r="L3">
        <v>5.5</v>
      </c>
      <c r="M3">
        <v>7</v>
      </c>
      <c r="N3">
        <v>7</v>
      </c>
      <c r="O3">
        <v>7</v>
      </c>
      <c r="P3">
        <v>4.5</v>
      </c>
      <c r="Q3">
        <v>5.5</v>
      </c>
      <c r="R3">
        <v>5.5</v>
      </c>
      <c r="S3">
        <v>7</v>
      </c>
      <c r="T3">
        <v>5.5</v>
      </c>
      <c r="U3">
        <v>7</v>
      </c>
      <c r="V3">
        <v>7</v>
      </c>
      <c r="W3" t="s">
        <v>26</v>
      </c>
      <c r="X3">
        <v>6</v>
      </c>
      <c r="Y3">
        <v>7</v>
      </c>
      <c r="Z3" t="s">
        <v>26</v>
      </c>
      <c r="AA3">
        <v>6</v>
      </c>
      <c r="AB3">
        <v>6</v>
      </c>
      <c r="AC3">
        <v>5.5</v>
      </c>
      <c r="AD3">
        <v>6</v>
      </c>
      <c r="AE3">
        <v>6.5</v>
      </c>
      <c r="AF3">
        <v>5</v>
      </c>
      <c r="AH3">
        <v>6.5</v>
      </c>
      <c r="AI3">
        <v>5</v>
      </c>
      <c r="AJ3">
        <v>5</v>
      </c>
      <c r="AK3">
        <v>5</v>
      </c>
      <c r="AL3">
        <v>5.5</v>
      </c>
      <c r="AM3">
        <v>4.5</v>
      </c>
      <c r="AN3">
        <v>5</v>
      </c>
      <c r="AO3">
        <v>5.5</v>
      </c>
      <c r="AP3">
        <v>5.5</v>
      </c>
      <c r="AQ3">
        <v>5</v>
      </c>
      <c r="AR3">
        <v>4.5</v>
      </c>
      <c r="AS3">
        <v>5.5</v>
      </c>
      <c r="AT3">
        <v>4.5</v>
      </c>
      <c r="AU3">
        <v>4.5</v>
      </c>
      <c r="AV3">
        <v>4.5</v>
      </c>
      <c r="AW3">
        <v>4</v>
      </c>
      <c r="AX3">
        <v>3.5</v>
      </c>
      <c r="AY3">
        <v>6</v>
      </c>
      <c r="AZ3">
        <v>4.5</v>
      </c>
      <c r="BA3">
        <v>5</v>
      </c>
      <c r="BB3">
        <v>4.5</v>
      </c>
      <c r="BC3">
        <v>4</v>
      </c>
      <c r="BD3">
        <v>5.5</v>
      </c>
      <c r="BE3">
        <v>7</v>
      </c>
      <c r="BI3">
        <v>5.5</v>
      </c>
      <c r="BJ3">
        <v>5.5</v>
      </c>
      <c r="BK3">
        <v>5.5</v>
      </c>
      <c r="BL3">
        <v>5</v>
      </c>
      <c r="BM3">
        <v>4</v>
      </c>
      <c r="BN3">
        <v>5</v>
      </c>
      <c r="BO3">
        <v>5</v>
      </c>
      <c r="BP3">
        <v>4.5</v>
      </c>
      <c r="BQ3">
        <v>4.5</v>
      </c>
      <c r="BR3">
        <v>4.5</v>
      </c>
      <c r="BS3">
        <v>5</v>
      </c>
      <c r="BV3">
        <v>4.5</v>
      </c>
      <c r="BW3">
        <v>5</v>
      </c>
      <c r="BX3">
        <v>6</v>
      </c>
      <c r="BZ3">
        <v>4.5</v>
      </c>
      <c r="CA3">
        <v>4.5</v>
      </c>
      <c r="CB3">
        <v>4.5</v>
      </c>
      <c r="CC3">
        <v>6.5</v>
      </c>
      <c r="CD3">
        <v>7</v>
      </c>
      <c r="CE3">
        <v>5.5</v>
      </c>
      <c r="CF3">
        <v>5.5</v>
      </c>
      <c r="CG3">
        <v>6</v>
      </c>
      <c r="CI3">
        <f>COUNT(B3:CG3)</f>
        <v>75</v>
      </c>
      <c r="CJ3" s="18">
        <f>AVERAGE(B3:CG3)</f>
        <v>5.42</v>
      </c>
      <c r="CK3">
        <f>IF(CI3&gt;1,_xlfn.STDEV.S(B3:CF3),"")</f>
        <v>0.89273363508171999</v>
      </c>
      <c r="CL3">
        <v>1</v>
      </c>
      <c r="CM3">
        <f>COUNT(CC3:CF3)</f>
        <v>4</v>
      </c>
      <c r="CN3">
        <f>IF(CL3=0,CM3,0)</f>
        <v>0</v>
      </c>
    </row>
    <row r="4" spans="1:92" x14ac:dyDescent="0.35">
      <c r="A4" t="s">
        <v>4</v>
      </c>
      <c r="B4">
        <v>4.5</v>
      </c>
      <c r="C4" t="s">
        <v>26</v>
      </c>
      <c r="D4">
        <v>6</v>
      </c>
      <c r="E4">
        <v>5.5</v>
      </c>
      <c r="F4">
        <v>6</v>
      </c>
      <c r="G4" t="s">
        <v>26</v>
      </c>
      <c r="H4">
        <v>7</v>
      </c>
      <c r="I4">
        <v>5.5</v>
      </c>
      <c r="J4">
        <v>6</v>
      </c>
      <c r="K4">
        <v>5.5</v>
      </c>
      <c r="L4">
        <v>7</v>
      </c>
      <c r="M4">
        <v>6</v>
      </c>
      <c r="N4">
        <v>7</v>
      </c>
      <c r="O4">
        <v>5.5</v>
      </c>
      <c r="P4">
        <v>5.5</v>
      </c>
      <c r="Q4">
        <v>7</v>
      </c>
      <c r="R4">
        <v>6</v>
      </c>
      <c r="S4">
        <v>6</v>
      </c>
      <c r="T4">
        <v>7</v>
      </c>
      <c r="U4">
        <v>6</v>
      </c>
      <c r="V4">
        <v>5.5</v>
      </c>
      <c r="W4">
        <v>5.5</v>
      </c>
      <c r="X4">
        <v>6</v>
      </c>
      <c r="Y4">
        <v>5.5</v>
      </c>
      <c r="Z4" t="s">
        <v>26</v>
      </c>
      <c r="AA4">
        <v>7</v>
      </c>
      <c r="AB4">
        <v>6</v>
      </c>
      <c r="AC4">
        <v>6</v>
      </c>
      <c r="AD4">
        <v>6</v>
      </c>
      <c r="AE4">
        <v>6.5</v>
      </c>
      <c r="AF4">
        <v>6</v>
      </c>
      <c r="AG4">
        <v>6</v>
      </c>
      <c r="AH4">
        <v>5</v>
      </c>
      <c r="AI4">
        <v>6</v>
      </c>
      <c r="AL4">
        <v>3</v>
      </c>
      <c r="AM4">
        <v>4</v>
      </c>
      <c r="AN4">
        <v>5.5</v>
      </c>
      <c r="AO4">
        <v>5</v>
      </c>
      <c r="AP4">
        <v>4.5</v>
      </c>
      <c r="AV4">
        <v>4</v>
      </c>
      <c r="AW4">
        <v>4.5</v>
      </c>
      <c r="AX4">
        <v>4.5</v>
      </c>
      <c r="AY4">
        <v>5</v>
      </c>
      <c r="AZ4">
        <v>4</v>
      </c>
      <c r="BA4">
        <v>5</v>
      </c>
      <c r="BB4">
        <v>5</v>
      </c>
      <c r="BC4">
        <v>6</v>
      </c>
      <c r="BH4">
        <v>5.5</v>
      </c>
      <c r="BI4">
        <v>5.5</v>
      </c>
      <c r="BJ4">
        <v>5.5</v>
      </c>
      <c r="BK4">
        <v>5</v>
      </c>
      <c r="BL4">
        <v>4.5</v>
      </c>
      <c r="BM4">
        <v>5</v>
      </c>
      <c r="BN4">
        <v>6</v>
      </c>
      <c r="BO4">
        <v>5</v>
      </c>
      <c r="BP4">
        <v>5</v>
      </c>
      <c r="BQ4">
        <v>5</v>
      </c>
      <c r="BR4">
        <v>5</v>
      </c>
      <c r="BS4">
        <v>5</v>
      </c>
      <c r="BT4">
        <v>5.5</v>
      </c>
      <c r="BU4">
        <v>5.5</v>
      </c>
      <c r="BV4">
        <v>5</v>
      </c>
      <c r="BW4">
        <v>5.5</v>
      </c>
      <c r="BX4">
        <v>5</v>
      </c>
      <c r="BY4">
        <v>5</v>
      </c>
      <c r="BZ4">
        <v>5</v>
      </c>
      <c r="CA4">
        <v>5</v>
      </c>
      <c r="CB4">
        <v>5</v>
      </c>
      <c r="CC4">
        <v>7</v>
      </c>
      <c r="CD4">
        <v>6</v>
      </c>
      <c r="CE4">
        <v>6.5</v>
      </c>
      <c r="CF4">
        <v>7</v>
      </c>
      <c r="CG4">
        <v>5.5</v>
      </c>
      <c r="CI4">
        <f>COUNT(B4:CG4)</f>
        <v>70</v>
      </c>
      <c r="CJ4" s="18">
        <f>AVERAGE(B4:CG4)</f>
        <v>5.5214285714285714</v>
      </c>
      <c r="CK4">
        <f>IF(CI4&gt;1,_xlfn.STDEV.S(B4:CF4),"")</f>
        <v>0.828866973861342</v>
      </c>
      <c r="CL4">
        <v>1</v>
      </c>
      <c r="CM4">
        <f>COUNT(CC4:CF4)</f>
        <v>4</v>
      </c>
      <c r="CN4">
        <f>IF(CL4=0,CM4,0)</f>
        <v>0</v>
      </c>
    </row>
    <row r="5" spans="1:92" x14ac:dyDescent="0.35">
      <c r="A5" t="s">
        <v>6</v>
      </c>
      <c r="B5">
        <v>7.5</v>
      </c>
      <c r="C5">
        <v>7</v>
      </c>
      <c r="D5">
        <v>7</v>
      </c>
      <c r="E5">
        <v>7.5</v>
      </c>
      <c r="F5">
        <v>6</v>
      </c>
      <c r="G5">
        <v>6</v>
      </c>
      <c r="H5" t="s">
        <v>26</v>
      </c>
      <c r="I5">
        <v>7.5</v>
      </c>
      <c r="J5" t="s">
        <v>26</v>
      </c>
      <c r="K5">
        <v>7.5</v>
      </c>
      <c r="L5" t="s">
        <v>26</v>
      </c>
      <c r="M5" t="s">
        <v>26</v>
      </c>
      <c r="N5">
        <v>6</v>
      </c>
      <c r="O5">
        <v>7</v>
      </c>
      <c r="P5">
        <v>6</v>
      </c>
      <c r="Q5" t="s">
        <v>26</v>
      </c>
      <c r="R5" t="s">
        <v>26</v>
      </c>
      <c r="S5">
        <v>6</v>
      </c>
      <c r="T5">
        <v>7</v>
      </c>
      <c r="U5">
        <v>7</v>
      </c>
      <c r="V5" t="s">
        <v>26</v>
      </c>
      <c r="W5">
        <v>6</v>
      </c>
      <c r="X5">
        <v>6</v>
      </c>
      <c r="Y5" t="s">
        <v>26</v>
      </c>
      <c r="Z5" t="s">
        <v>26</v>
      </c>
      <c r="AA5">
        <v>6</v>
      </c>
      <c r="AB5" t="s">
        <v>26</v>
      </c>
      <c r="AC5" t="s">
        <v>26</v>
      </c>
      <c r="AD5" t="s">
        <v>26</v>
      </c>
      <c r="AE5">
        <v>6</v>
      </c>
      <c r="AF5">
        <v>6.5</v>
      </c>
      <c r="AG5">
        <v>7</v>
      </c>
      <c r="AH5">
        <v>5.5</v>
      </c>
      <c r="AJ5">
        <v>5.5</v>
      </c>
      <c r="AK5">
        <v>5</v>
      </c>
      <c r="AL5">
        <v>4.5</v>
      </c>
      <c r="AM5">
        <v>5.5</v>
      </c>
      <c r="AN5">
        <v>6.5</v>
      </c>
      <c r="AO5">
        <v>6</v>
      </c>
      <c r="AP5">
        <v>5</v>
      </c>
      <c r="AQ5">
        <v>5.5</v>
      </c>
      <c r="AR5">
        <v>5.5</v>
      </c>
      <c r="AS5">
        <v>5</v>
      </c>
      <c r="AT5">
        <v>5.5</v>
      </c>
      <c r="AU5">
        <v>5</v>
      </c>
      <c r="AV5">
        <v>5</v>
      </c>
      <c r="AX5">
        <v>10</v>
      </c>
      <c r="AY5">
        <v>5.5</v>
      </c>
      <c r="AZ5">
        <v>5</v>
      </c>
      <c r="BA5">
        <v>5</v>
      </c>
      <c r="BB5">
        <v>4.5</v>
      </c>
      <c r="BC5">
        <v>7</v>
      </c>
      <c r="BD5">
        <v>5.5</v>
      </c>
      <c r="BE5">
        <v>6.5</v>
      </c>
      <c r="BF5">
        <v>4.5</v>
      </c>
      <c r="BG5">
        <v>4.5</v>
      </c>
      <c r="BH5">
        <v>7.5</v>
      </c>
      <c r="BI5">
        <v>6.5</v>
      </c>
      <c r="BJ5">
        <v>6</v>
      </c>
      <c r="BK5">
        <v>5.5</v>
      </c>
      <c r="BL5">
        <v>5</v>
      </c>
      <c r="BM5">
        <v>6</v>
      </c>
      <c r="BN5">
        <v>6</v>
      </c>
      <c r="BO5">
        <v>6.5</v>
      </c>
      <c r="BP5">
        <v>5</v>
      </c>
      <c r="BQ5">
        <v>4.5</v>
      </c>
      <c r="BR5">
        <v>6</v>
      </c>
      <c r="BS5">
        <v>5</v>
      </c>
      <c r="BT5">
        <v>5.5</v>
      </c>
      <c r="BU5">
        <v>4.5</v>
      </c>
      <c r="BV5">
        <v>5.5</v>
      </c>
      <c r="BW5">
        <v>5</v>
      </c>
      <c r="BX5">
        <v>5</v>
      </c>
      <c r="BY5">
        <v>5</v>
      </c>
      <c r="BZ5">
        <v>5</v>
      </c>
      <c r="CA5">
        <v>5</v>
      </c>
      <c r="CB5">
        <v>6</v>
      </c>
      <c r="CC5">
        <v>5.5</v>
      </c>
      <c r="CD5">
        <v>5.5</v>
      </c>
      <c r="CE5">
        <v>5</v>
      </c>
      <c r="CI5">
        <f>COUNT(B5:CF5)</f>
        <v>68</v>
      </c>
      <c r="CJ5" s="18">
        <f>AVERAGE(B5:CF5)</f>
        <v>5.8455882352941178</v>
      </c>
      <c r="CK5">
        <f>IF(CI5&gt;1,_xlfn.STDEV.S(B5:CF5),"")</f>
        <v>0.99722507879112954</v>
      </c>
      <c r="CL5">
        <v>1</v>
      </c>
      <c r="CM5">
        <f>COUNT(CC5:CF5)</f>
        <v>3</v>
      </c>
      <c r="CN5">
        <f>IF(CL5=0,CM5,0)</f>
        <v>0</v>
      </c>
    </row>
    <row r="6" spans="1:92" x14ac:dyDescent="0.35">
      <c r="A6" t="s">
        <v>20</v>
      </c>
      <c r="B6" t="s">
        <v>26</v>
      </c>
      <c r="C6" t="s">
        <v>26</v>
      </c>
      <c r="D6">
        <v>7</v>
      </c>
      <c r="E6">
        <v>7</v>
      </c>
      <c r="F6">
        <v>7</v>
      </c>
      <c r="G6">
        <v>7</v>
      </c>
      <c r="H6">
        <v>7.5</v>
      </c>
      <c r="I6">
        <v>7</v>
      </c>
      <c r="J6">
        <v>7.5</v>
      </c>
      <c r="K6">
        <v>7</v>
      </c>
      <c r="L6">
        <v>6</v>
      </c>
      <c r="M6">
        <v>5.5</v>
      </c>
      <c r="N6">
        <v>5.5</v>
      </c>
      <c r="O6" t="s">
        <v>26</v>
      </c>
      <c r="P6">
        <v>7</v>
      </c>
      <c r="Q6">
        <v>4.5</v>
      </c>
      <c r="R6">
        <v>6</v>
      </c>
      <c r="S6">
        <v>7</v>
      </c>
      <c r="T6">
        <v>6</v>
      </c>
      <c r="U6">
        <v>7</v>
      </c>
      <c r="V6">
        <v>6</v>
      </c>
      <c r="W6">
        <v>6</v>
      </c>
      <c r="X6">
        <v>5.5</v>
      </c>
      <c r="Y6">
        <v>6</v>
      </c>
      <c r="Z6">
        <v>6</v>
      </c>
      <c r="AA6">
        <v>7</v>
      </c>
      <c r="AB6">
        <v>5.5</v>
      </c>
      <c r="AC6">
        <v>6</v>
      </c>
      <c r="AD6">
        <v>7</v>
      </c>
      <c r="AE6">
        <v>6</v>
      </c>
      <c r="AF6">
        <v>6</v>
      </c>
      <c r="AG6">
        <v>6.5</v>
      </c>
      <c r="AI6">
        <v>5.5</v>
      </c>
      <c r="AJ6">
        <v>5</v>
      </c>
      <c r="AK6">
        <v>5.5</v>
      </c>
      <c r="AL6">
        <v>5</v>
      </c>
      <c r="AM6">
        <v>5</v>
      </c>
      <c r="AN6">
        <v>5.5</v>
      </c>
      <c r="AP6">
        <v>5</v>
      </c>
      <c r="AQ6">
        <v>4.5</v>
      </c>
      <c r="AR6">
        <v>4.5</v>
      </c>
      <c r="AT6">
        <v>5.5</v>
      </c>
      <c r="AU6">
        <v>5.5</v>
      </c>
      <c r="AV6">
        <v>5</v>
      </c>
      <c r="AW6">
        <v>4.5</v>
      </c>
      <c r="AX6">
        <v>4.5</v>
      </c>
      <c r="AY6">
        <v>5</v>
      </c>
      <c r="AZ6">
        <v>5.5</v>
      </c>
      <c r="BB6">
        <v>4.5</v>
      </c>
      <c r="BC6">
        <v>6</v>
      </c>
      <c r="BD6">
        <v>5.5</v>
      </c>
      <c r="BE6">
        <v>4</v>
      </c>
      <c r="BF6">
        <v>4.5</v>
      </c>
      <c r="BG6">
        <v>5.5</v>
      </c>
      <c r="BH6">
        <v>5</v>
      </c>
      <c r="BI6">
        <v>5</v>
      </c>
      <c r="BJ6">
        <v>5.5</v>
      </c>
      <c r="BM6">
        <v>4</v>
      </c>
      <c r="BN6">
        <v>5.5</v>
      </c>
      <c r="BO6">
        <v>4.5</v>
      </c>
      <c r="BP6">
        <v>5</v>
      </c>
      <c r="BQ6">
        <v>5</v>
      </c>
      <c r="BR6">
        <v>5</v>
      </c>
      <c r="BT6">
        <v>5.5</v>
      </c>
      <c r="BZ6">
        <v>5</v>
      </c>
      <c r="CA6">
        <v>5</v>
      </c>
      <c r="CC6">
        <v>6.5</v>
      </c>
      <c r="CD6">
        <v>7</v>
      </c>
      <c r="CF6">
        <v>5.5</v>
      </c>
      <c r="CI6">
        <f>COUNT(B6:CF6)</f>
        <v>66</v>
      </c>
      <c r="CJ6" s="18">
        <f>AVERAGE(B6:CF6)</f>
        <v>5.6818181818181817</v>
      </c>
      <c r="CK6">
        <f>IF(CI6&gt;1,_xlfn.STDEV.S(B6:CF6),"")</f>
        <v>0.9056929503312493</v>
      </c>
      <c r="CL6">
        <v>1</v>
      </c>
      <c r="CM6">
        <f>COUNT(CC6:CF6)</f>
        <v>3</v>
      </c>
      <c r="CN6">
        <f>IF(CL6=0,CM6,0)</f>
        <v>0</v>
      </c>
    </row>
    <row r="7" spans="1:92" x14ac:dyDescent="0.35">
      <c r="A7" t="s">
        <v>82</v>
      </c>
      <c r="B7">
        <v>9</v>
      </c>
      <c r="C7" t="s">
        <v>26</v>
      </c>
      <c r="D7">
        <v>7.5</v>
      </c>
      <c r="E7">
        <v>7</v>
      </c>
      <c r="F7">
        <v>6</v>
      </c>
      <c r="G7">
        <v>7</v>
      </c>
      <c r="H7">
        <v>6</v>
      </c>
      <c r="I7">
        <v>7</v>
      </c>
      <c r="J7">
        <v>7</v>
      </c>
      <c r="K7">
        <v>7</v>
      </c>
      <c r="L7">
        <v>6</v>
      </c>
      <c r="M7">
        <v>6</v>
      </c>
      <c r="N7">
        <v>7</v>
      </c>
      <c r="O7">
        <v>7</v>
      </c>
      <c r="P7">
        <v>7</v>
      </c>
      <c r="Q7">
        <v>7</v>
      </c>
      <c r="R7">
        <v>7.5</v>
      </c>
      <c r="S7">
        <v>7</v>
      </c>
      <c r="T7">
        <v>7.5</v>
      </c>
      <c r="U7">
        <v>7</v>
      </c>
      <c r="V7">
        <v>7</v>
      </c>
      <c r="W7">
        <v>7</v>
      </c>
      <c r="X7">
        <v>6</v>
      </c>
      <c r="Y7">
        <v>6</v>
      </c>
      <c r="Z7">
        <v>6</v>
      </c>
      <c r="AA7">
        <v>7</v>
      </c>
      <c r="AB7">
        <v>7</v>
      </c>
      <c r="AC7">
        <v>7</v>
      </c>
      <c r="AD7" t="s">
        <v>26</v>
      </c>
      <c r="AE7">
        <v>7</v>
      </c>
      <c r="AF7">
        <v>6</v>
      </c>
      <c r="AG7">
        <v>6</v>
      </c>
      <c r="AH7">
        <v>5</v>
      </c>
      <c r="AI7">
        <v>6.5</v>
      </c>
      <c r="AJ7">
        <v>5.5</v>
      </c>
      <c r="AK7">
        <v>6.5</v>
      </c>
      <c r="AL7">
        <v>5.5</v>
      </c>
      <c r="AN7">
        <v>6.5</v>
      </c>
      <c r="AO7">
        <v>5.5</v>
      </c>
      <c r="AP7">
        <v>6</v>
      </c>
      <c r="AV7">
        <v>5</v>
      </c>
      <c r="AY7">
        <v>6</v>
      </c>
      <c r="BA7">
        <v>5</v>
      </c>
      <c r="BB7">
        <v>6</v>
      </c>
      <c r="BC7">
        <v>5</v>
      </c>
      <c r="BD7">
        <v>6.5</v>
      </c>
      <c r="BE7">
        <v>6</v>
      </c>
      <c r="BF7">
        <v>5</v>
      </c>
      <c r="BG7">
        <v>5.5</v>
      </c>
      <c r="BH7">
        <v>5.5</v>
      </c>
      <c r="BI7">
        <v>5</v>
      </c>
      <c r="BL7">
        <v>5</v>
      </c>
      <c r="BM7">
        <v>5.5</v>
      </c>
      <c r="BN7">
        <v>6.5</v>
      </c>
      <c r="BO7">
        <v>6</v>
      </c>
      <c r="BP7">
        <v>5</v>
      </c>
      <c r="BQ7">
        <v>5</v>
      </c>
      <c r="BR7">
        <v>5.5</v>
      </c>
      <c r="BS7">
        <v>5.5</v>
      </c>
      <c r="BV7">
        <v>5.5</v>
      </c>
      <c r="BW7">
        <v>5</v>
      </c>
      <c r="BY7">
        <v>5.5</v>
      </c>
      <c r="CA7">
        <v>5.5</v>
      </c>
      <c r="CB7">
        <v>5</v>
      </c>
      <c r="CC7">
        <v>6.5</v>
      </c>
      <c r="CD7">
        <v>7.5</v>
      </c>
      <c r="CF7">
        <v>6.5</v>
      </c>
      <c r="CG7">
        <v>6.5</v>
      </c>
      <c r="CI7">
        <f>COUNT(B7:CG7)</f>
        <v>66</v>
      </c>
      <c r="CJ7" s="18">
        <f>AVERAGE(B7:CG7)</f>
        <v>6.2045454545454541</v>
      </c>
      <c r="CK7">
        <f>IF(CI7&gt;1,_xlfn.STDEV.S(B7:CF7),"")</f>
        <v>0.86512282364991466</v>
      </c>
      <c r="CL7">
        <v>1</v>
      </c>
      <c r="CM7">
        <f>COUNT(CC7:CF7)</f>
        <v>3</v>
      </c>
      <c r="CN7">
        <f>IF(CL7=0,CM7,0)</f>
        <v>0</v>
      </c>
    </row>
    <row r="8" spans="1:92" x14ac:dyDescent="0.35">
      <c r="A8" t="s">
        <v>9</v>
      </c>
      <c r="B8">
        <v>7</v>
      </c>
      <c r="C8" t="s">
        <v>26</v>
      </c>
      <c r="D8">
        <v>7</v>
      </c>
      <c r="E8">
        <v>6</v>
      </c>
      <c r="F8">
        <v>7.5</v>
      </c>
      <c r="G8">
        <v>7</v>
      </c>
      <c r="H8">
        <v>7</v>
      </c>
      <c r="I8" t="s">
        <v>26</v>
      </c>
      <c r="J8">
        <v>6</v>
      </c>
      <c r="K8" t="s">
        <v>26</v>
      </c>
      <c r="L8">
        <v>7</v>
      </c>
      <c r="M8">
        <v>7</v>
      </c>
      <c r="N8">
        <v>7.5</v>
      </c>
      <c r="O8">
        <v>6</v>
      </c>
      <c r="P8">
        <v>6</v>
      </c>
      <c r="Q8">
        <v>7</v>
      </c>
      <c r="R8" t="s">
        <v>26</v>
      </c>
      <c r="S8">
        <v>6</v>
      </c>
      <c r="T8">
        <v>7.5</v>
      </c>
      <c r="U8" t="s">
        <v>26</v>
      </c>
      <c r="V8">
        <v>6</v>
      </c>
      <c r="W8">
        <v>7</v>
      </c>
      <c r="X8">
        <v>7</v>
      </c>
      <c r="Y8" t="s">
        <v>26</v>
      </c>
      <c r="Z8">
        <v>7.5</v>
      </c>
      <c r="AA8">
        <v>7</v>
      </c>
      <c r="AB8">
        <v>7</v>
      </c>
      <c r="AC8">
        <v>6</v>
      </c>
      <c r="AD8">
        <v>7</v>
      </c>
      <c r="AE8">
        <v>8</v>
      </c>
      <c r="AF8">
        <v>6.5</v>
      </c>
      <c r="AH8">
        <v>7.5</v>
      </c>
      <c r="AI8">
        <v>5.5</v>
      </c>
      <c r="AJ8">
        <v>5.5</v>
      </c>
      <c r="AK8">
        <v>5.5</v>
      </c>
      <c r="AM8">
        <v>7</v>
      </c>
      <c r="AQ8">
        <v>5</v>
      </c>
      <c r="AR8">
        <v>5.5</v>
      </c>
      <c r="AS8">
        <v>5</v>
      </c>
      <c r="AT8">
        <v>5.5</v>
      </c>
      <c r="AU8">
        <v>5.5</v>
      </c>
      <c r="AV8">
        <v>5.5</v>
      </c>
      <c r="AX8">
        <v>6</v>
      </c>
      <c r="AY8">
        <v>6.5</v>
      </c>
      <c r="AZ8">
        <v>5.5</v>
      </c>
      <c r="BA8">
        <v>5.5</v>
      </c>
      <c r="BB8">
        <v>4.5</v>
      </c>
      <c r="BC8">
        <v>4</v>
      </c>
      <c r="BD8">
        <v>4.5</v>
      </c>
      <c r="BE8">
        <v>5.5</v>
      </c>
      <c r="BF8">
        <v>5</v>
      </c>
      <c r="BG8">
        <v>5</v>
      </c>
      <c r="BH8">
        <v>5</v>
      </c>
      <c r="BK8">
        <v>5</v>
      </c>
      <c r="BL8">
        <v>5.5</v>
      </c>
      <c r="BM8">
        <v>5</v>
      </c>
      <c r="BP8">
        <v>5.5</v>
      </c>
      <c r="BQ8">
        <v>7</v>
      </c>
      <c r="BR8">
        <v>6</v>
      </c>
      <c r="BS8">
        <v>5.5</v>
      </c>
      <c r="BT8">
        <v>5.5</v>
      </c>
      <c r="BU8">
        <v>5.5</v>
      </c>
      <c r="BW8">
        <v>6</v>
      </c>
      <c r="BY8">
        <v>6</v>
      </c>
      <c r="BZ8">
        <v>6</v>
      </c>
      <c r="CA8">
        <v>5.5</v>
      </c>
      <c r="CB8">
        <v>5.5</v>
      </c>
      <c r="CC8">
        <v>6.5</v>
      </c>
      <c r="CD8">
        <v>6</v>
      </c>
      <c r="CE8">
        <v>6</v>
      </c>
      <c r="CF8">
        <v>7</v>
      </c>
      <c r="CG8">
        <v>6.5</v>
      </c>
      <c r="CI8">
        <f>COUNT(B8:CG8)</f>
        <v>66</v>
      </c>
      <c r="CJ8" s="18">
        <f>AVERAGE(B8:CG8)</f>
        <v>6.0909090909090908</v>
      </c>
      <c r="CK8">
        <f>IF(CI8&gt;1,_xlfn.STDEV.S(B8:CF8),"")</f>
        <v>0.88639557500283961</v>
      </c>
      <c r="CL8">
        <v>1</v>
      </c>
      <c r="CM8">
        <f>COUNT(CC8:CF8)</f>
        <v>4</v>
      </c>
      <c r="CN8">
        <f>IF(CL8=0,CM8,0)</f>
        <v>0</v>
      </c>
    </row>
    <row r="9" spans="1:92" x14ac:dyDescent="0.35">
      <c r="A9" t="s">
        <v>5</v>
      </c>
      <c r="B9">
        <v>10</v>
      </c>
      <c r="C9">
        <v>8.5</v>
      </c>
      <c r="D9">
        <v>8.5</v>
      </c>
      <c r="E9">
        <v>7.5</v>
      </c>
      <c r="F9">
        <v>7</v>
      </c>
      <c r="G9">
        <v>7.5</v>
      </c>
      <c r="H9">
        <v>7</v>
      </c>
      <c r="I9" t="s">
        <v>26</v>
      </c>
      <c r="J9">
        <v>8.5</v>
      </c>
      <c r="K9">
        <v>7.5</v>
      </c>
      <c r="L9">
        <v>8.5</v>
      </c>
      <c r="M9">
        <v>7</v>
      </c>
      <c r="N9">
        <v>7.5</v>
      </c>
      <c r="O9">
        <v>7.5</v>
      </c>
      <c r="P9">
        <v>7</v>
      </c>
      <c r="Q9">
        <v>7</v>
      </c>
      <c r="R9" t="s">
        <v>26</v>
      </c>
      <c r="S9" t="s">
        <v>26</v>
      </c>
      <c r="T9" t="s">
        <v>26</v>
      </c>
      <c r="U9">
        <v>7</v>
      </c>
      <c r="V9">
        <v>6</v>
      </c>
      <c r="W9">
        <v>7.5</v>
      </c>
      <c r="X9">
        <v>7</v>
      </c>
      <c r="Y9">
        <v>7</v>
      </c>
      <c r="Z9">
        <v>7</v>
      </c>
      <c r="AA9">
        <v>7</v>
      </c>
      <c r="AB9" t="s">
        <v>26</v>
      </c>
      <c r="AC9" t="s">
        <v>26</v>
      </c>
      <c r="AD9" t="s">
        <v>26</v>
      </c>
      <c r="AF9">
        <v>6.5</v>
      </c>
      <c r="AG9">
        <v>10</v>
      </c>
      <c r="AI9">
        <v>6.5</v>
      </c>
      <c r="AJ9">
        <v>5.5</v>
      </c>
      <c r="AK9">
        <v>6.5</v>
      </c>
      <c r="AL9">
        <v>6</v>
      </c>
      <c r="AO9">
        <v>6</v>
      </c>
      <c r="AP9">
        <v>5</v>
      </c>
      <c r="AQ9">
        <v>5.5</v>
      </c>
      <c r="AR9">
        <v>6.5</v>
      </c>
      <c r="AS9">
        <v>6</v>
      </c>
      <c r="AT9">
        <v>5.5</v>
      </c>
      <c r="AU9">
        <v>6.5</v>
      </c>
      <c r="AV9">
        <v>6</v>
      </c>
      <c r="AW9">
        <v>6</v>
      </c>
      <c r="AX9">
        <v>6</v>
      </c>
      <c r="AY9">
        <v>5.5</v>
      </c>
      <c r="AZ9">
        <v>7</v>
      </c>
      <c r="BA9">
        <v>8.5</v>
      </c>
      <c r="BB9">
        <v>5.5</v>
      </c>
      <c r="BC9">
        <v>4.5</v>
      </c>
      <c r="BD9">
        <v>5.5</v>
      </c>
      <c r="BE9">
        <v>6.5</v>
      </c>
      <c r="BF9">
        <v>5.5</v>
      </c>
      <c r="BG9">
        <v>5</v>
      </c>
      <c r="BK9">
        <v>5.5</v>
      </c>
      <c r="BL9">
        <v>6</v>
      </c>
      <c r="BO9">
        <v>5.5</v>
      </c>
      <c r="BP9">
        <v>5.5</v>
      </c>
      <c r="BQ9">
        <v>6</v>
      </c>
      <c r="BR9">
        <v>5.5</v>
      </c>
      <c r="BS9">
        <v>6</v>
      </c>
      <c r="BT9">
        <v>6</v>
      </c>
      <c r="BU9">
        <v>6.5</v>
      </c>
      <c r="BV9">
        <v>5.5</v>
      </c>
      <c r="BW9">
        <v>5.5</v>
      </c>
      <c r="BX9">
        <v>6.5</v>
      </c>
      <c r="BZ9">
        <v>6</v>
      </c>
      <c r="CA9">
        <v>5.5</v>
      </c>
      <c r="CB9">
        <v>6</v>
      </c>
      <c r="CD9">
        <v>5.5</v>
      </c>
      <c r="CE9">
        <v>9</v>
      </c>
      <c r="CF9">
        <v>7</v>
      </c>
      <c r="CG9">
        <v>8</v>
      </c>
      <c r="CI9">
        <f>COUNT(B9:CG9)</f>
        <v>66</v>
      </c>
      <c r="CJ9" s="18">
        <f>AVERAGE(B9:CG9)</f>
        <v>6.5984848484848486</v>
      </c>
      <c r="CK9">
        <f>IF(CI9&gt;1,_xlfn.STDEV.S(B9:CF9),"")</f>
        <v>1.1599796914667888</v>
      </c>
      <c r="CL9">
        <v>1</v>
      </c>
      <c r="CM9">
        <f>COUNT(CC9:CF9)</f>
        <v>3</v>
      </c>
      <c r="CN9">
        <f>IF(CL9=0,CM9,0)</f>
        <v>0</v>
      </c>
    </row>
    <row r="10" spans="1:92" x14ac:dyDescent="0.35">
      <c r="A10" t="s">
        <v>11</v>
      </c>
      <c r="B10">
        <v>5.5</v>
      </c>
      <c r="C10" t="s">
        <v>26</v>
      </c>
      <c r="D10">
        <v>7.5</v>
      </c>
      <c r="E10">
        <v>7.5</v>
      </c>
      <c r="F10">
        <v>7.5</v>
      </c>
      <c r="G10">
        <v>5.5</v>
      </c>
      <c r="H10" t="s">
        <v>26</v>
      </c>
      <c r="I10">
        <v>4.5</v>
      </c>
      <c r="J10">
        <v>7</v>
      </c>
      <c r="K10">
        <v>6</v>
      </c>
      <c r="L10" t="s">
        <v>26</v>
      </c>
      <c r="M10" t="s">
        <v>26</v>
      </c>
      <c r="N10">
        <v>6</v>
      </c>
      <c r="O10">
        <v>5.5</v>
      </c>
      <c r="P10">
        <v>6</v>
      </c>
      <c r="Q10" t="s">
        <v>26</v>
      </c>
      <c r="R10" t="s">
        <v>26</v>
      </c>
      <c r="S10">
        <v>4.5</v>
      </c>
      <c r="T10">
        <v>7</v>
      </c>
      <c r="U10" t="s">
        <v>26</v>
      </c>
      <c r="V10" t="s">
        <v>26</v>
      </c>
      <c r="W10" t="s">
        <v>26</v>
      </c>
      <c r="X10">
        <v>6</v>
      </c>
      <c r="Y10">
        <v>6</v>
      </c>
      <c r="Z10" t="s">
        <v>26</v>
      </c>
      <c r="AA10">
        <v>4.5</v>
      </c>
      <c r="AB10" t="s">
        <v>26</v>
      </c>
      <c r="AC10">
        <v>7</v>
      </c>
      <c r="AD10" t="s">
        <v>26</v>
      </c>
      <c r="AE10">
        <v>3</v>
      </c>
      <c r="AF10">
        <v>6</v>
      </c>
      <c r="AG10">
        <v>4.5</v>
      </c>
      <c r="AH10">
        <v>6</v>
      </c>
      <c r="AI10">
        <v>6</v>
      </c>
      <c r="AJ10">
        <v>5.5</v>
      </c>
      <c r="AK10">
        <v>7</v>
      </c>
      <c r="AL10">
        <v>5</v>
      </c>
      <c r="AM10">
        <v>4.5</v>
      </c>
      <c r="AN10">
        <v>4.5</v>
      </c>
      <c r="AO10">
        <v>5</v>
      </c>
      <c r="AP10">
        <v>5</v>
      </c>
      <c r="AR10">
        <v>5.5</v>
      </c>
      <c r="AS10">
        <v>5.5</v>
      </c>
      <c r="AT10">
        <v>5</v>
      </c>
      <c r="AU10">
        <v>6</v>
      </c>
      <c r="AV10">
        <v>5</v>
      </c>
      <c r="AX10">
        <v>5</v>
      </c>
      <c r="AY10">
        <v>4.5</v>
      </c>
      <c r="BD10">
        <v>4</v>
      </c>
      <c r="BE10">
        <v>6</v>
      </c>
      <c r="BG10">
        <v>3.5</v>
      </c>
      <c r="BH10">
        <v>5.5</v>
      </c>
      <c r="BI10">
        <v>5</v>
      </c>
      <c r="BJ10">
        <v>5</v>
      </c>
      <c r="BK10">
        <v>5</v>
      </c>
      <c r="BM10">
        <v>4.5</v>
      </c>
      <c r="BN10">
        <v>7</v>
      </c>
      <c r="BO10">
        <v>5</v>
      </c>
      <c r="BR10">
        <v>7</v>
      </c>
      <c r="BS10">
        <v>5.5</v>
      </c>
      <c r="BT10">
        <v>5.5</v>
      </c>
      <c r="BU10">
        <v>5.5</v>
      </c>
      <c r="BV10">
        <v>5</v>
      </c>
      <c r="BW10">
        <v>5</v>
      </c>
      <c r="BX10">
        <v>5</v>
      </c>
      <c r="BY10">
        <v>3.5</v>
      </c>
      <c r="BZ10">
        <v>4.5</v>
      </c>
      <c r="CA10">
        <v>4</v>
      </c>
      <c r="CB10">
        <v>3.5</v>
      </c>
      <c r="CC10">
        <v>7</v>
      </c>
      <c r="CD10">
        <v>4.5</v>
      </c>
      <c r="CE10">
        <v>6</v>
      </c>
      <c r="CF10">
        <v>5</v>
      </c>
      <c r="CG10">
        <v>5.5</v>
      </c>
      <c r="CI10">
        <f>COUNT(B10:CG10)</f>
        <v>62</v>
      </c>
      <c r="CJ10" s="18">
        <f>AVERAGE(B10:CG10)</f>
        <v>5.395161290322581</v>
      </c>
      <c r="CK10">
        <f>IF(CI10&gt;1,_xlfn.STDEV.S(B10:CF10),"")</f>
        <v>1.0492646397134546</v>
      </c>
      <c r="CL10">
        <v>1</v>
      </c>
      <c r="CM10">
        <f>COUNT(CC10:CF10)</f>
        <v>4</v>
      </c>
      <c r="CN10">
        <f>IF(CL10=0,CM10,0)</f>
        <v>0</v>
      </c>
    </row>
    <row r="11" spans="1:92" x14ac:dyDescent="0.35">
      <c r="A11" t="s">
        <v>16</v>
      </c>
      <c r="B11">
        <v>7.5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26</v>
      </c>
      <c r="I11" t="s">
        <v>26</v>
      </c>
      <c r="J11" t="s">
        <v>26</v>
      </c>
      <c r="K11" t="s">
        <v>26</v>
      </c>
      <c r="L11" t="s">
        <v>26</v>
      </c>
      <c r="M11" t="s">
        <v>26</v>
      </c>
      <c r="N11" t="s">
        <v>26</v>
      </c>
      <c r="O11" t="s">
        <v>26</v>
      </c>
      <c r="P11" t="s">
        <v>26</v>
      </c>
      <c r="Q11" t="s">
        <v>26</v>
      </c>
      <c r="R11" t="s">
        <v>26</v>
      </c>
      <c r="S11" t="s">
        <v>26</v>
      </c>
      <c r="T11" t="s">
        <v>26</v>
      </c>
      <c r="U11" t="s">
        <v>26</v>
      </c>
      <c r="V11">
        <v>7</v>
      </c>
      <c r="W11">
        <v>7</v>
      </c>
      <c r="X11">
        <v>6</v>
      </c>
      <c r="Y11">
        <v>7</v>
      </c>
      <c r="Z11">
        <v>7.5</v>
      </c>
      <c r="AA11">
        <v>7</v>
      </c>
      <c r="AB11">
        <v>7</v>
      </c>
      <c r="AC11">
        <v>7.5</v>
      </c>
      <c r="AD11">
        <v>7</v>
      </c>
      <c r="AE11">
        <v>6</v>
      </c>
      <c r="AF11">
        <v>6.5</v>
      </c>
      <c r="AH11">
        <v>6.5</v>
      </c>
      <c r="AI11">
        <v>6.5</v>
      </c>
      <c r="AJ11">
        <v>5.5</v>
      </c>
      <c r="AK11">
        <v>5.5</v>
      </c>
      <c r="AL11">
        <v>6</v>
      </c>
      <c r="AM11">
        <v>5</v>
      </c>
      <c r="AN11">
        <v>5</v>
      </c>
      <c r="AO11">
        <v>5</v>
      </c>
      <c r="AP11">
        <v>5.5</v>
      </c>
      <c r="AQ11">
        <v>5.5</v>
      </c>
      <c r="AR11">
        <v>6</v>
      </c>
      <c r="AS11">
        <v>5</v>
      </c>
      <c r="AT11">
        <v>5.5</v>
      </c>
      <c r="AV11">
        <v>4.5</v>
      </c>
      <c r="AX11">
        <v>6</v>
      </c>
      <c r="AY11">
        <v>5.5</v>
      </c>
      <c r="AZ11">
        <v>6.5</v>
      </c>
      <c r="BA11">
        <v>5</v>
      </c>
      <c r="BB11">
        <v>5</v>
      </c>
      <c r="BC11">
        <v>9.5</v>
      </c>
      <c r="BD11">
        <v>5.5</v>
      </c>
      <c r="BE11">
        <v>6.5</v>
      </c>
      <c r="BF11">
        <v>4.5</v>
      </c>
      <c r="BG11">
        <v>6</v>
      </c>
      <c r="BH11">
        <v>5.5</v>
      </c>
      <c r="BI11">
        <v>7</v>
      </c>
      <c r="BJ11">
        <v>5.5</v>
      </c>
      <c r="BK11">
        <v>6.5</v>
      </c>
      <c r="BL11">
        <v>5.5</v>
      </c>
      <c r="BM11">
        <v>5.5</v>
      </c>
      <c r="BN11">
        <v>5</v>
      </c>
      <c r="BP11">
        <v>5.5</v>
      </c>
      <c r="BQ11">
        <v>5</v>
      </c>
      <c r="BR11">
        <v>5</v>
      </c>
      <c r="BS11">
        <v>5.5</v>
      </c>
      <c r="BU11">
        <v>5.5</v>
      </c>
      <c r="BV11">
        <v>6</v>
      </c>
      <c r="BW11">
        <v>5.5</v>
      </c>
      <c r="BY11">
        <v>5</v>
      </c>
      <c r="BZ11">
        <v>5</v>
      </c>
      <c r="CA11">
        <v>6</v>
      </c>
      <c r="CC11">
        <v>7</v>
      </c>
      <c r="CD11">
        <v>5.5</v>
      </c>
      <c r="CE11">
        <v>7.5</v>
      </c>
      <c r="CF11">
        <v>6</v>
      </c>
      <c r="CG11">
        <v>6.5</v>
      </c>
      <c r="CI11">
        <f>COUNT(B11:CG11)</f>
        <v>58</v>
      </c>
      <c r="CJ11" s="18">
        <f>AVERAGE(B11:CG11)</f>
        <v>5.9827586206896548</v>
      </c>
      <c r="CK11">
        <f>IF(CI11&gt;1,_xlfn.STDEV.S(B11:CF11),"")</f>
        <v>0.94689837963394019</v>
      </c>
      <c r="CL11">
        <v>1</v>
      </c>
      <c r="CM11">
        <f>COUNT(CC11:CF11)</f>
        <v>4</v>
      </c>
      <c r="CN11">
        <f>IF(CL11=0,CM11,0)</f>
        <v>0</v>
      </c>
    </row>
    <row r="12" spans="1:92" x14ac:dyDescent="0.35">
      <c r="A12" t="s">
        <v>2</v>
      </c>
      <c r="B12">
        <v>7</v>
      </c>
      <c r="C12" t="s">
        <v>26</v>
      </c>
      <c r="D12">
        <v>4.5</v>
      </c>
      <c r="E12">
        <v>4.5</v>
      </c>
      <c r="F12">
        <v>5.5</v>
      </c>
      <c r="G12">
        <v>5.5</v>
      </c>
      <c r="H12">
        <v>7</v>
      </c>
      <c r="I12" t="s">
        <v>26</v>
      </c>
      <c r="J12">
        <v>6</v>
      </c>
      <c r="K12">
        <v>6</v>
      </c>
      <c r="L12">
        <v>5.5</v>
      </c>
      <c r="M12">
        <v>6</v>
      </c>
      <c r="N12" t="s">
        <v>26</v>
      </c>
      <c r="O12">
        <v>5.5</v>
      </c>
      <c r="P12">
        <v>6</v>
      </c>
      <c r="Q12">
        <v>4.5</v>
      </c>
      <c r="R12">
        <v>6</v>
      </c>
      <c r="S12">
        <v>7</v>
      </c>
      <c r="T12">
        <v>5.5</v>
      </c>
      <c r="U12">
        <v>5.5</v>
      </c>
      <c r="V12">
        <v>5.5</v>
      </c>
      <c r="W12">
        <v>5.5</v>
      </c>
      <c r="X12">
        <v>6</v>
      </c>
      <c r="Y12">
        <v>5.5</v>
      </c>
      <c r="Z12" t="s">
        <v>26</v>
      </c>
      <c r="AA12">
        <v>7</v>
      </c>
      <c r="AB12">
        <v>6</v>
      </c>
      <c r="AC12">
        <v>6</v>
      </c>
      <c r="AD12" t="s">
        <v>26</v>
      </c>
      <c r="AE12">
        <v>7</v>
      </c>
      <c r="AH12">
        <v>6.5</v>
      </c>
      <c r="AI12">
        <v>4.5</v>
      </c>
      <c r="AK12">
        <v>5</v>
      </c>
      <c r="AL12">
        <v>5</v>
      </c>
      <c r="AM12">
        <v>5.5</v>
      </c>
      <c r="AN12">
        <v>4</v>
      </c>
      <c r="AT12">
        <v>4.5</v>
      </c>
      <c r="AZ12">
        <v>4.5</v>
      </c>
      <c r="BC12">
        <v>4</v>
      </c>
      <c r="BG12">
        <v>4.5</v>
      </c>
      <c r="BH12">
        <v>5.5</v>
      </c>
      <c r="BI12">
        <v>5</v>
      </c>
      <c r="BJ12">
        <v>4.5</v>
      </c>
      <c r="BK12">
        <v>4.5</v>
      </c>
      <c r="BL12">
        <v>4.5</v>
      </c>
      <c r="BM12">
        <v>5</v>
      </c>
      <c r="BN12">
        <v>5.5</v>
      </c>
      <c r="BQ12">
        <v>5</v>
      </c>
      <c r="BW12">
        <v>5</v>
      </c>
      <c r="BY12">
        <v>4</v>
      </c>
      <c r="BZ12">
        <v>5</v>
      </c>
      <c r="CA12">
        <v>5</v>
      </c>
      <c r="CB12">
        <v>4.5</v>
      </c>
      <c r="CC12">
        <v>7</v>
      </c>
      <c r="CD12">
        <v>5</v>
      </c>
      <c r="CE12">
        <v>6.5</v>
      </c>
      <c r="CF12">
        <v>5.5</v>
      </c>
      <c r="CG12">
        <v>5.5</v>
      </c>
      <c r="CI12">
        <f>COUNT(B12:CG12)</f>
        <v>53</v>
      </c>
      <c r="CJ12" s="18">
        <f>AVERAGE(B12:CG12)</f>
        <v>5.4056603773584904</v>
      </c>
      <c r="CK12">
        <f>IF(CI12&gt;1,_xlfn.STDEV.S(B12:CF12),"")</f>
        <v>0.85197844455415417</v>
      </c>
      <c r="CL12">
        <v>1</v>
      </c>
      <c r="CM12">
        <f>COUNT(CC12:CF12)</f>
        <v>4</v>
      </c>
      <c r="CN12">
        <f>IF(CL12=0,CM12,0)</f>
        <v>0</v>
      </c>
    </row>
    <row r="13" spans="1:92" x14ac:dyDescent="0.35">
      <c r="A13" t="s">
        <v>19</v>
      </c>
      <c r="B13">
        <v>10</v>
      </c>
      <c r="C13" t="s">
        <v>26</v>
      </c>
      <c r="D13">
        <v>7</v>
      </c>
      <c r="E13">
        <v>7</v>
      </c>
      <c r="F13">
        <v>6</v>
      </c>
      <c r="G13" t="s">
        <v>26</v>
      </c>
      <c r="H13" t="s">
        <v>26</v>
      </c>
      <c r="I13" t="s">
        <v>26</v>
      </c>
      <c r="J13" t="s">
        <v>26</v>
      </c>
      <c r="K13" t="s">
        <v>26</v>
      </c>
      <c r="L13" t="s">
        <v>26</v>
      </c>
      <c r="M13">
        <v>6</v>
      </c>
      <c r="N13">
        <v>6</v>
      </c>
      <c r="O13">
        <v>6</v>
      </c>
      <c r="P13">
        <v>6</v>
      </c>
      <c r="Q13">
        <v>7</v>
      </c>
      <c r="R13" t="s">
        <v>26</v>
      </c>
      <c r="S13" t="s">
        <v>26</v>
      </c>
      <c r="T13">
        <v>6</v>
      </c>
      <c r="U13">
        <v>6</v>
      </c>
      <c r="V13">
        <v>7</v>
      </c>
      <c r="W13">
        <v>6</v>
      </c>
      <c r="X13" t="s">
        <v>26</v>
      </c>
      <c r="Y13">
        <v>8.5</v>
      </c>
      <c r="Z13">
        <v>6</v>
      </c>
      <c r="AA13">
        <v>6</v>
      </c>
      <c r="AB13">
        <v>5.5</v>
      </c>
      <c r="AC13" t="s">
        <v>26</v>
      </c>
      <c r="AD13" t="s">
        <v>26</v>
      </c>
      <c r="AE13">
        <v>6</v>
      </c>
      <c r="AF13">
        <v>6.5</v>
      </c>
      <c r="AG13">
        <v>6.5</v>
      </c>
      <c r="AL13">
        <v>4.5</v>
      </c>
      <c r="AM13">
        <v>5.5</v>
      </c>
      <c r="AQ13">
        <v>5</v>
      </c>
      <c r="AT13">
        <v>5.5</v>
      </c>
      <c r="AU13">
        <v>5.5</v>
      </c>
      <c r="AV13">
        <v>5</v>
      </c>
      <c r="AW13">
        <v>5</v>
      </c>
      <c r="AX13">
        <v>5.5</v>
      </c>
      <c r="AZ13">
        <v>5.5</v>
      </c>
      <c r="BA13">
        <v>5</v>
      </c>
      <c r="BC13">
        <v>7</v>
      </c>
      <c r="BE13">
        <v>4.5</v>
      </c>
      <c r="BF13">
        <v>7.5</v>
      </c>
      <c r="BG13">
        <v>5</v>
      </c>
      <c r="BH13">
        <v>6</v>
      </c>
      <c r="BI13">
        <v>5</v>
      </c>
      <c r="BK13">
        <v>5.5</v>
      </c>
      <c r="BL13">
        <v>5.5</v>
      </c>
      <c r="BM13">
        <v>5</v>
      </c>
      <c r="BO13">
        <v>5</v>
      </c>
      <c r="BP13">
        <v>5.5</v>
      </c>
      <c r="BS13">
        <v>5.5</v>
      </c>
      <c r="BV13">
        <v>5.5</v>
      </c>
      <c r="BW13">
        <v>5.5</v>
      </c>
      <c r="CB13">
        <v>5</v>
      </c>
      <c r="CC13">
        <v>7</v>
      </c>
      <c r="CD13">
        <v>7</v>
      </c>
      <c r="CE13">
        <v>6</v>
      </c>
      <c r="CF13">
        <v>7</v>
      </c>
      <c r="CI13">
        <f>COUNT(B13:CF13)</f>
        <v>49</v>
      </c>
      <c r="CJ13" s="18">
        <f>AVERAGE(B13:CF13)</f>
        <v>5.9795918367346941</v>
      </c>
      <c r="CK13">
        <f>IF(CI13&gt;1,_xlfn.STDEV.S(B13:CF13),"")</f>
        <v>1.0152954397277538</v>
      </c>
      <c r="CL13">
        <v>1</v>
      </c>
      <c r="CM13">
        <f>COUNT(CC13:CF13)</f>
        <v>4</v>
      </c>
      <c r="CN13">
        <f>IF(CL13=0,CM13,0)</f>
        <v>0</v>
      </c>
    </row>
    <row r="14" spans="1:92" x14ac:dyDescent="0.35">
      <c r="A14" t="s">
        <v>25</v>
      </c>
      <c r="B14" t="s">
        <v>26</v>
      </c>
      <c r="C14" t="s">
        <v>26</v>
      </c>
      <c r="D14" t="s">
        <v>26</v>
      </c>
      <c r="E14">
        <v>4.5</v>
      </c>
      <c r="F14">
        <v>6</v>
      </c>
      <c r="G14">
        <v>4</v>
      </c>
      <c r="H14" t="s">
        <v>26</v>
      </c>
      <c r="I14" t="s">
        <v>26</v>
      </c>
      <c r="J14">
        <v>4.5</v>
      </c>
      <c r="K14" t="s">
        <v>26</v>
      </c>
      <c r="L14">
        <v>2.5</v>
      </c>
      <c r="M14">
        <v>4.5</v>
      </c>
      <c r="N14">
        <v>5.5</v>
      </c>
      <c r="O14">
        <v>6</v>
      </c>
      <c r="P14">
        <v>4.5</v>
      </c>
      <c r="Q14" t="s">
        <v>26</v>
      </c>
      <c r="R14" t="s">
        <v>26</v>
      </c>
      <c r="S14">
        <v>4</v>
      </c>
      <c r="T14">
        <v>6</v>
      </c>
      <c r="U14">
        <v>2.5</v>
      </c>
      <c r="V14">
        <v>5.5</v>
      </c>
      <c r="W14">
        <v>6</v>
      </c>
      <c r="X14">
        <v>6</v>
      </c>
      <c r="Y14" t="s">
        <v>26</v>
      </c>
      <c r="Z14">
        <v>5.5</v>
      </c>
      <c r="AA14" t="s">
        <v>26</v>
      </c>
      <c r="AB14" t="s">
        <v>26</v>
      </c>
      <c r="AC14">
        <v>4</v>
      </c>
      <c r="AD14">
        <v>4.5</v>
      </c>
      <c r="AE14">
        <v>4</v>
      </c>
      <c r="AF14">
        <v>2.5</v>
      </c>
      <c r="AG14">
        <v>3</v>
      </c>
      <c r="AH14">
        <v>5</v>
      </c>
      <c r="AK14">
        <v>5</v>
      </c>
      <c r="AL14">
        <v>2.5</v>
      </c>
      <c r="AM14">
        <v>4</v>
      </c>
      <c r="AO14">
        <v>5.5</v>
      </c>
      <c r="AP14">
        <v>5.5</v>
      </c>
      <c r="AQ14">
        <v>4</v>
      </c>
      <c r="AR14">
        <v>3.5</v>
      </c>
      <c r="AT14">
        <v>5</v>
      </c>
      <c r="AU14">
        <v>4</v>
      </c>
      <c r="AX14">
        <v>5.5</v>
      </c>
      <c r="AY14">
        <v>4.5</v>
      </c>
      <c r="AZ14">
        <v>4.5</v>
      </c>
      <c r="BA14">
        <v>5</v>
      </c>
      <c r="BC14">
        <v>4</v>
      </c>
      <c r="BE14">
        <v>4.5</v>
      </c>
      <c r="BK14">
        <v>4.5</v>
      </c>
      <c r="BL14">
        <v>4</v>
      </c>
      <c r="BM14">
        <v>5</v>
      </c>
      <c r="BO14">
        <v>4.5</v>
      </c>
      <c r="BR14">
        <v>4.5</v>
      </c>
      <c r="BT14">
        <v>5</v>
      </c>
      <c r="CA14">
        <v>5</v>
      </c>
      <c r="CC14">
        <v>4.5</v>
      </c>
      <c r="CE14">
        <v>5</v>
      </c>
      <c r="CF14">
        <v>5.5</v>
      </c>
      <c r="CI14">
        <f>COUNT(B14:CF14)</f>
        <v>47</v>
      </c>
      <c r="CJ14" s="18">
        <f>AVERAGE(B14:CF14)</f>
        <v>4.5744680851063828</v>
      </c>
      <c r="CK14">
        <f>IF(CI14&gt;1,_xlfn.STDEV.S(B14:CF14),"")</f>
        <v>0.94970661032680381</v>
      </c>
      <c r="CL14">
        <v>1</v>
      </c>
      <c r="CM14">
        <f>COUNT(CC14:CF14)</f>
        <v>3</v>
      </c>
      <c r="CN14">
        <f>IF(CL14=0,CM14,0)</f>
        <v>0</v>
      </c>
    </row>
    <row r="15" spans="1:92" x14ac:dyDescent="0.35">
      <c r="A15" t="s">
        <v>56</v>
      </c>
      <c r="B15" t="s">
        <v>26</v>
      </c>
      <c r="C15" t="s">
        <v>26</v>
      </c>
      <c r="D15" t="s">
        <v>26</v>
      </c>
      <c r="E15" t="s">
        <v>26</v>
      </c>
      <c r="F15" t="s">
        <v>26</v>
      </c>
      <c r="G15" t="s">
        <v>26</v>
      </c>
      <c r="H15" t="s">
        <v>26</v>
      </c>
      <c r="I15" t="s">
        <v>26</v>
      </c>
      <c r="J15" t="s">
        <v>26</v>
      </c>
      <c r="K15" t="s">
        <v>26</v>
      </c>
      <c r="L15" t="s">
        <v>26</v>
      </c>
      <c r="M15" t="s">
        <v>26</v>
      </c>
      <c r="N15" t="s">
        <v>26</v>
      </c>
      <c r="O15" t="s">
        <v>26</v>
      </c>
      <c r="P15" t="s">
        <v>26</v>
      </c>
      <c r="Q15">
        <v>5.5</v>
      </c>
      <c r="R15" t="s">
        <v>26</v>
      </c>
      <c r="S15">
        <v>7</v>
      </c>
      <c r="T15" t="s">
        <v>26</v>
      </c>
      <c r="U15" t="s">
        <v>26</v>
      </c>
      <c r="V15">
        <v>7</v>
      </c>
      <c r="W15" t="s">
        <v>26</v>
      </c>
      <c r="X15">
        <v>6</v>
      </c>
      <c r="Y15">
        <v>7</v>
      </c>
      <c r="Z15">
        <v>7</v>
      </c>
      <c r="AA15" t="s">
        <v>26</v>
      </c>
      <c r="AB15">
        <v>7</v>
      </c>
      <c r="AC15">
        <v>4.5</v>
      </c>
      <c r="AD15">
        <v>7</v>
      </c>
      <c r="AE15">
        <v>6</v>
      </c>
      <c r="AF15">
        <v>5</v>
      </c>
      <c r="AG15">
        <v>6.5</v>
      </c>
      <c r="AH15">
        <v>6.5</v>
      </c>
      <c r="AI15">
        <v>6.5</v>
      </c>
      <c r="AJ15">
        <v>5</v>
      </c>
      <c r="AK15">
        <v>5</v>
      </c>
      <c r="AL15">
        <v>6</v>
      </c>
      <c r="AM15">
        <v>5</v>
      </c>
      <c r="AO15">
        <v>5</v>
      </c>
      <c r="AP15">
        <v>5.5</v>
      </c>
      <c r="AQ15">
        <v>4.5</v>
      </c>
      <c r="AR15">
        <v>5</v>
      </c>
      <c r="AS15">
        <v>5</v>
      </c>
      <c r="AT15">
        <v>5</v>
      </c>
      <c r="AU15">
        <v>6</v>
      </c>
      <c r="AV15">
        <v>4.5</v>
      </c>
      <c r="AW15">
        <v>5</v>
      </c>
      <c r="BP15">
        <v>5</v>
      </c>
      <c r="BQ15">
        <v>5</v>
      </c>
      <c r="BR15">
        <v>5.5</v>
      </c>
      <c r="BS15">
        <v>5.5</v>
      </c>
      <c r="BV15">
        <v>5</v>
      </c>
      <c r="BW15">
        <v>5.5</v>
      </c>
      <c r="BY15">
        <v>4.5</v>
      </c>
      <c r="CA15">
        <v>5</v>
      </c>
      <c r="CB15">
        <v>5.5</v>
      </c>
      <c r="CC15">
        <v>6</v>
      </c>
      <c r="CD15">
        <v>6</v>
      </c>
      <c r="CE15">
        <v>6</v>
      </c>
      <c r="CF15">
        <v>6.5</v>
      </c>
      <c r="CG15">
        <v>6.5</v>
      </c>
      <c r="CI15">
        <f>COUNT(B15:CG15)</f>
        <v>41</v>
      </c>
      <c r="CJ15" s="18">
        <f>AVERAGE(B15:CG15)</f>
        <v>5.6707317073170733</v>
      </c>
      <c r="CK15">
        <f>IF(CI15&gt;1,_xlfn.STDEV.S(B15:CF15),"")</f>
        <v>0.81019149366693188</v>
      </c>
      <c r="CL15">
        <v>1</v>
      </c>
      <c r="CM15">
        <f>COUNT(CC15:CF15)</f>
        <v>4</v>
      </c>
      <c r="CN15">
        <f>IF(CL15=0,CM15,0)</f>
        <v>0</v>
      </c>
    </row>
    <row r="16" spans="1:92" x14ac:dyDescent="0.35">
      <c r="A16" t="s">
        <v>44</v>
      </c>
      <c r="B16" t="s">
        <v>26</v>
      </c>
      <c r="C16" t="s">
        <v>26</v>
      </c>
      <c r="D16" t="s">
        <v>26</v>
      </c>
      <c r="E16" t="s">
        <v>26</v>
      </c>
      <c r="F16">
        <v>5.5</v>
      </c>
      <c r="G16">
        <v>4.5</v>
      </c>
      <c r="H16">
        <v>6</v>
      </c>
      <c r="I16" t="s">
        <v>26</v>
      </c>
      <c r="J16" t="s">
        <v>26</v>
      </c>
      <c r="K16" t="s">
        <v>26</v>
      </c>
      <c r="L16" t="s">
        <v>26</v>
      </c>
      <c r="M16" t="s">
        <v>26</v>
      </c>
      <c r="N16" t="s">
        <v>26</v>
      </c>
      <c r="O16" t="s">
        <v>26</v>
      </c>
      <c r="P16" t="s">
        <v>26</v>
      </c>
      <c r="Q16">
        <v>6</v>
      </c>
      <c r="R16" t="s">
        <v>26</v>
      </c>
      <c r="S16">
        <v>6</v>
      </c>
      <c r="T16">
        <v>6</v>
      </c>
      <c r="U16" t="s">
        <v>26</v>
      </c>
      <c r="V16" t="s">
        <v>26</v>
      </c>
      <c r="W16" t="s">
        <v>26</v>
      </c>
      <c r="X16" t="s">
        <v>26</v>
      </c>
      <c r="Y16" t="s">
        <v>26</v>
      </c>
      <c r="Z16" t="s">
        <v>26</v>
      </c>
      <c r="AA16" t="s">
        <v>26</v>
      </c>
      <c r="AB16" t="s">
        <v>26</v>
      </c>
      <c r="AC16" t="s">
        <v>26</v>
      </c>
      <c r="AD16" t="s">
        <v>26</v>
      </c>
      <c r="AG16">
        <v>6.5</v>
      </c>
      <c r="AI16">
        <v>4</v>
      </c>
      <c r="AJ16">
        <v>3.5</v>
      </c>
      <c r="AK16">
        <v>3</v>
      </c>
      <c r="AL16">
        <v>5</v>
      </c>
      <c r="AN16">
        <v>5</v>
      </c>
      <c r="AO16">
        <v>5</v>
      </c>
      <c r="AW16">
        <v>4.5</v>
      </c>
      <c r="AX16">
        <v>4.5</v>
      </c>
      <c r="AY16">
        <v>4.5</v>
      </c>
      <c r="AZ16">
        <v>4.5</v>
      </c>
      <c r="BB16">
        <v>5.5</v>
      </c>
      <c r="BC16">
        <v>2.5</v>
      </c>
      <c r="BE16">
        <v>4</v>
      </c>
      <c r="BF16">
        <v>5</v>
      </c>
      <c r="BG16">
        <v>3.5</v>
      </c>
      <c r="BH16">
        <v>4</v>
      </c>
      <c r="BI16">
        <v>5</v>
      </c>
      <c r="BJ16">
        <v>4.5</v>
      </c>
      <c r="BK16">
        <v>5</v>
      </c>
      <c r="BL16">
        <v>4.5</v>
      </c>
      <c r="BO16">
        <v>4</v>
      </c>
      <c r="BP16">
        <v>5</v>
      </c>
      <c r="BQ16">
        <v>4.5</v>
      </c>
      <c r="BS16">
        <v>4.5</v>
      </c>
      <c r="BT16">
        <v>4.5</v>
      </c>
      <c r="BV16">
        <v>4</v>
      </c>
      <c r="BX16">
        <v>5</v>
      </c>
      <c r="CB16">
        <v>5</v>
      </c>
      <c r="CC16">
        <v>5.5</v>
      </c>
      <c r="CD16">
        <v>4.5</v>
      </c>
      <c r="CE16">
        <v>5.5</v>
      </c>
      <c r="CG16">
        <v>6</v>
      </c>
      <c r="CI16">
        <f>COUNT(B16:CG16)</f>
        <v>39</v>
      </c>
      <c r="CJ16" s="18">
        <f>AVERAGE(B16:CG16)</f>
        <v>4.7564102564102564</v>
      </c>
      <c r="CK16">
        <f>IF(CI16&gt;1,_xlfn.STDEV.S(B16:CF16),"")</f>
        <v>0.8518451231286176</v>
      </c>
      <c r="CL16">
        <v>1</v>
      </c>
      <c r="CM16">
        <f>COUNT(CC16:CF16)</f>
        <v>3</v>
      </c>
      <c r="CN16">
        <f>IF(CL16=0,CM16,0)</f>
        <v>0</v>
      </c>
    </row>
    <row r="17" spans="1:92" x14ac:dyDescent="0.35">
      <c r="A17" t="s">
        <v>84</v>
      </c>
      <c r="B17" t="s">
        <v>26</v>
      </c>
      <c r="C17" t="s">
        <v>26</v>
      </c>
      <c r="D17" t="s">
        <v>26</v>
      </c>
      <c r="E17" t="s">
        <v>26</v>
      </c>
      <c r="F17" t="s">
        <v>26</v>
      </c>
      <c r="G17" t="s">
        <v>26</v>
      </c>
      <c r="H17" t="s">
        <v>26</v>
      </c>
      <c r="I17" t="s">
        <v>26</v>
      </c>
      <c r="J17" t="s">
        <v>26</v>
      </c>
      <c r="K17" t="s">
        <v>26</v>
      </c>
      <c r="L17" t="s">
        <v>26</v>
      </c>
      <c r="M17" t="s">
        <v>26</v>
      </c>
      <c r="N17" t="s">
        <v>26</v>
      </c>
      <c r="O17" t="s">
        <v>26</v>
      </c>
      <c r="P17" t="s">
        <v>26</v>
      </c>
      <c r="Q17" t="s">
        <v>26</v>
      </c>
      <c r="R17" t="s">
        <v>26</v>
      </c>
      <c r="S17" t="s">
        <v>26</v>
      </c>
      <c r="T17" t="s">
        <v>26</v>
      </c>
      <c r="U17" t="s">
        <v>26</v>
      </c>
      <c r="V17" t="s">
        <v>26</v>
      </c>
      <c r="W17" t="s">
        <v>26</v>
      </c>
      <c r="X17" t="s">
        <v>26</v>
      </c>
      <c r="Y17" t="s">
        <v>26</v>
      </c>
      <c r="Z17" t="s">
        <v>26</v>
      </c>
      <c r="AA17" t="s">
        <v>26</v>
      </c>
      <c r="AB17">
        <v>4.5</v>
      </c>
      <c r="AC17">
        <v>6</v>
      </c>
      <c r="AD17" t="s">
        <v>26</v>
      </c>
      <c r="AE17">
        <v>6.5</v>
      </c>
      <c r="AF17">
        <v>6</v>
      </c>
      <c r="AG17">
        <v>6.5</v>
      </c>
      <c r="AH17">
        <v>5</v>
      </c>
      <c r="AI17">
        <v>5.5</v>
      </c>
      <c r="AL17">
        <v>5</v>
      </c>
      <c r="AO17">
        <v>5.5</v>
      </c>
      <c r="AP17">
        <v>6</v>
      </c>
      <c r="AQ17">
        <v>5.5</v>
      </c>
      <c r="AT17">
        <v>4.5</v>
      </c>
      <c r="AU17">
        <v>5</v>
      </c>
      <c r="AV17">
        <v>5</v>
      </c>
      <c r="AW17">
        <v>4.5</v>
      </c>
      <c r="AX17">
        <v>5</v>
      </c>
      <c r="AZ17">
        <v>5</v>
      </c>
      <c r="BA17">
        <v>5.5</v>
      </c>
      <c r="BB17">
        <v>5.5</v>
      </c>
      <c r="BC17">
        <v>4</v>
      </c>
      <c r="BD17">
        <v>4.5</v>
      </c>
      <c r="BE17">
        <v>4.5</v>
      </c>
      <c r="BF17">
        <v>4.5</v>
      </c>
      <c r="BG17">
        <v>5</v>
      </c>
      <c r="BI17">
        <v>4.5</v>
      </c>
      <c r="BL17">
        <v>5</v>
      </c>
      <c r="BM17">
        <v>5</v>
      </c>
      <c r="BN17">
        <v>5.5</v>
      </c>
      <c r="BO17">
        <v>5</v>
      </c>
      <c r="BQ17">
        <v>5</v>
      </c>
      <c r="BR17">
        <v>4.5</v>
      </c>
      <c r="BW17">
        <v>5</v>
      </c>
      <c r="CA17">
        <v>5</v>
      </c>
      <c r="CB17">
        <v>5.5</v>
      </c>
      <c r="CC17">
        <v>6</v>
      </c>
      <c r="CD17">
        <v>5.5</v>
      </c>
      <c r="CI17">
        <f>COUNT(B17:CF17)</f>
        <v>36</v>
      </c>
      <c r="CJ17" s="18">
        <f>AVERAGE(B17:CF17)</f>
        <v>5.166666666666667</v>
      </c>
      <c r="CK17">
        <f>IF(CI17&gt;1,_xlfn.STDEV.S(B17:CF17),"")</f>
        <v>0.59761430466719678</v>
      </c>
      <c r="CL17">
        <v>1</v>
      </c>
      <c r="CM17">
        <f>COUNT(CC17:CF17)</f>
        <v>2</v>
      </c>
      <c r="CN17">
        <f>IF(CL17=0,CM17,0)</f>
        <v>0</v>
      </c>
    </row>
    <row r="18" spans="1:92" x14ac:dyDescent="0.35">
      <c r="A18" t="s">
        <v>15</v>
      </c>
      <c r="B18">
        <v>7</v>
      </c>
      <c r="C18">
        <v>5.5</v>
      </c>
      <c r="D18" t="s">
        <v>26</v>
      </c>
      <c r="E18" t="s">
        <v>26</v>
      </c>
      <c r="F18" t="s">
        <v>26</v>
      </c>
      <c r="G18">
        <v>6</v>
      </c>
      <c r="H18">
        <v>4.5</v>
      </c>
      <c r="I18" t="s">
        <v>26</v>
      </c>
      <c r="J18" t="s">
        <v>26</v>
      </c>
      <c r="K18" t="s">
        <v>26</v>
      </c>
      <c r="L18" t="s">
        <v>26</v>
      </c>
      <c r="M18" t="s">
        <v>26</v>
      </c>
      <c r="N18" t="s">
        <v>26</v>
      </c>
      <c r="O18" t="s">
        <v>26</v>
      </c>
      <c r="P18">
        <v>6</v>
      </c>
      <c r="Q18">
        <v>5.5</v>
      </c>
      <c r="R18">
        <v>7</v>
      </c>
      <c r="S18">
        <v>6</v>
      </c>
      <c r="T18">
        <v>6</v>
      </c>
      <c r="U18">
        <v>7</v>
      </c>
      <c r="V18">
        <v>5.5</v>
      </c>
      <c r="W18">
        <v>6</v>
      </c>
      <c r="X18">
        <v>5.5</v>
      </c>
      <c r="Y18">
        <v>7</v>
      </c>
      <c r="Z18" t="s">
        <v>26</v>
      </c>
      <c r="AA18">
        <v>7</v>
      </c>
      <c r="AB18">
        <v>6</v>
      </c>
      <c r="AC18" t="s">
        <v>26</v>
      </c>
      <c r="AD18">
        <v>6</v>
      </c>
      <c r="BB18">
        <v>3.5</v>
      </c>
      <c r="BC18">
        <v>4</v>
      </c>
      <c r="BD18">
        <v>5</v>
      </c>
      <c r="BE18">
        <v>7</v>
      </c>
      <c r="BH18">
        <v>5</v>
      </c>
      <c r="BJ18">
        <v>4.5</v>
      </c>
      <c r="BK18">
        <v>5.5</v>
      </c>
      <c r="BL18">
        <v>5</v>
      </c>
      <c r="BM18">
        <v>5</v>
      </c>
      <c r="BN18">
        <v>5.5</v>
      </c>
      <c r="BR18">
        <v>5</v>
      </c>
      <c r="BS18">
        <v>5</v>
      </c>
      <c r="BW18">
        <v>5.5</v>
      </c>
      <c r="BX18">
        <v>5</v>
      </c>
      <c r="BY18">
        <v>5</v>
      </c>
      <c r="CA18">
        <v>4.5</v>
      </c>
      <c r="CB18">
        <v>5</v>
      </c>
      <c r="CC18">
        <v>5</v>
      </c>
      <c r="CI18">
        <f>COUNT(B18:CF18)</f>
        <v>35</v>
      </c>
      <c r="CJ18" s="18">
        <f>AVERAGE(B18:CF18)</f>
        <v>5.5285714285714285</v>
      </c>
      <c r="CK18">
        <f>IF(CI18&gt;1,_xlfn.STDEV.S(B18:CF18),"")</f>
        <v>0.89066116504783599</v>
      </c>
      <c r="CL18">
        <v>1</v>
      </c>
      <c r="CM18">
        <f>COUNT(CC18:CF18)</f>
        <v>1</v>
      </c>
      <c r="CN18">
        <f>IF(CL18=0,CM18,0)</f>
        <v>0</v>
      </c>
    </row>
    <row r="19" spans="1:92" x14ac:dyDescent="0.35">
      <c r="A19" t="s">
        <v>46</v>
      </c>
      <c r="B19" t="s">
        <v>26</v>
      </c>
      <c r="C19" t="s">
        <v>26</v>
      </c>
      <c r="D19" t="s">
        <v>26</v>
      </c>
      <c r="E19" t="s">
        <v>26</v>
      </c>
      <c r="F19" t="s">
        <v>26</v>
      </c>
      <c r="G19" t="s">
        <v>26</v>
      </c>
      <c r="H19">
        <v>6</v>
      </c>
      <c r="I19">
        <v>5.5</v>
      </c>
      <c r="J19">
        <v>5.5</v>
      </c>
      <c r="K19">
        <v>4</v>
      </c>
      <c r="L19" t="s">
        <v>26</v>
      </c>
      <c r="M19">
        <v>4</v>
      </c>
      <c r="N19">
        <v>4.5</v>
      </c>
      <c r="O19">
        <v>7.5</v>
      </c>
      <c r="P19">
        <v>7</v>
      </c>
      <c r="Q19">
        <v>4.5</v>
      </c>
      <c r="R19" t="s">
        <v>26</v>
      </c>
      <c r="S19" t="s">
        <v>26</v>
      </c>
      <c r="T19" t="s">
        <v>26</v>
      </c>
      <c r="U19">
        <v>5.5</v>
      </c>
      <c r="V19" t="s">
        <v>26</v>
      </c>
      <c r="W19" t="s">
        <v>26</v>
      </c>
      <c r="X19" t="s">
        <v>26</v>
      </c>
      <c r="Y19" t="s">
        <v>26</v>
      </c>
      <c r="Z19" t="s">
        <v>26</v>
      </c>
      <c r="AA19" t="s">
        <v>26</v>
      </c>
      <c r="AB19" t="s">
        <v>26</v>
      </c>
      <c r="AC19" t="s">
        <v>26</v>
      </c>
      <c r="AD19" t="s">
        <v>26</v>
      </c>
      <c r="AH19">
        <v>5</v>
      </c>
      <c r="AI19">
        <v>5.5</v>
      </c>
      <c r="AJ19">
        <v>3.5</v>
      </c>
      <c r="BF19">
        <v>3.5</v>
      </c>
      <c r="BG19">
        <v>4.5</v>
      </c>
      <c r="BH19">
        <v>4</v>
      </c>
      <c r="BI19">
        <v>5</v>
      </c>
      <c r="BJ19">
        <v>3.5</v>
      </c>
      <c r="BK19">
        <v>4</v>
      </c>
      <c r="BL19">
        <v>5</v>
      </c>
      <c r="BO19">
        <v>5</v>
      </c>
      <c r="BQ19">
        <v>7</v>
      </c>
      <c r="BR19">
        <v>4.5</v>
      </c>
      <c r="BT19">
        <v>5</v>
      </c>
      <c r="BU19">
        <v>5.5</v>
      </c>
      <c r="BV19">
        <v>4.5</v>
      </c>
      <c r="BX19">
        <v>5</v>
      </c>
      <c r="BY19">
        <v>5</v>
      </c>
      <c r="CA19">
        <v>5</v>
      </c>
      <c r="CB19">
        <v>5</v>
      </c>
      <c r="CC19">
        <v>4</v>
      </c>
      <c r="CD19">
        <v>6.5</v>
      </c>
      <c r="CE19">
        <v>6</v>
      </c>
      <c r="CF19">
        <v>6</v>
      </c>
      <c r="CI19">
        <f>COUNT(B19:CF19)</f>
        <v>34</v>
      </c>
      <c r="CJ19" s="18">
        <f>AVERAGE(B19:CF19)</f>
        <v>5.0441176470588234</v>
      </c>
      <c r="CK19">
        <f>IF(CI19&gt;1,_xlfn.STDEV.S(B19:CF19),"")</f>
        <v>1.010307836816922</v>
      </c>
      <c r="CL19">
        <v>1</v>
      </c>
      <c r="CM19">
        <f>COUNT(CC19:CF19)</f>
        <v>4</v>
      </c>
      <c r="CN19">
        <f>IF(CL19=0,CM19,0)</f>
        <v>0</v>
      </c>
    </row>
    <row r="20" spans="1:92" x14ac:dyDescent="0.35">
      <c r="A20" t="s">
        <v>367</v>
      </c>
      <c r="B20">
        <v>8.5</v>
      </c>
      <c r="C20" t="s">
        <v>26</v>
      </c>
      <c r="D20" t="s">
        <v>26</v>
      </c>
      <c r="E20">
        <v>7</v>
      </c>
      <c r="F20">
        <v>7</v>
      </c>
      <c r="G20" t="s">
        <v>26</v>
      </c>
      <c r="H20">
        <v>10</v>
      </c>
      <c r="I20">
        <v>7</v>
      </c>
      <c r="J20" t="s">
        <v>26</v>
      </c>
      <c r="K20">
        <v>6</v>
      </c>
      <c r="L20">
        <v>7</v>
      </c>
      <c r="M20">
        <v>6</v>
      </c>
      <c r="N20">
        <v>6</v>
      </c>
      <c r="O20">
        <v>6</v>
      </c>
      <c r="P20">
        <v>7</v>
      </c>
      <c r="Q20">
        <v>5.5</v>
      </c>
      <c r="R20">
        <v>7.5</v>
      </c>
      <c r="S20">
        <v>7</v>
      </c>
      <c r="T20">
        <v>7</v>
      </c>
      <c r="U20">
        <v>6</v>
      </c>
      <c r="V20">
        <v>7</v>
      </c>
      <c r="W20">
        <v>7</v>
      </c>
      <c r="X20">
        <v>7</v>
      </c>
      <c r="Y20" t="s">
        <v>26</v>
      </c>
      <c r="Z20">
        <v>6</v>
      </c>
      <c r="AA20">
        <v>6</v>
      </c>
      <c r="AB20" t="s">
        <v>26</v>
      </c>
      <c r="AC20">
        <v>6</v>
      </c>
      <c r="AD20" t="s">
        <v>26</v>
      </c>
      <c r="AF20">
        <v>7</v>
      </c>
      <c r="AG20">
        <v>5.5</v>
      </c>
      <c r="AH20">
        <v>5.5</v>
      </c>
      <c r="AI20">
        <v>5.5</v>
      </c>
      <c r="AJ20">
        <v>5.5</v>
      </c>
      <c r="AK20">
        <v>6.5</v>
      </c>
      <c r="AL20">
        <v>4.5</v>
      </c>
      <c r="AV20">
        <v>4.5</v>
      </c>
      <c r="AW20">
        <v>4.5</v>
      </c>
      <c r="AX20">
        <v>5</v>
      </c>
      <c r="AY20">
        <v>5.5</v>
      </c>
      <c r="AZ20">
        <v>5.5</v>
      </c>
      <c r="BA20">
        <v>5</v>
      </c>
      <c r="BD20">
        <v>4.5</v>
      </c>
      <c r="BE20">
        <v>6</v>
      </c>
      <c r="BF20">
        <v>6.5</v>
      </c>
      <c r="BG20">
        <v>5.5</v>
      </c>
      <c r="BH20">
        <v>5</v>
      </c>
      <c r="BK20">
        <v>4.5</v>
      </c>
      <c r="BL20">
        <v>5</v>
      </c>
      <c r="BM20">
        <v>5.5</v>
      </c>
      <c r="BN20">
        <v>5.5</v>
      </c>
      <c r="BO20">
        <v>5</v>
      </c>
      <c r="BP20">
        <v>5.5</v>
      </c>
      <c r="BQ20">
        <v>5</v>
      </c>
      <c r="BR20">
        <v>4.5</v>
      </c>
      <c r="BS20">
        <v>5.5</v>
      </c>
      <c r="BT20">
        <v>5</v>
      </c>
      <c r="BV20">
        <v>5.5</v>
      </c>
      <c r="BW20">
        <v>5</v>
      </c>
      <c r="BY20">
        <v>5</v>
      </c>
      <c r="CB20">
        <v>5</v>
      </c>
      <c r="CI20">
        <f>COUNT(B20:CF20)</f>
        <v>54</v>
      </c>
      <c r="CJ20" s="18">
        <f>AVERAGE(B20:CF20)</f>
        <v>5.8981481481481479</v>
      </c>
      <c r="CK20">
        <f>IF(CI20&gt;1,_xlfn.STDEV.S(B20:CF20),"")</f>
        <v>1.083232538449153</v>
      </c>
      <c r="CL20">
        <v>0</v>
      </c>
      <c r="CM20">
        <f>COUNT(CC20:CF20)</f>
        <v>0</v>
      </c>
      <c r="CN20">
        <f>IF(CL20=0,CM20,0)</f>
        <v>0</v>
      </c>
    </row>
    <row r="21" spans="1:92" x14ac:dyDescent="0.35">
      <c r="A21" t="s">
        <v>14</v>
      </c>
      <c r="B21">
        <v>7</v>
      </c>
      <c r="C21" t="s">
        <v>26</v>
      </c>
      <c r="D21">
        <v>7.5</v>
      </c>
      <c r="E21" t="s">
        <v>26</v>
      </c>
      <c r="F21">
        <v>6</v>
      </c>
      <c r="G21">
        <v>7</v>
      </c>
      <c r="H21">
        <v>4.5</v>
      </c>
      <c r="I21">
        <v>5.5</v>
      </c>
      <c r="J21" t="s">
        <v>26</v>
      </c>
      <c r="K21">
        <v>6</v>
      </c>
      <c r="L21">
        <v>6</v>
      </c>
      <c r="M21">
        <v>6</v>
      </c>
      <c r="N21" t="s">
        <v>26</v>
      </c>
      <c r="O21">
        <v>6</v>
      </c>
      <c r="P21">
        <v>5.5</v>
      </c>
      <c r="Q21">
        <v>5.5</v>
      </c>
      <c r="R21">
        <v>6</v>
      </c>
      <c r="S21">
        <v>4.5</v>
      </c>
      <c r="T21">
        <v>7</v>
      </c>
      <c r="U21" t="s">
        <v>26</v>
      </c>
      <c r="V21">
        <v>6</v>
      </c>
      <c r="W21" t="s">
        <v>26</v>
      </c>
      <c r="X21">
        <v>7</v>
      </c>
      <c r="Y21">
        <v>6</v>
      </c>
      <c r="Z21" t="s">
        <v>26</v>
      </c>
      <c r="AA21">
        <v>6</v>
      </c>
      <c r="AB21">
        <v>5.5</v>
      </c>
      <c r="AC21">
        <v>6</v>
      </c>
      <c r="AD21">
        <v>5.5</v>
      </c>
      <c r="AI21">
        <v>5</v>
      </c>
      <c r="AL21">
        <v>5.5</v>
      </c>
      <c r="AM21">
        <v>5</v>
      </c>
      <c r="AN21">
        <v>5</v>
      </c>
      <c r="AO21">
        <v>5</v>
      </c>
      <c r="AP21">
        <v>5</v>
      </c>
      <c r="AQ21">
        <v>5</v>
      </c>
      <c r="AR21">
        <v>4.5</v>
      </c>
      <c r="AS21">
        <v>5.5</v>
      </c>
      <c r="AT21">
        <v>5.5</v>
      </c>
      <c r="AV21">
        <v>5</v>
      </c>
      <c r="AY21">
        <v>4.5</v>
      </c>
      <c r="AZ21">
        <v>5</v>
      </c>
      <c r="BB21">
        <v>5</v>
      </c>
      <c r="BC21">
        <v>6</v>
      </c>
      <c r="BD21">
        <v>6</v>
      </c>
      <c r="BE21">
        <v>6</v>
      </c>
      <c r="BF21">
        <v>5</v>
      </c>
      <c r="BG21">
        <v>5.5</v>
      </c>
      <c r="BH21">
        <v>5</v>
      </c>
      <c r="BI21">
        <v>5</v>
      </c>
      <c r="BK21">
        <v>5.5</v>
      </c>
      <c r="BL21">
        <v>5</v>
      </c>
      <c r="BM21">
        <v>5</v>
      </c>
      <c r="BN21">
        <v>5.5</v>
      </c>
      <c r="BO21">
        <v>4.5</v>
      </c>
      <c r="BP21">
        <v>4.5</v>
      </c>
      <c r="BQ21">
        <v>5</v>
      </c>
      <c r="BR21">
        <v>4.5</v>
      </c>
      <c r="CF21">
        <v>5.5</v>
      </c>
      <c r="CI21">
        <f>COUNT(B21:CF21)</f>
        <v>52</v>
      </c>
      <c r="CJ21" s="18">
        <f>AVERAGE(B21:CF21)</f>
        <v>5.5</v>
      </c>
      <c r="CK21">
        <f>IF(CI21&gt;1,_xlfn.STDEV.S(B21:CF21),"")</f>
        <v>0.72760687510899891</v>
      </c>
      <c r="CL21">
        <v>0</v>
      </c>
      <c r="CM21">
        <f>COUNT(CC21:CF21)</f>
        <v>1</v>
      </c>
      <c r="CN21">
        <f>IF(CL21=0,CM21,0)</f>
        <v>1</v>
      </c>
    </row>
    <row r="22" spans="1:92" x14ac:dyDescent="0.35">
      <c r="A22" t="s">
        <v>55</v>
      </c>
      <c r="B22" t="s">
        <v>26</v>
      </c>
      <c r="C22" t="s">
        <v>26</v>
      </c>
      <c r="D22" t="s">
        <v>26</v>
      </c>
      <c r="E22" t="s">
        <v>26</v>
      </c>
      <c r="F22" t="s">
        <v>26</v>
      </c>
      <c r="G22" t="s">
        <v>26</v>
      </c>
      <c r="H22" t="s">
        <v>26</v>
      </c>
      <c r="I22" t="s">
        <v>26</v>
      </c>
      <c r="J22" t="s">
        <v>26</v>
      </c>
      <c r="K22" t="s">
        <v>26</v>
      </c>
      <c r="L22" t="s">
        <v>26</v>
      </c>
      <c r="M22" t="s">
        <v>26</v>
      </c>
      <c r="N22" t="s">
        <v>26</v>
      </c>
      <c r="O22">
        <v>6</v>
      </c>
      <c r="P22" t="s">
        <v>26</v>
      </c>
      <c r="Q22">
        <v>4.5</v>
      </c>
      <c r="R22" t="s">
        <v>26</v>
      </c>
      <c r="S22" t="s">
        <v>26</v>
      </c>
      <c r="T22">
        <v>7</v>
      </c>
      <c r="U22">
        <v>7</v>
      </c>
      <c r="V22">
        <v>6</v>
      </c>
      <c r="W22">
        <v>6</v>
      </c>
      <c r="X22">
        <v>6</v>
      </c>
      <c r="Y22">
        <v>7.5</v>
      </c>
      <c r="Z22">
        <v>6</v>
      </c>
      <c r="AA22">
        <v>6</v>
      </c>
      <c r="AB22" t="s">
        <v>26</v>
      </c>
      <c r="AC22">
        <v>6</v>
      </c>
      <c r="AD22">
        <v>7</v>
      </c>
      <c r="AF22">
        <v>7</v>
      </c>
      <c r="AG22">
        <v>7</v>
      </c>
      <c r="AQ22">
        <v>7</v>
      </c>
      <c r="AR22">
        <v>6.5</v>
      </c>
      <c r="AS22">
        <v>5</v>
      </c>
      <c r="AT22">
        <v>5</v>
      </c>
      <c r="AU22">
        <v>5</v>
      </c>
      <c r="AV22">
        <v>5</v>
      </c>
      <c r="AW22">
        <v>5</v>
      </c>
      <c r="AZ22">
        <v>5.5</v>
      </c>
      <c r="BC22">
        <v>4.5</v>
      </c>
      <c r="BE22">
        <v>5.5</v>
      </c>
      <c r="BF22">
        <v>5.5</v>
      </c>
      <c r="BH22">
        <v>5.5</v>
      </c>
      <c r="BJ22">
        <v>5</v>
      </c>
      <c r="BM22">
        <v>5</v>
      </c>
      <c r="BN22">
        <v>4.5</v>
      </c>
      <c r="BO22">
        <v>5.5</v>
      </c>
      <c r="BQ22">
        <v>5</v>
      </c>
      <c r="BR22">
        <v>6</v>
      </c>
      <c r="BS22">
        <v>5.5</v>
      </c>
      <c r="BT22">
        <v>5.5</v>
      </c>
      <c r="BU22">
        <v>5</v>
      </c>
      <c r="BX22">
        <v>5</v>
      </c>
      <c r="BZ22">
        <v>5</v>
      </c>
      <c r="CA22">
        <v>5.5</v>
      </c>
      <c r="CI22">
        <f>COUNT(B22:CF22)</f>
        <v>38</v>
      </c>
      <c r="CJ22" s="18">
        <f>AVERAGE(B22:CF22)</f>
        <v>5.6973684210526319</v>
      </c>
      <c r="CK22">
        <f>IF(CI22&gt;1,_xlfn.STDEV.S(B22:CF22),"")</f>
        <v>0.81820067653597328</v>
      </c>
      <c r="CL22">
        <v>0</v>
      </c>
      <c r="CM22">
        <f>COUNT(CC22:CF22)</f>
        <v>0</v>
      </c>
      <c r="CN22">
        <f>IF(CL22=0,CM22,0)</f>
        <v>0</v>
      </c>
    </row>
    <row r="23" spans="1:92" x14ac:dyDescent="0.35">
      <c r="A23" t="s">
        <v>66</v>
      </c>
      <c r="B23" t="s">
        <v>26</v>
      </c>
      <c r="C23" t="s">
        <v>26</v>
      </c>
      <c r="D23" t="s">
        <v>26</v>
      </c>
      <c r="E23" t="s">
        <v>26</v>
      </c>
      <c r="F23" t="s">
        <v>26</v>
      </c>
      <c r="G23" t="s">
        <v>26</v>
      </c>
      <c r="H23" t="s">
        <v>26</v>
      </c>
      <c r="I23" t="s">
        <v>26</v>
      </c>
      <c r="J23" t="s">
        <v>26</v>
      </c>
      <c r="K23" t="s">
        <v>26</v>
      </c>
      <c r="L23" t="s">
        <v>26</v>
      </c>
      <c r="M23" t="s">
        <v>26</v>
      </c>
      <c r="N23" t="s">
        <v>26</v>
      </c>
      <c r="O23" t="s">
        <v>26</v>
      </c>
      <c r="P23" t="s">
        <v>26</v>
      </c>
      <c r="Q23" t="s">
        <v>26</v>
      </c>
      <c r="R23" t="s">
        <v>26</v>
      </c>
      <c r="S23" t="s">
        <v>26</v>
      </c>
      <c r="T23" t="s">
        <v>26</v>
      </c>
      <c r="U23" t="s">
        <v>26</v>
      </c>
      <c r="V23">
        <v>6</v>
      </c>
      <c r="W23">
        <v>6</v>
      </c>
      <c r="X23" t="s">
        <v>26</v>
      </c>
      <c r="Y23">
        <v>6</v>
      </c>
      <c r="Z23" t="s">
        <v>26</v>
      </c>
      <c r="AA23" t="s">
        <v>26</v>
      </c>
      <c r="AB23">
        <v>7</v>
      </c>
      <c r="AC23">
        <v>6</v>
      </c>
      <c r="AD23" t="s">
        <v>26</v>
      </c>
      <c r="AE23">
        <v>6</v>
      </c>
      <c r="AF23">
        <v>5</v>
      </c>
      <c r="AM23">
        <v>4.5</v>
      </c>
      <c r="AP23">
        <v>5</v>
      </c>
      <c r="AQ23">
        <v>4.5</v>
      </c>
      <c r="AR23">
        <v>5</v>
      </c>
      <c r="AS23">
        <v>4.5</v>
      </c>
      <c r="AT23">
        <v>4.5</v>
      </c>
      <c r="AU23">
        <v>4</v>
      </c>
      <c r="AV23">
        <v>5</v>
      </c>
      <c r="AW23">
        <v>4.5</v>
      </c>
      <c r="AX23">
        <v>5</v>
      </c>
      <c r="AY23">
        <v>5</v>
      </c>
      <c r="AZ23">
        <v>5</v>
      </c>
      <c r="BA23">
        <v>4.5</v>
      </c>
      <c r="BB23">
        <v>4.5</v>
      </c>
      <c r="BT23">
        <v>5.5</v>
      </c>
      <c r="BZ23">
        <v>4</v>
      </c>
      <c r="CD23">
        <v>6</v>
      </c>
      <c r="CI23">
        <f>COUNT(B23:CF23)</f>
        <v>24</v>
      </c>
      <c r="CJ23" s="18">
        <f>AVERAGE(B23:CF23)</f>
        <v>5.125</v>
      </c>
      <c r="CK23">
        <f>IF(CI23&gt;1,_xlfn.STDEV.S(B23:CF23),"")</f>
        <v>0.76966960726523825</v>
      </c>
      <c r="CL23">
        <v>0</v>
      </c>
      <c r="CM23">
        <f>COUNT(CC23:CF23)</f>
        <v>1</v>
      </c>
      <c r="CN23">
        <f>IF(CL23=0,CM23,0)</f>
        <v>1</v>
      </c>
    </row>
    <row r="24" spans="1:92" x14ac:dyDescent="0.35">
      <c r="A24" t="s">
        <v>48</v>
      </c>
      <c r="B24" t="s">
        <v>26</v>
      </c>
      <c r="C24" t="s">
        <v>26</v>
      </c>
      <c r="D24" t="s">
        <v>26</v>
      </c>
      <c r="E24" t="s">
        <v>26</v>
      </c>
      <c r="F24" t="s">
        <v>26</v>
      </c>
      <c r="G24" t="s">
        <v>26</v>
      </c>
      <c r="H24" t="s">
        <v>26</v>
      </c>
      <c r="I24">
        <v>7</v>
      </c>
      <c r="J24" t="s">
        <v>26</v>
      </c>
      <c r="K24">
        <v>7</v>
      </c>
      <c r="L24">
        <v>7.5</v>
      </c>
      <c r="M24" t="s">
        <v>26</v>
      </c>
      <c r="N24" t="s">
        <v>26</v>
      </c>
      <c r="O24" t="s">
        <v>26</v>
      </c>
      <c r="P24" t="s">
        <v>26</v>
      </c>
      <c r="Q24" t="s">
        <v>26</v>
      </c>
      <c r="R24">
        <v>7</v>
      </c>
      <c r="S24" t="s">
        <v>26</v>
      </c>
      <c r="T24" t="s">
        <v>26</v>
      </c>
      <c r="U24">
        <v>7</v>
      </c>
      <c r="V24" t="s">
        <v>26</v>
      </c>
      <c r="W24" t="s">
        <v>26</v>
      </c>
      <c r="X24" t="s">
        <v>26</v>
      </c>
      <c r="Y24" t="s">
        <v>26</v>
      </c>
      <c r="Z24" t="s">
        <v>26</v>
      </c>
      <c r="AA24" t="s">
        <v>26</v>
      </c>
      <c r="AB24" t="s">
        <v>26</v>
      </c>
      <c r="AC24" t="s">
        <v>26</v>
      </c>
      <c r="AD24">
        <v>6</v>
      </c>
      <c r="AS24">
        <v>5</v>
      </c>
      <c r="AT24">
        <v>5</v>
      </c>
      <c r="AX24">
        <v>6</v>
      </c>
      <c r="AY24">
        <v>4.5</v>
      </c>
      <c r="BB24">
        <v>5</v>
      </c>
      <c r="BD24">
        <v>5.5</v>
      </c>
      <c r="BI24">
        <v>4.5</v>
      </c>
      <c r="BJ24">
        <v>5.5</v>
      </c>
      <c r="BN24">
        <v>5</v>
      </c>
      <c r="BT24">
        <v>5</v>
      </c>
      <c r="BU24">
        <v>6.5</v>
      </c>
      <c r="BV24">
        <v>5</v>
      </c>
      <c r="BZ24">
        <v>5</v>
      </c>
      <c r="CB24">
        <v>5.5</v>
      </c>
      <c r="CE24">
        <v>6</v>
      </c>
      <c r="CF24">
        <v>7</v>
      </c>
      <c r="CG24">
        <v>7</v>
      </c>
      <c r="CI24">
        <f>COUNT(B24:CG24)</f>
        <v>23</v>
      </c>
      <c r="CJ24" s="18">
        <f>AVERAGE(B24:CG24)</f>
        <v>5.8478260869565215</v>
      </c>
      <c r="CK24">
        <f>IF(CI24&gt;1,_xlfn.STDEV.S(B24:CF24),"")</f>
        <v>0.94691341824108899</v>
      </c>
      <c r="CL24">
        <v>0</v>
      </c>
      <c r="CM24">
        <f>COUNT(CC24:CF24)</f>
        <v>2</v>
      </c>
      <c r="CN24">
        <f>IF(CL24=0,CM24,0)</f>
        <v>2</v>
      </c>
    </row>
    <row r="25" spans="1:92" x14ac:dyDescent="0.35">
      <c r="A25" t="s">
        <v>3</v>
      </c>
      <c r="B25">
        <v>7.5</v>
      </c>
      <c r="C25">
        <v>6</v>
      </c>
      <c r="D25">
        <v>7.5</v>
      </c>
      <c r="E25">
        <v>4</v>
      </c>
      <c r="F25">
        <v>6</v>
      </c>
      <c r="G25">
        <v>5.5</v>
      </c>
      <c r="H25">
        <v>4.5</v>
      </c>
      <c r="I25">
        <v>5.5</v>
      </c>
      <c r="J25">
        <v>5.5</v>
      </c>
      <c r="K25" t="s">
        <v>26</v>
      </c>
      <c r="L25" t="s">
        <v>26</v>
      </c>
      <c r="M25" t="s">
        <v>26</v>
      </c>
      <c r="N25" t="s">
        <v>26</v>
      </c>
      <c r="O25">
        <v>7</v>
      </c>
      <c r="P25">
        <v>6</v>
      </c>
      <c r="Q25">
        <v>6</v>
      </c>
      <c r="R25">
        <v>7</v>
      </c>
      <c r="S25" t="s">
        <v>26</v>
      </c>
      <c r="T25" t="s">
        <v>26</v>
      </c>
      <c r="U25" t="s">
        <v>26</v>
      </c>
      <c r="V25" t="s">
        <v>26</v>
      </c>
      <c r="W25" t="s">
        <v>26</v>
      </c>
      <c r="X25" t="s">
        <v>26</v>
      </c>
      <c r="Y25">
        <v>6</v>
      </c>
      <c r="Z25" t="s">
        <v>26</v>
      </c>
      <c r="AA25" t="s">
        <v>26</v>
      </c>
      <c r="AB25" t="s">
        <v>26</v>
      </c>
      <c r="AC25" t="s">
        <v>26</v>
      </c>
      <c r="AD25" t="s">
        <v>26</v>
      </c>
      <c r="AE25">
        <v>6.5</v>
      </c>
      <c r="AI25">
        <v>5</v>
      </c>
      <c r="AL25">
        <v>5.5</v>
      </c>
      <c r="AU25">
        <v>5</v>
      </c>
      <c r="BA25">
        <v>5</v>
      </c>
      <c r="CI25">
        <f>COUNT(B25:CF25)</f>
        <v>19</v>
      </c>
      <c r="CJ25" s="18">
        <f>AVERAGE(B25:CF25)</f>
        <v>5.8421052631578947</v>
      </c>
      <c r="CK25">
        <f>IF(CI25&gt;1,_xlfn.STDEV.S(B25:CF25),"")</f>
        <v>0.95819030206465661</v>
      </c>
      <c r="CL25">
        <v>0</v>
      </c>
      <c r="CM25">
        <f>COUNT(CC25:CF25)</f>
        <v>0</v>
      </c>
      <c r="CN25">
        <f>IF(CL25=0,CM25,0)</f>
        <v>0</v>
      </c>
    </row>
    <row r="26" spans="1:92" x14ac:dyDescent="0.35">
      <c r="A26" t="s">
        <v>346</v>
      </c>
      <c r="AN26">
        <v>5.5</v>
      </c>
      <c r="AO26">
        <v>5</v>
      </c>
      <c r="AQ26">
        <v>6</v>
      </c>
      <c r="AS26">
        <v>5</v>
      </c>
      <c r="AT26">
        <v>5</v>
      </c>
      <c r="AU26">
        <v>6</v>
      </c>
      <c r="AW26">
        <v>5</v>
      </c>
      <c r="AX26">
        <v>4.5</v>
      </c>
      <c r="AY26">
        <v>6</v>
      </c>
      <c r="AZ26">
        <v>5.5</v>
      </c>
      <c r="BA26">
        <v>5</v>
      </c>
      <c r="BC26">
        <v>4.5</v>
      </c>
      <c r="BE26">
        <v>4.5</v>
      </c>
      <c r="BF26">
        <v>5.5</v>
      </c>
      <c r="BG26">
        <v>5</v>
      </c>
      <c r="BV26">
        <v>5</v>
      </c>
      <c r="BW26">
        <v>5.5</v>
      </c>
      <c r="BY26">
        <v>5.5</v>
      </c>
      <c r="CI26">
        <f>COUNT(B26:CF26)</f>
        <v>18</v>
      </c>
      <c r="CJ26" s="18">
        <f>AVERAGE(B26:CF26)</f>
        <v>5.2222222222222223</v>
      </c>
      <c r="CK26">
        <f>IF(CI26&gt;1,_xlfn.STDEV.S(B26:CF26),"")</f>
        <v>0.49176220407782173</v>
      </c>
      <c r="CL26">
        <v>0</v>
      </c>
      <c r="CM26">
        <f>COUNT(CC26:CF26)</f>
        <v>0</v>
      </c>
      <c r="CN26">
        <f>IF(CL26=0,CM26,0)</f>
        <v>0</v>
      </c>
    </row>
    <row r="27" spans="1:92" x14ac:dyDescent="0.35">
      <c r="A27" t="s">
        <v>8</v>
      </c>
      <c r="B27">
        <v>6</v>
      </c>
      <c r="C27" t="s">
        <v>26</v>
      </c>
      <c r="D27">
        <v>4</v>
      </c>
      <c r="E27" t="s">
        <v>26</v>
      </c>
      <c r="F27" t="s">
        <v>26</v>
      </c>
      <c r="G27">
        <v>5.5</v>
      </c>
      <c r="H27">
        <v>4</v>
      </c>
      <c r="I27">
        <v>4.5</v>
      </c>
      <c r="J27">
        <v>7</v>
      </c>
      <c r="K27">
        <v>7</v>
      </c>
      <c r="L27" t="s">
        <v>26</v>
      </c>
      <c r="M27" t="s">
        <v>26</v>
      </c>
      <c r="N27" t="s">
        <v>26</v>
      </c>
      <c r="O27">
        <v>5.5</v>
      </c>
      <c r="P27" t="s">
        <v>26</v>
      </c>
      <c r="Q27" t="s">
        <v>26</v>
      </c>
      <c r="R27" t="s">
        <v>26</v>
      </c>
      <c r="S27" t="s">
        <v>26</v>
      </c>
      <c r="T27" t="s">
        <v>26</v>
      </c>
      <c r="U27">
        <v>6</v>
      </c>
      <c r="V27" t="s">
        <v>26</v>
      </c>
      <c r="W27" t="s">
        <v>26</v>
      </c>
      <c r="X27" t="s">
        <v>26</v>
      </c>
      <c r="Y27" t="s">
        <v>26</v>
      </c>
      <c r="Z27" t="s">
        <v>26</v>
      </c>
      <c r="AA27">
        <v>7</v>
      </c>
      <c r="AB27" t="s">
        <v>26</v>
      </c>
      <c r="AC27">
        <v>7</v>
      </c>
      <c r="AD27" t="s">
        <v>26</v>
      </c>
      <c r="AI27">
        <v>5</v>
      </c>
      <c r="AJ27">
        <v>5</v>
      </c>
      <c r="AN27">
        <v>5</v>
      </c>
      <c r="AP27">
        <v>5.5</v>
      </c>
      <c r="AQ27">
        <v>4</v>
      </c>
      <c r="AV27">
        <v>4.5</v>
      </c>
      <c r="CI27">
        <f>COUNT(B27:CF27)</f>
        <v>17</v>
      </c>
      <c r="CJ27" s="18">
        <f>AVERAGE(B27:CF27)</f>
        <v>5.4411764705882355</v>
      </c>
      <c r="CK27">
        <f>IF(CI27&gt;1,_xlfn.STDEV.S(B27:CF27),"")</f>
        <v>1.0880365478290537</v>
      </c>
      <c r="CL27">
        <v>0</v>
      </c>
      <c r="CM27">
        <f>COUNT(CC27:CF27)</f>
        <v>0</v>
      </c>
      <c r="CN27">
        <f>IF(CL27=0,CM27,0)</f>
        <v>0</v>
      </c>
    </row>
    <row r="28" spans="1:92" x14ac:dyDescent="0.35">
      <c r="A28" t="s">
        <v>68</v>
      </c>
      <c r="B28" t="s">
        <v>26</v>
      </c>
      <c r="C28" t="s">
        <v>26</v>
      </c>
      <c r="D28" t="s">
        <v>26</v>
      </c>
      <c r="E28" t="s">
        <v>26</v>
      </c>
      <c r="F28" t="s">
        <v>26</v>
      </c>
      <c r="G28" t="s">
        <v>26</v>
      </c>
      <c r="H28" t="s">
        <v>26</v>
      </c>
      <c r="I28" t="s">
        <v>26</v>
      </c>
      <c r="J28" t="s">
        <v>26</v>
      </c>
      <c r="K28" t="s">
        <v>26</v>
      </c>
      <c r="L28" t="s">
        <v>26</v>
      </c>
      <c r="M28" t="s">
        <v>26</v>
      </c>
      <c r="N28" t="s">
        <v>26</v>
      </c>
      <c r="O28" t="s">
        <v>26</v>
      </c>
      <c r="P28" t="s">
        <v>26</v>
      </c>
      <c r="Q28" t="s">
        <v>26</v>
      </c>
      <c r="R28" t="s">
        <v>26</v>
      </c>
      <c r="S28" t="s">
        <v>26</v>
      </c>
      <c r="T28" t="s">
        <v>26</v>
      </c>
      <c r="U28" t="s">
        <v>26</v>
      </c>
      <c r="V28" t="s">
        <v>26</v>
      </c>
      <c r="W28" t="s">
        <v>26</v>
      </c>
      <c r="X28">
        <v>6</v>
      </c>
      <c r="Y28" t="s">
        <v>26</v>
      </c>
      <c r="Z28">
        <v>5.5</v>
      </c>
      <c r="AA28">
        <v>4</v>
      </c>
      <c r="AB28">
        <v>3</v>
      </c>
      <c r="AC28" t="s">
        <v>26</v>
      </c>
      <c r="AD28" t="s">
        <v>26</v>
      </c>
      <c r="AG28">
        <v>6</v>
      </c>
      <c r="AH28">
        <v>5</v>
      </c>
      <c r="AJ28">
        <v>4.5</v>
      </c>
      <c r="AK28">
        <v>5</v>
      </c>
      <c r="AO28">
        <v>4</v>
      </c>
      <c r="AP28">
        <v>5.5</v>
      </c>
      <c r="AR28">
        <v>3.5</v>
      </c>
      <c r="AW28">
        <v>3.5</v>
      </c>
      <c r="BA28">
        <v>3</v>
      </c>
      <c r="BJ28">
        <v>5.5</v>
      </c>
      <c r="BK28">
        <v>4</v>
      </c>
      <c r="BT28">
        <v>4</v>
      </c>
      <c r="CI28">
        <f>COUNT(B28:CF28)</f>
        <v>16</v>
      </c>
      <c r="CJ28" s="18">
        <f>AVERAGE(B28:CF28)</f>
        <v>4.5</v>
      </c>
      <c r="CK28">
        <f>IF(CI28&gt;1,_xlfn.STDEV.S(B28:CF28),"")</f>
        <v>1.0165300454651272</v>
      </c>
      <c r="CL28">
        <v>0</v>
      </c>
      <c r="CM28">
        <f>COUNT(CC28:CF28)</f>
        <v>0</v>
      </c>
      <c r="CN28">
        <f>IF(CL28=0,CM28,0)</f>
        <v>0</v>
      </c>
    </row>
    <row r="29" spans="1:92" x14ac:dyDescent="0.35">
      <c r="A29" t="s">
        <v>22</v>
      </c>
      <c r="B29" t="s">
        <v>26</v>
      </c>
      <c r="C29" t="s">
        <v>26</v>
      </c>
      <c r="D29">
        <v>7</v>
      </c>
      <c r="E29">
        <v>7</v>
      </c>
      <c r="F29">
        <v>5.5</v>
      </c>
      <c r="G29" t="s">
        <v>26</v>
      </c>
      <c r="H29" t="s">
        <v>26</v>
      </c>
      <c r="I29" t="s">
        <v>26</v>
      </c>
      <c r="J29" t="s">
        <v>26</v>
      </c>
      <c r="K29">
        <v>7</v>
      </c>
      <c r="L29">
        <v>7</v>
      </c>
      <c r="M29" t="s">
        <v>26</v>
      </c>
      <c r="N29">
        <v>7.5</v>
      </c>
      <c r="O29" t="s">
        <v>26</v>
      </c>
      <c r="P29" t="s">
        <v>26</v>
      </c>
      <c r="Q29" t="s">
        <v>26</v>
      </c>
      <c r="R29" t="s">
        <v>26</v>
      </c>
      <c r="S29">
        <v>7</v>
      </c>
      <c r="T29" t="s">
        <v>26</v>
      </c>
      <c r="U29" t="s">
        <v>26</v>
      </c>
      <c r="V29" t="s">
        <v>26</v>
      </c>
      <c r="W29" t="s">
        <v>26</v>
      </c>
      <c r="X29" t="s">
        <v>26</v>
      </c>
      <c r="Y29" t="s">
        <v>26</v>
      </c>
      <c r="Z29" t="s">
        <v>26</v>
      </c>
      <c r="AA29" t="s">
        <v>26</v>
      </c>
      <c r="AB29" t="s">
        <v>26</v>
      </c>
      <c r="AC29" t="s">
        <v>26</v>
      </c>
      <c r="AD29" t="s">
        <v>26</v>
      </c>
      <c r="AR29">
        <v>5.5</v>
      </c>
      <c r="AU29">
        <v>5.5</v>
      </c>
      <c r="AW29">
        <v>4.5</v>
      </c>
      <c r="BB29">
        <v>5.5</v>
      </c>
      <c r="BK29">
        <v>6</v>
      </c>
      <c r="BO29">
        <v>5.5</v>
      </c>
      <c r="BT29">
        <v>5.5</v>
      </c>
      <c r="BU29">
        <v>6</v>
      </c>
      <c r="BX29">
        <v>6</v>
      </c>
      <c r="CI29">
        <f>COUNT(B29:CF29)</f>
        <v>16</v>
      </c>
      <c r="CJ29" s="18">
        <f>AVERAGE(B29:CF29)</f>
        <v>6.125</v>
      </c>
      <c r="CK29">
        <f>IF(CI29&gt;1,_xlfn.STDEV.S(B29:CF29),"")</f>
        <v>0.84656167328001963</v>
      </c>
      <c r="CL29">
        <v>0</v>
      </c>
      <c r="CM29">
        <f>COUNT(CC29:CF29)</f>
        <v>0</v>
      </c>
      <c r="CN29">
        <f>IF(CL29=0,CM29,0)</f>
        <v>0</v>
      </c>
    </row>
    <row r="30" spans="1:92" x14ac:dyDescent="0.35">
      <c r="A30" t="s">
        <v>7</v>
      </c>
      <c r="B30">
        <v>6</v>
      </c>
      <c r="C30">
        <v>1.5</v>
      </c>
      <c r="D30">
        <v>4.5</v>
      </c>
      <c r="E30">
        <v>4</v>
      </c>
      <c r="F30">
        <v>7.5</v>
      </c>
      <c r="G30">
        <v>5.5</v>
      </c>
      <c r="H30">
        <v>6</v>
      </c>
      <c r="I30">
        <v>4.5</v>
      </c>
      <c r="J30">
        <v>3</v>
      </c>
      <c r="K30">
        <v>5.5</v>
      </c>
      <c r="L30">
        <v>2.5</v>
      </c>
      <c r="M30">
        <v>1.5</v>
      </c>
      <c r="N30" t="s">
        <v>26</v>
      </c>
      <c r="O30" t="s">
        <v>26</v>
      </c>
      <c r="P30" t="s">
        <v>26</v>
      </c>
      <c r="Q30" t="s">
        <v>26</v>
      </c>
      <c r="R30" t="s">
        <v>26</v>
      </c>
      <c r="S30" t="s">
        <v>26</v>
      </c>
      <c r="T30" t="s">
        <v>26</v>
      </c>
      <c r="U30" t="s">
        <v>26</v>
      </c>
      <c r="V30" t="s">
        <v>26</v>
      </c>
      <c r="W30" t="s">
        <v>26</v>
      </c>
      <c r="X30" t="s">
        <v>26</v>
      </c>
      <c r="Y30" t="s">
        <v>26</v>
      </c>
      <c r="Z30" t="s">
        <v>26</v>
      </c>
      <c r="AA30" t="s">
        <v>26</v>
      </c>
      <c r="AB30" t="s">
        <v>26</v>
      </c>
      <c r="AC30" t="s">
        <v>26</v>
      </c>
      <c r="AD30">
        <v>6</v>
      </c>
      <c r="CA30">
        <v>5</v>
      </c>
      <c r="CB30">
        <v>5</v>
      </c>
      <c r="CI30">
        <f>COUNT(B30:CF30)</f>
        <v>15</v>
      </c>
      <c r="CJ30" s="18">
        <f>AVERAGE(B30:CF30)</f>
        <v>4.5333333333333332</v>
      </c>
      <c r="CK30">
        <f>IF(CI30&gt;1,_xlfn.STDEV.S(B30:CF30),"")</f>
        <v>1.7471064513592047</v>
      </c>
      <c r="CL30">
        <v>0</v>
      </c>
      <c r="CM30">
        <f>COUNT(CC30:CF30)</f>
        <v>0</v>
      </c>
      <c r="CN30">
        <f>IF(CL30=0,CM30,0)</f>
        <v>0</v>
      </c>
    </row>
    <row r="31" spans="1:92" x14ac:dyDescent="0.35">
      <c r="A31" t="s">
        <v>63</v>
      </c>
      <c r="B31" t="s">
        <v>26</v>
      </c>
      <c r="C31" t="s">
        <v>26</v>
      </c>
      <c r="D31" t="s">
        <v>26</v>
      </c>
      <c r="E31" t="s">
        <v>26</v>
      </c>
      <c r="F31" t="s">
        <v>26</v>
      </c>
      <c r="G31" t="s">
        <v>26</v>
      </c>
      <c r="H31" t="s">
        <v>26</v>
      </c>
      <c r="I31" t="s">
        <v>26</v>
      </c>
      <c r="J31" t="s">
        <v>26</v>
      </c>
      <c r="K31" t="s">
        <v>26</v>
      </c>
      <c r="L31" t="s">
        <v>26</v>
      </c>
      <c r="M31" t="s">
        <v>26</v>
      </c>
      <c r="N31" t="s">
        <v>26</v>
      </c>
      <c r="O31" t="s">
        <v>26</v>
      </c>
      <c r="P31" t="s">
        <v>26</v>
      </c>
      <c r="Q31" t="s">
        <v>26</v>
      </c>
      <c r="R31" t="s">
        <v>26</v>
      </c>
      <c r="S31">
        <v>4.5</v>
      </c>
      <c r="T31" t="s">
        <v>26</v>
      </c>
      <c r="U31">
        <v>4.5</v>
      </c>
      <c r="V31" t="s">
        <v>26</v>
      </c>
      <c r="W31">
        <v>5.5</v>
      </c>
      <c r="X31" t="s">
        <v>26</v>
      </c>
      <c r="Y31" t="s">
        <v>26</v>
      </c>
      <c r="Z31" t="s">
        <v>26</v>
      </c>
      <c r="AA31" t="s">
        <v>26</v>
      </c>
      <c r="AB31" t="s">
        <v>26</v>
      </c>
      <c r="AC31" t="s">
        <v>26</v>
      </c>
      <c r="AD31" t="s">
        <v>26</v>
      </c>
      <c r="AK31">
        <v>3.5</v>
      </c>
      <c r="AY31">
        <v>4.5</v>
      </c>
      <c r="BI31">
        <v>4.5</v>
      </c>
      <c r="BJ31">
        <v>5.5</v>
      </c>
      <c r="BL31">
        <v>4.5</v>
      </c>
      <c r="BN31">
        <v>4.5</v>
      </c>
      <c r="BP31">
        <v>4.5</v>
      </c>
      <c r="BV31">
        <v>5</v>
      </c>
      <c r="BY31">
        <v>5</v>
      </c>
      <c r="CF31">
        <v>5.5</v>
      </c>
      <c r="CI31">
        <f>COUNT(B31:CF31)</f>
        <v>13</v>
      </c>
      <c r="CJ31" s="18">
        <f>AVERAGE(B31:CF31)</f>
        <v>4.7307692307692308</v>
      </c>
      <c r="CK31">
        <f>IF(CI31&gt;1,_xlfn.STDEV.S(B31:CF31),"")</f>
        <v>0.56330071214910904</v>
      </c>
      <c r="CL31">
        <v>0</v>
      </c>
      <c r="CM31">
        <f>COUNT(CC31:CF31)</f>
        <v>1</v>
      </c>
      <c r="CN31">
        <f>IF(CL31=0,CM31,0)</f>
        <v>1</v>
      </c>
    </row>
    <row r="32" spans="1:92" x14ac:dyDescent="0.35">
      <c r="A32" t="s">
        <v>12</v>
      </c>
      <c r="B32">
        <v>8.5</v>
      </c>
      <c r="C32" t="s">
        <v>26</v>
      </c>
      <c r="D32">
        <v>7.5</v>
      </c>
      <c r="E32">
        <v>7.5</v>
      </c>
      <c r="F32" t="s">
        <v>26</v>
      </c>
      <c r="G32" t="s">
        <v>26</v>
      </c>
      <c r="H32">
        <v>6</v>
      </c>
      <c r="I32">
        <v>7.5</v>
      </c>
      <c r="J32" t="s">
        <v>26</v>
      </c>
      <c r="K32">
        <v>6</v>
      </c>
      <c r="L32">
        <v>7.5</v>
      </c>
      <c r="M32">
        <v>7</v>
      </c>
      <c r="N32">
        <v>6</v>
      </c>
      <c r="O32" t="s">
        <v>26</v>
      </c>
      <c r="P32" t="s">
        <v>26</v>
      </c>
      <c r="Q32" t="s">
        <v>26</v>
      </c>
      <c r="R32">
        <v>9</v>
      </c>
      <c r="S32" t="s">
        <v>26</v>
      </c>
      <c r="T32" t="s">
        <v>26</v>
      </c>
      <c r="U32" t="s">
        <v>26</v>
      </c>
      <c r="V32" t="s">
        <v>26</v>
      </c>
      <c r="W32" t="s">
        <v>26</v>
      </c>
      <c r="X32" t="s">
        <v>26</v>
      </c>
      <c r="Y32" t="s">
        <v>26</v>
      </c>
      <c r="Z32" t="s">
        <v>26</v>
      </c>
      <c r="AA32" t="s">
        <v>26</v>
      </c>
      <c r="AB32" t="s">
        <v>26</v>
      </c>
      <c r="AC32" t="s">
        <v>26</v>
      </c>
      <c r="AD32" t="s">
        <v>26</v>
      </c>
      <c r="AG32">
        <v>6.5</v>
      </c>
      <c r="AN32">
        <v>6</v>
      </c>
      <c r="BB32">
        <v>5</v>
      </c>
      <c r="CI32">
        <f>COUNT(B32:CF32)</f>
        <v>13</v>
      </c>
      <c r="CJ32" s="18">
        <f>AVERAGE(B32:CF32)</f>
        <v>6.9230769230769234</v>
      </c>
      <c r="CK32">
        <f>IF(CI32&gt;1,_xlfn.STDEV.S(B32:CF32),"")</f>
        <v>1.1336914969498575</v>
      </c>
      <c r="CL32">
        <v>0</v>
      </c>
      <c r="CM32">
        <f>COUNT(CC32:CF32)</f>
        <v>0</v>
      </c>
      <c r="CN32">
        <f>IF(CL32=0,CM32,0)</f>
        <v>0</v>
      </c>
    </row>
    <row r="33" spans="1:92" x14ac:dyDescent="0.35">
      <c r="A33" t="s">
        <v>17</v>
      </c>
      <c r="B33" t="s">
        <v>26</v>
      </c>
      <c r="C33">
        <v>5.5</v>
      </c>
      <c r="D33" t="s">
        <v>26</v>
      </c>
      <c r="E33" t="s">
        <v>26</v>
      </c>
      <c r="F33" t="s">
        <v>26</v>
      </c>
      <c r="G33" t="s">
        <v>26</v>
      </c>
      <c r="H33" t="s">
        <v>26</v>
      </c>
      <c r="I33" t="s">
        <v>26</v>
      </c>
      <c r="J33" t="s">
        <v>26</v>
      </c>
      <c r="K33" t="s">
        <v>26</v>
      </c>
      <c r="L33" t="s">
        <v>26</v>
      </c>
      <c r="M33" t="s">
        <v>26</v>
      </c>
      <c r="N33" t="s">
        <v>26</v>
      </c>
      <c r="O33" t="s">
        <v>26</v>
      </c>
      <c r="P33" t="s">
        <v>26</v>
      </c>
      <c r="Q33" t="s">
        <v>26</v>
      </c>
      <c r="R33">
        <v>4.5</v>
      </c>
      <c r="S33" t="s">
        <v>26</v>
      </c>
      <c r="T33" t="s">
        <v>26</v>
      </c>
      <c r="U33" t="s">
        <v>26</v>
      </c>
      <c r="V33" t="s">
        <v>26</v>
      </c>
      <c r="W33" t="s">
        <v>26</v>
      </c>
      <c r="X33" t="s">
        <v>26</v>
      </c>
      <c r="Y33">
        <v>5.5</v>
      </c>
      <c r="Z33">
        <v>5.5</v>
      </c>
      <c r="AA33" t="s">
        <v>26</v>
      </c>
      <c r="AB33">
        <v>5.5</v>
      </c>
      <c r="AC33">
        <v>5.5</v>
      </c>
      <c r="AD33">
        <v>4</v>
      </c>
      <c r="AH33">
        <v>4</v>
      </c>
      <c r="BE33">
        <v>5</v>
      </c>
      <c r="BF33">
        <v>4.5</v>
      </c>
      <c r="BT33">
        <v>5</v>
      </c>
      <c r="CI33">
        <f>COUNT(B33:CF33)</f>
        <v>11</v>
      </c>
      <c r="CJ33" s="18">
        <f>AVERAGE(B33:CF33)</f>
        <v>4.9545454545454541</v>
      </c>
      <c r="CK33">
        <f>IF(CI33&gt;1,_xlfn.STDEV.S(B33:CF33),"")</f>
        <v>0.61051394146839499</v>
      </c>
      <c r="CL33">
        <v>0</v>
      </c>
      <c r="CM33">
        <f>COUNT(CC33:CF33)</f>
        <v>0</v>
      </c>
      <c r="CN33">
        <f>IF(CL33=0,CM33,0)</f>
        <v>0</v>
      </c>
    </row>
    <row r="34" spans="1:92" x14ac:dyDescent="0.35">
      <c r="A34" t="s">
        <v>45</v>
      </c>
      <c r="B34" t="s">
        <v>26</v>
      </c>
      <c r="C34" t="s">
        <v>26</v>
      </c>
      <c r="D34" t="s">
        <v>26</v>
      </c>
      <c r="E34" t="s">
        <v>26</v>
      </c>
      <c r="F34" t="s">
        <v>26</v>
      </c>
      <c r="G34">
        <v>7.5</v>
      </c>
      <c r="H34">
        <v>7.5</v>
      </c>
      <c r="I34" t="s">
        <v>26</v>
      </c>
      <c r="J34">
        <v>8.5</v>
      </c>
      <c r="K34">
        <v>8.5</v>
      </c>
      <c r="L34">
        <v>7.5</v>
      </c>
      <c r="M34">
        <v>7.5</v>
      </c>
      <c r="N34">
        <v>7.5</v>
      </c>
      <c r="O34">
        <v>9</v>
      </c>
      <c r="P34">
        <v>8.5</v>
      </c>
      <c r="Q34" t="s">
        <v>26</v>
      </c>
      <c r="R34" t="s">
        <v>26</v>
      </c>
      <c r="S34" t="s">
        <v>26</v>
      </c>
      <c r="T34" t="s">
        <v>26</v>
      </c>
      <c r="U34" t="s">
        <v>26</v>
      </c>
      <c r="V34" t="s">
        <v>26</v>
      </c>
      <c r="W34" t="s">
        <v>26</v>
      </c>
      <c r="X34" t="s">
        <v>26</v>
      </c>
      <c r="Y34" t="s">
        <v>26</v>
      </c>
      <c r="Z34" t="s">
        <v>26</v>
      </c>
      <c r="AA34" t="s">
        <v>26</v>
      </c>
      <c r="AB34" t="s">
        <v>26</v>
      </c>
      <c r="AC34" t="s">
        <v>26</v>
      </c>
      <c r="AD34" t="s">
        <v>26</v>
      </c>
      <c r="CC34">
        <v>6</v>
      </c>
      <c r="CI34">
        <f>COUNT(B34:CF34)</f>
        <v>10</v>
      </c>
      <c r="CJ34" s="18">
        <f>AVERAGE(B34:CF34)</f>
        <v>7.8</v>
      </c>
      <c r="CK34">
        <f>IF(CI34&gt;1,_xlfn.STDEV.S(B34:CF34),"")</f>
        <v>0.85634883857767674</v>
      </c>
      <c r="CL34">
        <v>0</v>
      </c>
      <c r="CM34">
        <f>COUNT(CC34:CF34)</f>
        <v>1</v>
      </c>
      <c r="CN34">
        <f>IF(CL34=0,CM34,0)</f>
        <v>1</v>
      </c>
    </row>
    <row r="35" spans="1:92" x14ac:dyDescent="0.35">
      <c r="A35" t="s">
        <v>343</v>
      </c>
      <c r="B35" t="s">
        <v>26</v>
      </c>
      <c r="C35" t="s">
        <v>26</v>
      </c>
      <c r="D35" t="s">
        <v>26</v>
      </c>
      <c r="E35" t="s">
        <v>26</v>
      </c>
      <c r="F35" t="s">
        <v>26</v>
      </c>
      <c r="G35" t="s">
        <v>26</v>
      </c>
      <c r="H35" t="s">
        <v>26</v>
      </c>
      <c r="I35" t="s">
        <v>26</v>
      </c>
      <c r="J35">
        <v>2.5</v>
      </c>
      <c r="K35" t="s">
        <v>26</v>
      </c>
      <c r="L35" t="s">
        <v>26</v>
      </c>
      <c r="M35">
        <v>4.5</v>
      </c>
      <c r="N35" t="s">
        <v>26</v>
      </c>
      <c r="O35" t="s">
        <v>26</v>
      </c>
      <c r="P35" t="s">
        <v>26</v>
      </c>
      <c r="Q35" t="s">
        <v>26</v>
      </c>
      <c r="R35" t="s">
        <v>26</v>
      </c>
      <c r="S35" t="s">
        <v>26</v>
      </c>
      <c r="T35" t="s">
        <v>26</v>
      </c>
      <c r="U35" t="s">
        <v>26</v>
      </c>
      <c r="V35" t="s">
        <v>26</v>
      </c>
      <c r="W35" t="s">
        <v>26</v>
      </c>
      <c r="X35" t="s">
        <v>26</v>
      </c>
      <c r="Y35" t="s">
        <v>26</v>
      </c>
      <c r="Z35" t="s">
        <v>26</v>
      </c>
      <c r="AA35" t="s">
        <v>26</v>
      </c>
      <c r="AB35" t="s">
        <v>26</v>
      </c>
      <c r="AC35" t="s">
        <v>26</v>
      </c>
      <c r="AD35" t="s">
        <v>26</v>
      </c>
      <c r="AN35">
        <v>2.5</v>
      </c>
      <c r="BG35">
        <v>5</v>
      </c>
      <c r="BH35">
        <v>4.5</v>
      </c>
      <c r="BI35">
        <v>4.5</v>
      </c>
      <c r="BM35">
        <v>5</v>
      </c>
      <c r="BN35">
        <v>5</v>
      </c>
      <c r="CI35">
        <f>COUNT(B35:CF35)</f>
        <v>8</v>
      </c>
      <c r="CJ35" s="18">
        <f>AVERAGE(B35:CF35)</f>
        <v>4.1875</v>
      </c>
      <c r="CK35">
        <f>IF(CI35&gt;1,_xlfn.STDEV.S(B35:CF35),"")</f>
        <v>1.0669549461635468</v>
      </c>
      <c r="CL35">
        <v>0</v>
      </c>
      <c r="CM35">
        <f>COUNT(CC35:CF35)</f>
        <v>0</v>
      </c>
      <c r="CN35">
        <f>IF(CL35=0,CM35,0)</f>
        <v>0</v>
      </c>
    </row>
    <row r="36" spans="1:92" x14ac:dyDescent="0.35">
      <c r="A36" t="s">
        <v>340</v>
      </c>
      <c r="AJ36">
        <v>5</v>
      </c>
      <c r="AN36">
        <v>5.5</v>
      </c>
      <c r="AO36">
        <v>4.5</v>
      </c>
      <c r="AP36">
        <v>5</v>
      </c>
      <c r="AQ36">
        <v>5.5</v>
      </c>
      <c r="AR36">
        <v>5</v>
      </c>
      <c r="AS36">
        <v>5</v>
      </c>
      <c r="CI36">
        <f>COUNT(B36:CF36)</f>
        <v>7</v>
      </c>
      <c r="CJ36" s="18">
        <f>AVERAGE(B36:CF36)</f>
        <v>5.0714285714285712</v>
      </c>
      <c r="CK36">
        <f>IF(CI36&gt;1,_xlfn.STDEV.S(B36:CF36),"")</f>
        <v>0.34503277967117707</v>
      </c>
      <c r="CL36">
        <v>0</v>
      </c>
      <c r="CM36">
        <f>COUNT(CC36:CF36)</f>
        <v>0</v>
      </c>
      <c r="CN36">
        <f>IF(CL36=0,CM36,0)</f>
        <v>0</v>
      </c>
    </row>
    <row r="37" spans="1:92" x14ac:dyDescent="0.35">
      <c r="A37" t="s">
        <v>376</v>
      </c>
      <c r="BN37">
        <v>5.5</v>
      </c>
      <c r="BO37">
        <v>5</v>
      </c>
      <c r="BP37">
        <v>5</v>
      </c>
      <c r="BQ37">
        <v>5</v>
      </c>
      <c r="BS37">
        <v>5</v>
      </c>
      <c r="BV37">
        <v>5.5</v>
      </c>
      <c r="BW37">
        <v>5</v>
      </c>
      <c r="CI37">
        <f>COUNT(B37:CF37)</f>
        <v>7</v>
      </c>
      <c r="CJ37" s="18">
        <f>AVERAGE(B37:CF37)</f>
        <v>5.1428571428571432</v>
      </c>
      <c r="CK37">
        <f>IF(CI37&gt;1,_xlfn.STDEV.S(B37:CF37),"")</f>
        <v>0.2439750182371333</v>
      </c>
      <c r="CL37">
        <v>0</v>
      </c>
      <c r="CM37">
        <f>COUNT(CC37:CF37)</f>
        <v>0</v>
      </c>
      <c r="CN37">
        <f>IF(CL37=0,CM37,0)</f>
        <v>0</v>
      </c>
    </row>
    <row r="38" spans="1:92" x14ac:dyDescent="0.35">
      <c r="A38" t="s">
        <v>81</v>
      </c>
      <c r="B38" t="s">
        <v>26</v>
      </c>
      <c r="C38" t="s">
        <v>26</v>
      </c>
      <c r="D38" t="s">
        <v>26</v>
      </c>
      <c r="E38" t="s">
        <v>26</v>
      </c>
      <c r="F38" t="s">
        <v>26</v>
      </c>
      <c r="G38" t="s">
        <v>26</v>
      </c>
      <c r="H38" t="s">
        <v>26</v>
      </c>
      <c r="I38" t="s">
        <v>26</v>
      </c>
      <c r="J38" t="s">
        <v>26</v>
      </c>
      <c r="K38" t="s">
        <v>26</v>
      </c>
      <c r="L38" t="s">
        <v>26</v>
      </c>
      <c r="M38" t="s">
        <v>26</v>
      </c>
      <c r="N38" t="s">
        <v>26</v>
      </c>
      <c r="O38" t="s">
        <v>26</v>
      </c>
      <c r="P38" t="s">
        <v>26</v>
      </c>
      <c r="Q38" t="s">
        <v>26</v>
      </c>
      <c r="R38" t="s">
        <v>26</v>
      </c>
      <c r="S38" t="s">
        <v>26</v>
      </c>
      <c r="T38" t="s">
        <v>26</v>
      </c>
      <c r="U38" t="s">
        <v>26</v>
      </c>
      <c r="V38" t="s">
        <v>26</v>
      </c>
      <c r="W38" t="s">
        <v>26</v>
      </c>
      <c r="X38" t="s">
        <v>26</v>
      </c>
      <c r="Y38" t="s">
        <v>26</v>
      </c>
      <c r="Z38">
        <v>7</v>
      </c>
      <c r="AA38" t="s">
        <v>26</v>
      </c>
      <c r="AB38" t="s">
        <v>26</v>
      </c>
      <c r="AC38" t="s">
        <v>26</v>
      </c>
      <c r="AD38">
        <v>7.5</v>
      </c>
      <c r="AS38">
        <v>5</v>
      </c>
      <c r="BZ38">
        <v>5.5</v>
      </c>
      <c r="CE38">
        <v>6.5</v>
      </c>
      <c r="CG38">
        <v>6.5</v>
      </c>
      <c r="CI38">
        <f>COUNT(B38:CF38)</f>
        <v>5</v>
      </c>
      <c r="CJ38" s="18">
        <f>AVERAGE(B38:CF38)</f>
        <v>6.3</v>
      </c>
      <c r="CK38">
        <f>IF(CI38&gt;1,_xlfn.STDEV.S(B38:CF38),"")</f>
        <v>1.0368220676663875</v>
      </c>
      <c r="CL38">
        <v>0</v>
      </c>
      <c r="CM38">
        <f>COUNT(CC38:CF38)</f>
        <v>1</v>
      </c>
      <c r="CN38">
        <f>IF(CL38=0,CM38,0)</f>
        <v>1</v>
      </c>
    </row>
    <row r="39" spans="1:92" x14ac:dyDescent="0.35">
      <c r="A39" t="s">
        <v>378</v>
      </c>
      <c r="BW39">
        <v>5</v>
      </c>
      <c r="BY39">
        <v>4.5</v>
      </c>
      <c r="BZ39">
        <v>4.5</v>
      </c>
      <c r="CE39">
        <v>5.5</v>
      </c>
      <c r="CG39">
        <v>4.5</v>
      </c>
      <c r="CI39">
        <f>COUNT(B39:CF39)</f>
        <v>4</v>
      </c>
      <c r="CJ39" s="18">
        <f>AVERAGE(B39:CF39)</f>
        <v>4.875</v>
      </c>
      <c r="CK39">
        <f>IF(CI39&gt;1,_xlfn.STDEV.S(B39:CF39),"")</f>
        <v>0.47871355387816905</v>
      </c>
      <c r="CL39">
        <v>0</v>
      </c>
      <c r="CM39">
        <f>COUNT(CC39:CF39)</f>
        <v>1</v>
      </c>
      <c r="CN39">
        <f>IF(CL39=0,CM39,0)</f>
        <v>1</v>
      </c>
    </row>
    <row r="40" spans="1:92" x14ac:dyDescent="0.35">
      <c r="A40" t="s">
        <v>24</v>
      </c>
      <c r="B40" t="s">
        <v>26</v>
      </c>
      <c r="C40" t="s">
        <v>26</v>
      </c>
      <c r="D40" t="s">
        <v>26</v>
      </c>
      <c r="E40">
        <v>7.5</v>
      </c>
      <c r="F40" t="s">
        <v>26</v>
      </c>
      <c r="G40" t="s">
        <v>26</v>
      </c>
      <c r="H40" t="s">
        <v>26</v>
      </c>
      <c r="I40" t="s">
        <v>26</v>
      </c>
      <c r="J40">
        <v>8.5</v>
      </c>
      <c r="K40" t="s">
        <v>26</v>
      </c>
      <c r="L40">
        <v>7.5</v>
      </c>
      <c r="M40" t="s">
        <v>26</v>
      </c>
      <c r="N40">
        <v>7</v>
      </c>
      <c r="O40" t="s">
        <v>26</v>
      </c>
      <c r="P40" t="s">
        <v>26</v>
      </c>
      <c r="Q40" t="s">
        <v>26</v>
      </c>
      <c r="R40" t="s">
        <v>26</v>
      </c>
      <c r="S40" t="s">
        <v>26</v>
      </c>
      <c r="T40" t="s">
        <v>26</v>
      </c>
      <c r="U40" t="s">
        <v>26</v>
      </c>
      <c r="V40" t="s">
        <v>26</v>
      </c>
      <c r="W40" t="s">
        <v>26</v>
      </c>
      <c r="X40" t="s">
        <v>26</v>
      </c>
      <c r="Y40" t="s">
        <v>26</v>
      </c>
      <c r="Z40" t="s">
        <v>26</v>
      </c>
      <c r="AA40" t="s">
        <v>26</v>
      </c>
      <c r="AB40" t="s">
        <v>26</v>
      </c>
      <c r="AC40" t="s">
        <v>26</v>
      </c>
      <c r="AD40" t="s">
        <v>26</v>
      </c>
      <c r="CI40">
        <f>COUNT(B40:CF40)</f>
        <v>4</v>
      </c>
      <c r="CJ40" s="18">
        <f>AVERAGE(B40:CF40)</f>
        <v>7.625</v>
      </c>
      <c r="CK40">
        <f>IF(CI40&gt;1,_xlfn.STDEV.S(B40:CF40),"")</f>
        <v>0.62915286960589578</v>
      </c>
      <c r="CL40">
        <v>0</v>
      </c>
      <c r="CM40">
        <f>COUNT(CC40:CF40)</f>
        <v>0</v>
      </c>
      <c r="CN40">
        <f>IF(CL40=0,CM40,0)</f>
        <v>0</v>
      </c>
    </row>
    <row r="41" spans="1:92" x14ac:dyDescent="0.35">
      <c r="A41" t="s">
        <v>61</v>
      </c>
      <c r="B41" t="s">
        <v>26</v>
      </c>
      <c r="C41" t="s">
        <v>26</v>
      </c>
      <c r="D41" t="s">
        <v>26</v>
      </c>
      <c r="E41" t="s">
        <v>26</v>
      </c>
      <c r="F41" t="s">
        <v>26</v>
      </c>
      <c r="G41" t="s">
        <v>26</v>
      </c>
      <c r="H41" t="s">
        <v>26</v>
      </c>
      <c r="I41" t="s">
        <v>26</v>
      </c>
      <c r="J41" t="s">
        <v>26</v>
      </c>
      <c r="K41" t="s">
        <v>26</v>
      </c>
      <c r="L41" t="s">
        <v>26</v>
      </c>
      <c r="M41" t="s">
        <v>26</v>
      </c>
      <c r="N41" t="s">
        <v>26</v>
      </c>
      <c r="O41" t="s">
        <v>26</v>
      </c>
      <c r="P41" t="s">
        <v>26</v>
      </c>
      <c r="Q41" t="s">
        <v>26</v>
      </c>
      <c r="R41">
        <v>7</v>
      </c>
      <c r="S41">
        <v>5.5</v>
      </c>
      <c r="T41">
        <v>5.5</v>
      </c>
      <c r="U41" t="s">
        <v>26</v>
      </c>
      <c r="V41" t="s">
        <v>26</v>
      </c>
      <c r="W41">
        <v>6</v>
      </c>
      <c r="X41" t="s">
        <v>26</v>
      </c>
      <c r="Y41" t="s">
        <v>26</v>
      </c>
      <c r="Z41" t="s">
        <v>26</v>
      </c>
      <c r="AA41" t="s">
        <v>26</v>
      </c>
      <c r="AB41" t="s">
        <v>26</v>
      </c>
      <c r="AC41" t="s">
        <v>26</v>
      </c>
      <c r="AD41" t="s">
        <v>26</v>
      </c>
      <c r="CI41">
        <f>COUNT(B41:CF41)</f>
        <v>4</v>
      </c>
      <c r="CJ41" s="18">
        <f>AVERAGE(B41:CF41)</f>
        <v>6</v>
      </c>
      <c r="CK41">
        <f>IF(CI41&gt;1,_xlfn.STDEV.S(B41:CF41),"")</f>
        <v>0.70710678118654757</v>
      </c>
      <c r="CL41">
        <v>0</v>
      </c>
      <c r="CM41">
        <f>COUNT(CC41:CF41)</f>
        <v>0</v>
      </c>
      <c r="CN41">
        <f>IF(CL41=0,CM41,0)</f>
        <v>0</v>
      </c>
    </row>
    <row r="42" spans="1:92" x14ac:dyDescent="0.35">
      <c r="A42" t="s">
        <v>54</v>
      </c>
      <c r="B42" t="s">
        <v>26</v>
      </c>
      <c r="C42" t="s">
        <v>26</v>
      </c>
      <c r="D42" t="s">
        <v>26</v>
      </c>
      <c r="E42" t="s">
        <v>26</v>
      </c>
      <c r="F42" t="s">
        <v>26</v>
      </c>
      <c r="G42" t="s">
        <v>26</v>
      </c>
      <c r="H42" t="s">
        <v>26</v>
      </c>
      <c r="I42" t="s">
        <v>26</v>
      </c>
      <c r="J42" t="s">
        <v>26</v>
      </c>
      <c r="K42" t="s">
        <v>26</v>
      </c>
      <c r="L42" t="s">
        <v>26</v>
      </c>
      <c r="M42">
        <v>6</v>
      </c>
      <c r="N42" t="s">
        <v>26</v>
      </c>
      <c r="O42" t="s">
        <v>26</v>
      </c>
      <c r="P42" t="s">
        <v>26</v>
      </c>
      <c r="Q42" t="s">
        <v>26</v>
      </c>
      <c r="R42" t="s">
        <v>26</v>
      </c>
      <c r="S42" t="s">
        <v>26</v>
      </c>
      <c r="T42" t="s">
        <v>26</v>
      </c>
      <c r="U42" t="s">
        <v>26</v>
      </c>
      <c r="V42">
        <v>7</v>
      </c>
      <c r="W42">
        <v>7.5</v>
      </c>
      <c r="X42" t="s">
        <v>26</v>
      </c>
      <c r="Y42" t="s">
        <v>26</v>
      </c>
      <c r="Z42" t="s">
        <v>26</v>
      </c>
      <c r="AA42" t="s">
        <v>26</v>
      </c>
      <c r="AB42" t="s">
        <v>26</v>
      </c>
      <c r="AC42" t="s">
        <v>26</v>
      </c>
      <c r="AD42" t="s">
        <v>26</v>
      </c>
      <c r="AO42">
        <v>5.5</v>
      </c>
      <c r="CI42">
        <f>COUNT(B42:CF42)</f>
        <v>4</v>
      </c>
      <c r="CJ42" s="18">
        <f>AVERAGE(B42:CF42)</f>
        <v>6.5</v>
      </c>
      <c r="CK42">
        <f>IF(CI42&gt;1,_xlfn.STDEV.S(B42:CF42),"")</f>
        <v>0.9128709291752769</v>
      </c>
      <c r="CL42">
        <v>0</v>
      </c>
      <c r="CM42">
        <f>COUNT(CC42:CF42)</f>
        <v>0</v>
      </c>
      <c r="CN42">
        <f>IF(CL42=0,CM42,0)</f>
        <v>0</v>
      </c>
    </row>
    <row r="43" spans="1:92" x14ac:dyDescent="0.35">
      <c r="A43" t="s">
        <v>21</v>
      </c>
      <c r="B43" t="s">
        <v>26</v>
      </c>
      <c r="C43" t="s">
        <v>26</v>
      </c>
      <c r="D43">
        <v>3</v>
      </c>
      <c r="E43" t="s">
        <v>26</v>
      </c>
      <c r="F43" t="s">
        <v>26</v>
      </c>
      <c r="G43">
        <v>1</v>
      </c>
      <c r="H43" t="s">
        <v>26</v>
      </c>
      <c r="I43" t="s">
        <v>26</v>
      </c>
      <c r="J43" t="s">
        <v>26</v>
      </c>
      <c r="K43" t="s">
        <v>26</v>
      </c>
      <c r="L43" t="s">
        <v>26</v>
      </c>
      <c r="M43" t="s">
        <v>26</v>
      </c>
      <c r="N43" t="s">
        <v>26</v>
      </c>
      <c r="O43" t="s">
        <v>26</v>
      </c>
      <c r="P43" t="s">
        <v>26</v>
      </c>
      <c r="Q43" t="s">
        <v>26</v>
      </c>
      <c r="R43" t="s">
        <v>26</v>
      </c>
      <c r="S43" t="s">
        <v>26</v>
      </c>
      <c r="T43" t="s">
        <v>26</v>
      </c>
      <c r="U43" t="s">
        <v>26</v>
      </c>
      <c r="V43" t="s">
        <v>26</v>
      </c>
      <c r="W43" t="s">
        <v>26</v>
      </c>
      <c r="X43" t="s">
        <v>26</v>
      </c>
      <c r="Y43" t="s">
        <v>26</v>
      </c>
      <c r="Z43" t="s">
        <v>26</v>
      </c>
      <c r="AA43" t="s">
        <v>26</v>
      </c>
      <c r="AB43" t="s">
        <v>26</v>
      </c>
      <c r="AC43" t="s">
        <v>26</v>
      </c>
      <c r="AD43" t="s">
        <v>26</v>
      </c>
      <c r="AE43">
        <v>1.5</v>
      </c>
      <c r="AU43">
        <v>4</v>
      </c>
      <c r="CI43">
        <f>COUNT(B43:CF43)</f>
        <v>4</v>
      </c>
      <c r="CJ43" s="18">
        <f>AVERAGE(B43:CF43)</f>
        <v>2.375</v>
      </c>
      <c r="CK43">
        <f>IF(CI43&gt;1,_xlfn.STDEV.S(B43:CF43),"")</f>
        <v>1.3768926368215255</v>
      </c>
      <c r="CL43">
        <v>0</v>
      </c>
      <c r="CM43">
        <f>COUNT(CC43:CF43)</f>
        <v>0</v>
      </c>
      <c r="CN43">
        <f>IF(CL43=0,CM43,0)</f>
        <v>0</v>
      </c>
    </row>
    <row r="44" spans="1:92" x14ac:dyDescent="0.35">
      <c r="A44" t="s">
        <v>344</v>
      </c>
      <c r="AJ44">
        <v>4.5</v>
      </c>
      <c r="AQ44">
        <v>3.5</v>
      </c>
      <c r="AR44">
        <v>3.5</v>
      </c>
      <c r="AY44">
        <v>5.5</v>
      </c>
      <c r="CI44">
        <f>COUNT(B44:CF44)</f>
        <v>4</v>
      </c>
      <c r="CJ44" s="18">
        <f>AVERAGE(B44:CF44)</f>
        <v>4.25</v>
      </c>
      <c r="CK44">
        <f>IF(CI44&gt;1,_xlfn.STDEV.S(B44:CF44),"")</f>
        <v>0.9574271077563381</v>
      </c>
      <c r="CL44">
        <v>0</v>
      </c>
      <c r="CM44">
        <f>COUNT(CC44:CF44)</f>
        <v>0</v>
      </c>
      <c r="CN44">
        <f>IF(CL44=0,CM44,0)</f>
        <v>0</v>
      </c>
    </row>
    <row r="45" spans="1:92" x14ac:dyDescent="0.35">
      <c r="A45" t="s">
        <v>361</v>
      </c>
      <c r="AW45">
        <v>5</v>
      </c>
      <c r="BF45">
        <v>5</v>
      </c>
      <c r="BN45">
        <v>6</v>
      </c>
      <c r="BY45">
        <v>6</v>
      </c>
      <c r="CI45">
        <f>COUNT(B45:CF45)</f>
        <v>4</v>
      </c>
      <c r="CJ45" s="18">
        <f>AVERAGE(B45:CF45)</f>
        <v>5.5</v>
      </c>
      <c r="CK45">
        <f>IF(CI45&gt;1,_xlfn.STDEV.S(B45:CF45),"")</f>
        <v>0.57735026918962573</v>
      </c>
      <c r="CL45">
        <v>0</v>
      </c>
      <c r="CM45">
        <f>COUNT(CC45:CF45)</f>
        <v>0</v>
      </c>
      <c r="CN45">
        <f>IF(CL45=0,CM45,0)</f>
        <v>0</v>
      </c>
    </row>
    <row r="46" spans="1:92" x14ac:dyDescent="0.35">
      <c r="A46" t="s">
        <v>43</v>
      </c>
      <c r="B46" t="s">
        <v>26</v>
      </c>
      <c r="C46">
        <v>1.5</v>
      </c>
      <c r="D46" t="s">
        <v>26</v>
      </c>
      <c r="E46" t="s">
        <v>26</v>
      </c>
      <c r="F46" t="s">
        <v>26</v>
      </c>
      <c r="G46" t="s">
        <v>26</v>
      </c>
      <c r="H46" t="s">
        <v>26</v>
      </c>
      <c r="I46" t="s">
        <v>26</v>
      </c>
      <c r="J46" t="s">
        <v>26</v>
      </c>
      <c r="K46" t="s">
        <v>26</v>
      </c>
      <c r="L46" t="s">
        <v>26</v>
      </c>
      <c r="M46" t="s">
        <v>26</v>
      </c>
      <c r="N46" t="s">
        <v>26</v>
      </c>
      <c r="O46" t="s">
        <v>26</v>
      </c>
      <c r="P46" t="s">
        <v>26</v>
      </c>
      <c r="Q46" t="s">
        <v>26</v>
      </c>
      <c r="R46">
        <v>2.5</v>
      </c>
      <c r="S46" t="s">
        <v>26</v>
      </c>
      <c r="T46" t="s">
        <v>26</v>
      </c>
      <c r="U46" t="s">
        <v>26</v>
      </c>
      <c r="V46" t="s">
        <v>26</v>
      </c>
      <c r="W46" t="s">
        <v>26</v>
      </c>
      <c r="X46" t="s">
        <v>26</v>
      </c>
      <c r="Y46" t="s">
        <v>26</v>
      </c>
      <c r="Z46" t="s">
        <v>26</v>
      </c>
      <c r="AA46" t="s">
        <v>26</v>
      </c>
      <c r="AB46" t="s">
        <v>26</v>
      </c>
      <c r="AC46" t="s">
        <v>26</v>
      </c>
      <c r="AD46" t="s">
        <v>26</v>
      </c>
      <c r="BJ46">
        <v>5</v>
      </c>
      <c r="BT46">
        <v>4.5</v>
      </c>
      <c r="CI46">
        <f>COUNT(B46:CF46)</f>
        <v>4</v>
      </c>
      <c r="CJ46" s="18">
        <f>AVERAGE(B46:CF46)</f>
        <v>3.375</v>
      </c>
      <c r="CK46">
        <f>IF(CI46&gt;1,_xlfn.STDEV.S(B46:CF46),"")</f>
        <v>1.6520189667999174</v>
      </c>
      <c r="CL46">
        <v>0</v>
      </c>
      <c r="CM46">
        <f>COUNT(CC46:CF46)</f>
        <v>0</v>
      </c>
      <c r="CN46">
        <f>IF(CL46=0,CM46,0)</f>
        <v>0</v>
      </c>
    </row>
    <row r="47" spans="1:92" x14ac:dyDescent="0.35">
      <c r="A47" t="s">
        <v>60</v>
      </c>
      <c r="B47" t="s">
        <v>26</v>
      </c>
      <c r="C47" t="s">
        <v>26</v>
      </c>
      <c r="D47" t="s">
        <v>26</v>
      </c>
      <c r="E47" t="s">
        <v>26</v>
      </c>
      <c r="F47" t="s">
        <v>26</v>
      </c>
      <c r="G47" t="s">
        <v>26</v>
      </c>
      <c r="H47" t="s">
        <v>26</v>
      </c>
      <c r="I47" t="s">
        <v>26</v>
      </c>
      <c r="J47" t="s">
        <v>26</v>
      </c>
      <c r="K47" t="s">
        <v>26</v>
      </c>
      <c r="L47" t="s">
        <v>26</v>
      </c>
      <c r="M47" t="s">
        <v>26</v>
      </c>
      <c r="N47" t="s">
        <v>26</v>
      </c>
      <c r="O47" t="s">
        <v>26</v>
      </c>
      <c r="P47" t="s">
        <v>26</v>
      </c>
      <c r="Q47" t="s">
        <v>26</v>
      </c>
      <c r="R47">
        <v>4.5</v>
      </c>
      <c r="S47" t="s">
        <v>26</v>
      </c>
      <c r="T47">
        <v>4</v>
      </c>
      <c r="U47">
        <v>4</v>
      </c>
      <c r="V47" t="s">
        <v>26</v>
      </c>
      <c r="W47" t="s">
        <v>26</v>
      </c>
      <c r="X47" t="s">
        <v>26</v>
      </c>
      <c r="Y47" t="s">
        <v>26</v>
      </c>
      <c r="Z47" t="s">
        <v>26</v>
      </c>
      <c r="AA47" t="s">
        <v>26</v>
      </c>
      <c r="AB47" t="s">
        <v>26</v>
      </c>
      <c r="AC47" t="s">
        <v>26</v>
      </c>
      <c r="AD47" t="s">
        <v>26</v>
      </c>
      <c r="BY47">
        <v>4</v>
      </c>
      <c r="CI47">
        <f>COUNT(B47:CF47)</f>
        <v>4</v>
      </c>
      <c r="CJ47" s="18">
        <f>AVERAGE(B47:CF47)</f>
        <v>4.125</v>
      </c>
      <c r="CK47">
        <f>IF(CI47&gt;1,_xlfn.STDEV.S(B47:CF47),"")</f>
        <v>0.25</v>
      </c>
      <c r="CL47">
        <v>0</v>
      </c>
      <c r="CM47">
        <f>COUNT(CC47:CF47)</f>
        <v>0</v>
      </c>
      <c r="CN47">
        <f>IF(CL47=0,CM47,0)</f>
        <v>0</v>
      </c>
    </row>
    <row r="48" spans="1:92" x14ac:dyDescent="0.35">
      <c r="A48" t="s">
        <v>18</v>
      </c>
      <c r="B48" t="s">
        <v>26</v>
      </c>
      <c r="C48">
        <v>4</v>
      </c>
      <c r="D48" t="s">
        <v>26</v>
      </c>
      <c r="E48" t="s">
        <v>26</v>
      </c>
      <c r="F48" t="s">
        <v>26</v>
      </c>
      <c r="G48" t="s">
        <v>26</v>
      </c>
      <c r="H48" t="s">
        <v>26</v>
      </c>
      <c r="I48" t="s">
        <v>26</v>
      </c>
      <c r="J48" t="s">
        <v>26</v>
      </c>
      <c r="K48" t="s">
        <v>26</v>
      </c>
      <c r="L48" t="s">
        <v>26</v>
      </c>
      <c r="M48" t="s">
        <v>26</v>
      </c>
      <c r="N48" t="s">
        <v>26</v>
      </c>
      <c r="O48" t="s">
        <v>26</v>
      </c>
      <c r="P48" t="s">
        <v>26</v>
      </c>
      <c r="Q48">
        <v>6</v>
      </c>
      <c r="R48">
        <v>6</v>
      </c>
      <c r="S48" t="s">
        <v>26</v>
      </c>
      <c r="T48" t="s">
        <v>26</v>
      </c>
      <c r="U48" t="s">
        <v>26</v>
      </c>
      <c r="V48" t="s">
        <v>26</v>
      </c>
      <c r="W48" t="s">
        <v>26</v>
      </c>
      <c r="X48" t="s">
        <v>26</v>
      </c>
      <c r="Y48" t="s">
        <v>26</v>
      </c>
      <c r="Z48" t="s">
        <v>26</v>
      </c>
      <c r="AA48" t="s">
        <v>26</v>
      </c>
      <c r="AB48" t="s">
        <v>26</v>
      </c>
      <c r="AC48" t="s">
        <v>26</v>
      </c>
      <c r="AD48" t="s">
        <v>26</v>
      </c>
      <c r="CI48">
        <f>COUNT(B48:CF48)</f>
        <v>3</v>
      </c>
      <c r="CJ48" s="18">
        <f>AVERAGE(B48:CF48)</f>
        <v>5.333333333333333</v>
      </c>
      <c r="CK48">
        <f>IF(CI48&gt;1,_xlfn.STDEV.S(B48:CF48),"")</f>
        <v>1.1547005383792526</v>
      </c>
      <c r="CL48">
        <v>0</v>
      </c>
      <c r="CM48">
        <f>COUNT(CC48:CF48)</f>
        <v>0</v>
      </c>
      <c r="CN48">
        <f>IF(CL48=0,CM48,0)</f>
        <v>0</v>
      </c>
    </row>
    <row r="49" spans="1:92" x14ac:dyDescent="0.35">
      <c r="A49" t="s">
        <v>85</v>
      </c>
      <c r="B49" t="s">
        <v>26</v>
      </c>
      <c r="C49" t="s">
        <v>26</v>
      </c>
      <c r="D49" t="s">
        <v>26</v>
      </c>
      <c r="E49" t="s">
        <v>26</v>
      </c>
      <c r="F49" t="s">
        <v>26</v>
      </c>
      <c r="G49" t="s">
        <v>26</v>
      </c>
      <c r="H49" t="s">
        <v>26</v>
      </c>
      <c r="I49" t="s">
        <v>26</v>
      </c>
      <c r="J49" t="s">
        <v>26</v>
      </c>
      <c r="K49" t="s">
        <v>26</v>
      </c>
      <c r="L49" t="s">
        <v>26</v>
      </c>
      <c r="M49" t="s">
        <v>26</v>
      </c>
      <c r="N49" t="s">
        <v>26</v>
      </c>
      <c r="O49" t="s">
        <v>26</v>
      </c>
      <c r="P49" t="s">
        <v>26</v>
      </c>
      <c r="Q49" t="s">
        <v>26</v>
      </c>
      <c r="R49" t="s">
        <v>26</v>
      </c>
      <c r="S49" t="s">
        <v>26</v>
      </c>
      <c r="T49" t="s">
        <v>26</v>
      </c>
      <c r="U49" t="s">
        <v>26</v>
      </c>
      <c r="V49" t="s">
        <v>26</v>
      </c>
      <c r="W49" t="s">
        <v>26</v>
      </c>
      <c r="X49" t="s">
        <v>26</v>
      </c>
      <c r="Y49" t="s">
        <v>26</v>
      </c>
      <c r="Z49" t="s">
        <v>26</v>
      </c>
      <c r="AA49" t="s">
        <v>26</v>
      </c>
      <c r="AB49" t="s">
        <v>26</v>
      </c>
      <c r="AC49" t="s">
        <v>26</v>
      </c>
      <c r="AD49">
        <v>7</v>
      </c>
      <c r="AE49">
        <v>7</v>
      </c>
      <c r="AF49">
        <v>9</v>
      </c>
      <c r="CI49">
        <f>COUNT(B49:CF49)</f>
        <v>3</v>
      </c>
      <c r="CJ49" s="18">
        <f>AVERAGE(B49:CF49)</f>
        <v>7.666666666666667</v>
      </c>
      <c r="CK49">
        <f>IF(CI49&gt;1,_xlfn.STDEV.S(B49:CF49),"")</f>
        <v>1.1547005383792495</v>
      </c>
      <c r="CL49">
        <v>0</v>
      </c>
      <c r="CM49">
        <f>COUNT(CC49:CF49)</f>
        <v>0</v>
      </c>
      <c r="CN49">
        <f>IF(CL49=0,CM49,0)</f>
        <v>0</v>
      </c>
    </row>
    <row r="50" spans="1:92" x14ac:dyDescent="0.35">
      <c r="A50" t="s">
        <v>49</v>
      </c>
      <c r="B50" t="s">
        <v>26</v>
      </c>
      <c r="C50" t="s">
        <v>26</v>
      </c>
      <c r="D50" t="s">
        <v>26</v>
      </c>
      <c r="E50" t="s">
        <v>26</v>
      </c>
      <c r="F50" t="s">
        <v>26</v>
      </c>
      <c r="G50" t="s">
        <v>26</v>
      </c>
      <c r="H50" t="s">
        <v>26</v>
      </c>
      <c r="I50">
        <v>5.5</v>
      </c>
      <c r="J50" t="s">
        <v>26</v>
      </c>
      <c r="K50" t="s">
        <v>26</v>
      </c>
      <c r="L50" t="s">
        <v>26</v>
      </c>
      <c r="M50" t="s">
        <v>26</v>
      </c>
      <c r="N50" t="s">
        <v>26</v>
      </c>
      <c r="O50" t="s">
        <v>26</v>
      </c>
      <c r="P50" t="s">
        <v>26</v>
      </c>
      <c r="Q50" t="s">
        <v>26</v>
      </c>
      <c r="R50" t="s">
        <v>26</v>
      </c>
      <c r="S50" t="s">
        <v>26</v>
      </c>
      <c r="T50" t="s">
        <v>26</v>
      </c>
      <c r="U50" t="s">
        <v>26</v>
      </c>
      <c r="V50" t="s">
        <v>26</v>
      </c>
      <c r="W50" t="s">
        <v>26</v>
      </c>
      <c r="X50" t="s">
        <v>26</v>
      </c>
      <c r="Y50" t="s">
        <v>26</v>
      </c>
      <c r="Z50">
        <v>5.5</v>
      </c>
      <c r="AA50" t="s">
        <v>26</v>
      </c>
      <c r="AB50" t="s">
        <v>26</v>
      </c>
      <c r="AC50" t="s">
        <v>26</v>
      </c>
      <c r="AD50" t="s">
        <v>26</v>
      </c>
      <c r="AG50">
        <v>2.5</v>
      </c>
      <c r="CI50">
        <f>COUNT(B50:CF50)</f>
        <v>3</v>
      </c>
      <c r="CJ50" s="18">
        <f>AVERAGE(B50:CF50)</f>
        <v>4.5</v>
      </c>
      <c r="CK50">
        <f>IF(CI50&gt;1,_xlfn.STDEV.S(B50:CF50),"")</f>
        <v>1.7320508075688772</v>
      </c>
      <c r="CL50">
        <v>0</v>
      </c>
      <c r="CM50">
        <f>COUNT(CC50:CF50)</f>
        <v>0</v>
      </c>
      <c r="CN50">
        <f>IF(CL50=0,CM50,0)</f>
        <v>0</v>
      </c>
    </row>
    <row r="51" spans="1:92" x14ac:dyDescent="0.35">
      <c r="A51" t="s">
        <v>362</v>
      </c>
      <c r="AW51">
        <v>4.5</v>
      </c>
      <c r="CD51">
        <v>5.5</v>
      </c>
      <c r="CI51">
        <f>COUNT(B51:CF51)</f>
        <v>2</v>
      </c>
      <c r="CJ51" s="18">
        <f>AVERAGE(B51:CF51)</f>
        <v>5</v>
      </c>
      <c r="CK51">
        <f>IF(CI51&gt;1,_xlfn.STDEV.S(B51:CF51),"")</f>
        <v>0.70710678118654757</v>
      </c>
      <c r="CL51">
        <v>0</v>
      </c>
      <c r="CM51">
        <f>COUNT(CC51:CF51)</f>
        <v>1</v>
      </c>
      <c r="CN51">
        <f>IF(CL51=0,CM51,0)</f>
        <v>1</v>
      </c>
    </row>
    <row r="52" spans="1:92" x14ac:dyDescent="0.35">
      <c r="A52" t="s">
        <v>364</v>
      </c>
      <c r="BA52">
        <v>5.5</v>
      </c>
      <c r="BJ52">
        <v>5.5</v>
      </c>
      <c r="CI52">
        <f>COUNT(B52:CF52)</f>
        <v>2</v>
      </c>
      <c r="CJ52" s="18">
        <f>AVERAGE(B52:CF52)</f>
        <v>5.5</v>
      </c>
      <c r="CK52">
        <f>IF(CI52&gt;1,_xlfn.STDEV.S(B52:CF52),"")</f>
        <v>0</v>
      </c>
      <c r="CL52">
        <v>0</v>
      </c>
      <c r="CM52">
        <f>COUNT(CC52:CF52)</f>
        <v>0</v>
      </c>
      <c r="CN52">
        <f>IF(CL52=0,CM52,0)</f>
        <v>0</v>
      </c>
    </row>
    <row r="53" spans="1:92" x14ac:dyDescent="0.35">
      <c r="A53" t="s">
        <v>53</v>
      </c>
      <c r="B53" t="s">
        <v>26</v>
      </c>
      <c r="C53" t="s">
        <v>26</v>
      </c>
      <c r="D53" t="s">
        <v>26</v>
      </c>
      <c r="E53" t="s">
        <v>26</v>
      </c>
      <c r="F53" t="s">
        <v>26</v>
      </c>
      <c r="G53" t="s">
        <v>26</v>
      </c>
      <c r="H53" t="s">
        <v>26</v>
      </c>
      <c r="I53" t="s">
        <v>26</v>
      </c>
      <c r="J53" t="s">
        <v>26</v>
      </c>
      <c r="K53" t="s">
        <v>26</v>
      </c>
      <c r="L53">
        <v>5.5</v>
      </c>
      <c r="M53" t="s">
        <v>26</v>
      </c>
      <c r="N53" t="s">
        <v>26</v>
      </c>
      <c r="O53" t="s">
        <v>26</v>
      </c>
      <c r="P53" t="s">
        <v>26</v>
      </c>
      <c r="Q53" t="s">
        <v>26</v>
      </c>
      <c r="R53" t="s">
        <v>26</v>
      </c>
      <c r="S53" t="s">
        <v>26</v>
      </c>
      <c r="T53" t="s">
        <v>26</v>
      </c>
      <c r="U53" t="s">
        <v>26</v>
      </c>
      <c r="V53" t="s">
        <v>26</v>
      </c>
      <c r="W53" t="s">
        <v>26</v>
      </c>
      <c r="X53" t="s">
        <v>26</v>
      </c>
      <c r="Y53" t="s">
        <v>26</v>
      </c>
      <c r="Z53" t="s">
        <v>26</v>
      </c>
      <c r="AA53" t="s">
        <v>26</v>
      </c>
      <c r="AB53" t="s">
        <v>26</v>
      </c>
      <c r="AC53" t="s">
        <v>26</v>
      </c>
      <c r="AD53" t="s">
        <v>26</v>
      </c>
      <c r="AG53">
        <v>5</v>
      </c>
      <c r="CI53">
        <f>COUNT(B53:CF53)</f>
        <v>2</v>
      </c>
      <c r="CJ53" s="18">
        <f>AVERAGE(B53:CF53)</f>
        <v>5.25</v>
      </c>
      <c r="CK53">
        <f>IF(CI53&gt;1,_xlfn.STDEV.S(B53:CF53),"")</f>
        <v>0.35355339059327379</v>
      </c>
      <c r="CL53">
        <v>0</v>
      </c>
      <c r="CM53">
        <f>COUNT(CC53:CF53)</f>
        <v>0</v>
      </c>
      <c r="CN53">
        <f>IF(CL53=0,CM53,0)</f>
        <v>0</v>
      </c>
    </row>
    <row r="54" spans="1:92" x14ac:dyDescent="0.35">
      <c r="A54" t="s">
        <v>339</v>
      </c>
      <c r="AJ54">
        <v>7</v>
      </c>
      <c r="AW54">
        <v>4.5</v>
      </c>
      <c r="CI54">
        <f>COUNT(B54:CF54)</f>
        <v>2</v>
      </c>
      <c r="CJ54" s="18">
        <f>AVERAGE(B54:CF54)</f>
        <v>5.75</v>
      </c>
      <c r="CK54">
        <f>IF(CI54&gt;1,_xlfn.STDEV.S(B54:CF54),"")</f>
        <v>1.7677669529663689</v>
      </c>
      <c r="CL54">
        <v>0</v>
      </c>
      <c r="CM54">
        <f>COUNT(CC54:CF54)</f>
        <v>0</v>
      </c>
      <c r="CN54">
        <f>IF(CL54=0,CM54,0)</f>
        <v>0</v>
      </c>
    </row>
    <row r="55" spans="1:92" x14ac:dyDescent="0.35">
      <c r="A55" t="s">
        <v>342</v>
      </c>
      <c r="AM55">
        <v>6</v>
      </c>
      <c r="BA55">
        <v>4</v>
      </c>
      <c r="CI55">
        <f>COUNT(B55:CF55)</f>
        <v>2</v>
      </c>
      <c r="CJ55" s="18">
        <f>AVERAGE(B55:CF55)</f>
        <v>5</v>
      </c>
      <c r="CK55">
        <f>IF(CI55&gt;1,_xlfn.STDEV.S(B55:CF55),"")</f>
        <v>1.4142135623730951</v>
      </c>
      <c r="CL55">
        <v>0</v>
      </c>
      <c r="CM55">
        <f>COUNT(CC55:CF55)</f>
        <v>0</v>
      </c>
      <c r="CN55">
        <f>IF(CL55=0,CM55,0)</f>
        <v>0</v>
      </c>
    </row>
    <row r="56" spans="1:92" x14ac:dyDescent="0.35">
      <c r="A56" t="s">
        <v>369</v>
      </c>
      <c r="BG56">
        <v>5.5</v>
      </c>
      <c r="BH56">
        <v>4.5</v>
      </c>
      <c r="CI56">
        <f>COUNT(B56:CF56)</f>
        <v>2</v>
      </c>
      <c r="CJ56" s="18">
        <f>AVERAGE(B56:CF56)</f>
        <v>5</v>
      </c>
      <c r="CK56">
        <f>IF(CI56&gt;1,_xlfn.STDEV.S(B56:CF56),"")</f>
        <v>0.70710678118654757</v>
      </c>
      <c r="CL56">
        <v>0</v>
      </c>
      <c r="CM56">
        <f>COUNT(CC56:CF56)</f>
        <v>0</v>
      </c>
      <c r="CN56">
        <f>IF(CL56=0,CM56,0)</f>
        <v>0</v>
      </c>
    </row>
    <row r="57" spans="1:92" x14ac:dyDescent="0.35">
      <c r="A57" t="s">
        <v>52</v>
      </c>
      <c r="B57" t="s">
        <v>26</v>
      </c>
      <c r="C57" t="s">
        <v>26</v>
      </c>
      <c r="D57" t="s">
        <v>26</v>
      </c>
      <c r="E57" t="s">
        <v>26</v>
      </c>
      <c r="F57" t="s">
        <v>26</v>
      </c>
      <c r="G57" t="s">
        <v>26</v>
      </c>
      <c r="H57" t="s">
        <v>26</v>
      </c>
      <c r="I57" t="s">
        <v>26</v>
      </c>
      <c r="J57">
        <v>6</v>
      </c>
      <c r="K57" t="s">
        <v>26</v>
      </c>
      <c r="L57" t="s">
        <v>26</v>
      </c>
      <c r="M57" t="s">
        <v>26</v>
      </c>
      <c r="N57" t="s">
        <v>26</v>
      </c>
      <c r="O57" t="s">
        <v>26</v>
      </c>
      <c r="P57" t="s">
        <v>26</v>
      </c>
      <c r="Q57" t="s">
        <v>26</v>
      </c>
      <c r="R57" t="s">
        <v>26</v>
      </c>
      <c r="S57" t="s">
        <v>26</v>
      </c>
      <c r="T57" t="s">
        <v>26</v>
      </c>
      <c r="U57" t="s">
        <v>26</v>
      </c>
      <c r="V57" t="s">
        <v>26</v>
      </c>
      <c r="W57" t="s">
        <v>26</v>
      </c>
      <c r="X57" t="s">
        <v>26</v>
      </c>
      <c r="Y57" t="s">
        <v>26</v>
      </c>
      <c r="Z57" t="s">
        <v>26</v>
      </c>
      <c r="AA57" t="s">
        <v>26</v>
      </c>
      <c r="AB57" t="s">
        <v>26</v>
      </c>
      <c r="AC57" t="s">
        <v>26</v>
      </c>
      <c r="AD57" t="s">
        <v>26</v>
      </c>
      <c r="BU57">
        <v>5</v>
      </c>
      <c r="CG57">
        <v>6</v>
      </c>
      <c r="CI57">
        <f>COUNT(B57:CF57)</f>
        <v>2</v>
      </c>
      <c r="CJ57" s="18">
        <f>AVERAGE(B57:CF57)</f>
        <v>5.5</v>
      </c>
      <c r="CK57">
        <f>IF(CI57&gt;1,_xlfn.STDEV.S(B57:CF57),"")</f>
        <v>0.70710678118654757</v>
      </c>
      <c r="CL57">
        <v>0</v>
      </c>
      <c r="CM57">
        <f>COUNT(CC57:CF57)</f>
        <v>0</v>
      </c>
      <c r="CN57">
        <f>IF(CL57=0,CM57,0)</f>
        <v>0</v>
      </c>
    </row>
    <row r="58" spans="1:92" x14ac:dyDescent="0.35">
      <c r="A58" t="s">
        <v>368</v>
      </c>
      <c r="BF58">
        <v>7.5</v>
      </c>
      <c r="BU58">
        <v>9.5</v>
      </c>
      <c r="CG58">
        <v>6</v>
      </c>
      <c r="CI58">
        <f>COUNT(B58:CF58)</f>
        <v>2</v>
      </c>
      <c r="CJ58" s="18">
        <f>AVERAGE(B58:CF58)</f>
        <v>8.5</v>
      </c>
      <c r="CK58">
        <f>IF(CI58&gt;1,_xlfn.STDEV.S(B58:CF58),"")</f>
        <v>1.4142135623730951</v>
      </c>
      <c r="CL58">
        <v>0</v>
      </c>
      <c r="CM58">
        <f>COUNT(CC58:CF58)</f>
        <v>0</v>
      </c>
      <c r="CN58">
        <f>IF(CL58=0,CM58,0)</f>
        <v>0</v>
      </c>
    </row>
    <row r="59" spans="1:92" x14ac:dyDescent="0.35">
      <c r="A59" t="s">
        <v>379</v>
      </c>
      <c r="BY59">
        <v>5</v>
      </c>
      <c r="BZ59">
        <v>5</v>
      </c>
      <c r="CI59">
        <f>COUNT(B59:CF59)</f>
        <v>2</v>
      </c>
      <c r="CJ59" s="18">
        <f>AVERAGE(B59:CF59)</f>
        <v>5</v>
      </c>
      <c r="CK59">
        <f>IF(CI59&gt;1,_xlfn.STDEV.S(B59:CF59),"")</f>
        <v>0</v>
      </c>
      <c r="CL59">
        <v>0</v>
      </c>
      <c r="CM59">
        <f>COUNT(CC59:CF59)</f>
        <v>0</v>
      </c>
      <c r="CN59">
        <f>IF(CL59=0,CM59,0)</f>
        <v>0</v>
      </c>
    </row>
    <row r="60" spans="1:92" x14ac:dyDescent="0.35">
      <c r="A60" t="s">
        <v>385</v>
      </c>
      <c r="CE60">
        <v>7</v>
      </c>
      <c r="CI60">
        <f>COUNT(B60:CF60)</f>
        <v>1</v>
      </c>
      <c r="CJ60" s="18">
        <f>AVERAGE(B60:CF60)</f>
        <v>7</v>
      </c>
      <c r="CK60" t="str">
        <f>IF(CI60&gt;1,_xlfn.STDEV.S(B60:CF60),"")</f>
        <v/>
      </c>
      <c r="CL60">
        <v>0</v>
      </c>
      <c r="CM60">
        <f>COUNT(CC60:CF60)</f>
        <v>1</v>
      </c>
      <c r="CN60">
        <f>IF(CL60=0,CM60,0)</f>
        <v>1</v>
      </c>
    </row>
    <row r="61" spans="1:92" x14ac:dyDescent="0.35">
      <c r="A61" t="s">
        <v>86</v>
      </c>
      <c r="B61" t="s">
        <v>26</v>
      </c>
      <c r="C61" t="s">
        <v>26</v>
      </c>
      <c r="D61" t="s">
        <v>26</v>
      </c>
      <c r="E61" t="s">
        <v>26</v>
      </c>
      <c r="F61" t="s">
        <v>26</v>
      </c>
      <c r="G61" t="s">
        <v>26</v>
      </c>
      <c r="H61" t="s">
        <v>26</v>
      </c>
      <c r="I61" t="s">
        <v>26</v>
      </c>
      <c r="J61" t="s">
        <v>26</v>
      </c>
      <c r="K61" t="s">
        <v>26</v>
      </c>
      <c r="L61" t="s">
        <v>26</v>
      </c>
      <c r="M61" t="s">
        <v>26</v>
      </c>
      <c r="N61" t="s">
        <v>26</v>
      </c>
      <c r="O61" t="s">
        <v>26</v>
      </c>
      <c r="P61" t="s">
        <v>26</v>
      </c>
      <c r="Q61" t="s">
        <v>26</v>
      </c>
      <c r="R61" t="s">
        <v>26</v>
      </c>
      <c r="S61" t="s">
        <v>26</v>
      </c>
      <c r="T61" t="s">
        <v>26</v>
      </c>
      <c r="U61" t="s">
        <v>26</v>
      </c>
      <c r="V61" t="s">
        <v>26</v>
      </c>
      <c r="W61" t="s">
        <v>26</v>
      </c>
      <c r="X61" t="s">
        <v>26</v>
      </c>
      <c r="Y61" t="s">
        <v>26</v>
      </c>
      <c r="Z61" t="s">
        <v>26</v>
      </c>
      <c r="AA61" t="s">
        <v>26</v>
      </c>
      <c r="AB61" t="s">
        <v>26</v>
      </c>
      <c r="AC61" t="s">
        <v>26</v>
      </c>
      <c r="AD61">
        <v>9</v>
      </c>
      <c r="CI61">
        <f>COUNT(B61:CF61)</f>
        <v>1</v>
      </c>
      <c r="CJ61" s="18">
        <f>AVERAGE(B61:CF61)</f>
        <v>9</v>
      </c>
      <c r="CK61" t="str">
        <f>IF(CI61&gt;1,_xlfn.STDEV.S(B61:CF61),"")</f>
        <v/>
      </c>
      <c r="CL61">
        <v>0</v>
      </c>
      <c r="CM61">
        <f>COUNT(CC61:CF61)</f>
        <v>0</v>
      </c>
      <c r="CN61">
        <f>IF(CL61=0,CM61,0)</f>
        <v>0</v>
      </c>
    </row>
    <row r="62" spans="1:92" x14ac:dyDescent="0.35">
      <c r="A62" t="s">
        <v>77</v>
      </c>
      <c r="B62" t="s">
        <v>26</v>
      </c>
      <c r="C62" t="s">
        <v>26</v>
      </c>
      <c r="D62" t="s">
        <v>26</v>
      </c>
      <c r="E62" t="s">
        <v>26</v>
      </c>
      <c r="F62" t="s">
        <v>26</v>
      </c>
      <c r="G62" t="s">
        <v>26</v>
      </c>
      <c r="H62" t="s">
        <v>26</v>
      </c>
      <c r="I62" t="s">
        <v>26</v>
      </c>
      <c r="J62" t="s">
        <v>26</v>
      </c>
      <c r="K62" t="s">
        <v>26</v>
      </c>
      <c r="L62" t="s">
        <v>26</v>
      </c>
      <c r="M62" t="s">
        <v>26</v>
      </c>
      <c r="N62" t="s">
        <v>26</v>
      </c>
      <c r="O62" t="s">
        <v>26</v>
      </c>
      <c r="P62" t="s">
        <v>26</v>
      </c>
      <c r="Q62" t="s">
        <v>26</v>
      </c>
      <c r="R62" t="s">
        <v>26</v>
      </c>
      <c r="S62" t="s">
        <v>26</v>
      </c>
      <c r="T62" t="s">
        <v>26</v>
      </c>
      <c r="U62" t="s">
        <v>26</v>
      </c>
      <c r="V62" t="s">
        <v>26</v>
      </c>
      <c r="W62" t="s">
        <v>26</v>
      </c>
      <c r="X62" t="s">
        <v>26</v>
      </c>
      <c r="Y62" t="s">
        <v>26</v>
      </c>
      <c r="Z62">
        <v>7</v>
      </c>
      <c r="AA62" t="s">
        <v>26</v>
      </c>
      <c r="AB62" t="s">
        <v>26</v>
      </c>
      <c r="AC62" t="s">
        <v>26</v>
      </c>
      <c r="AD62" t="s">
        <v>26</v>
      </c>
      <c r="CI62">
        <f>COUNT(B62:CF62)</f>
        <v>1</v>
      </c>
      <c r="CJ62" s="18">
        <f>AVERAGE(B62:CF62)</f>
        <v>7</v>
      </c>
      <c r="CK62" t="str">
        <f>IF(CI62&gt;1,_xlfn.STDEV.S(B62:CF62),"")</f>
        <v/>
      </c>
      <c r="CL62">
        <v>0</v>
      </c>
      <c r="CM62">
        <f>COUNT(CC62:CF62)</f>
        <v>0</v>
      </c>
      <c r="CN62">
        <f>IF(CL62=0,CM62,0)</f>
        <v>0</v>
      </c>
    </row>
    <row r="63" spans="1:92" x14ac:dyDescent="0.35">
      <c r="A63" t="s">
        <v>353</v>
      </c>
      <c r="B63" t="s">
        <v>26</v>
      </c>
      <c r="C63" t="s">
        <v>26</v>
      </c>
      <c r="D63" t="s">
        <v>26</v>
      </c>
      <c r="E63" t="s">
        <v>26</v>
      </c>
      <c r="F63" t="s">
        <v>26</v>
      </c>
      <c r="G63" t="s">
        <v>26</v>
      </c>
      <c r="H63" t="s">
        <v>26</v>
      </c>
      <c r="I63" t="s">
        <v>26</v>
      </c>
      <c r="J63" t="s">
        <v>26</v>
      </c>
      <c r="K63" t="s">
        <v>26</v>
      </c>
      <c r="L63" t="s">
        <v>26</v>
      </c>
      <c r="M63" t="s">
        <v>26</v>
      </c>
      <c r="O63" t="s">
        <v>26</v>
      </c>
      <c r="P63" t="s">
        <v>26</v>
      </c>
      <c r="Q63" t="s">
        <v>26</v>
      </c>
      <c r="R63" t="s">
        <v>26</v>
      </c>
      <c r="S63" t="s">
        <v>26</v>
      </c>
      <c r="T63" t="s">
        <v>26</v>
      </c>
      <c r="U63" t="s">
        <v>26</v>
      </c>
      <c r="V63" t="s">
        <v>26</v>
      </c>
      <c r="W63" t="s">
        <v>26</v>
      </c>
      <c r="X63" t="s">
        <v>26</v>
      </c>
      <c r="Y63" t="s">
        <v>26</v>
      </c>
      <c r="Z63">
        <v>7</v>
      </c>
      <c r="AA63" t="s">
        <v>26</v>
      </c>
      <c r="AB63" t="s">
        <v>26</v>
      </c>
      <c r="AC63" t="s">
        <v>26</v>
      </c>
      <c r="AD63" t="s">
        <v>26</v>
      </c>
      <c r="CI63">
        <f>COUNT(B63:CF63)</f>
        <v>1</v>
      </c>
      <c r="CJ63" s="18">
        <f>AVERAGE(B63:CF63)</f>
        <v>7</v>
      </c>
      <c r="CK63" t="str">
        <f>IF(CI63&gt;1,_xlfn.STDEV.S(B63:CF63),"")</f>
        <v/>
      </c>
      <c r="CL63">
        <v>0</v>
      </c>
      <c r="CM63">
        <f>COUNT(CC63:CF63)</f>
        <v>0</v>
      </c>
      <c r="CN63">
        <f>IF(CL63=0,CM63,0)</f>
        <v>0</v>
      </c>
    </row>
    <row r="64" spans="1:92" x14ac:dyDescent="0.35">
      <c r="A64" t="s">
        <v>80</v>
      </c>
      <c r="B64" t="s">
        <v>26</v>
      </c>
      <c r="C64" t="s">
        <v>26</v>
      </c>
      <c r="D64" t="s">
        <v>26</v>
      </c>
      <c r="E64" t="s">
        <v>26</v>
      </c>
      <c r="F64" t="s">
        <v>26</v>
      </c>
      <c r="G64" t="s">
        <v>26</v>
      </c>
      <c r="H64" t="s">
        <v>26</v>
      </c>
      <c r="I64" t="s">
        <v>26</v>
      </c>
      <c r="J64" t="s">
        <v>26</v>
      </c>
      <c r="K64" t="s">
        <v>26</v>
      </c>
      <c r="L64" t="s">
        <v>26</v>
      </c>
      <c r="M64" t="s">
        <v>26</v>
      </c>
      <c r="N64" t="s">
        <v>26</v>
      </c>
      <c r="O64" t="s">
        <v>26</v>
      </c>
      <c r="P64" t="s">
        <v>26</v>
      </c>
      <c r="Q64" t="s">
        <v>26</v>
      </c>
      <c r="R64" t="s">
        <v>26</v>
      </c>
      <c r="S64" t="s">
        <v>26</v>
      </c>
      <c r="T64" t="s">
        <v>26</v>
      </c>
      <c r="U64" t="s">
        <v>26</v>
      </c>
      <c r="V64" t="s">
        <v>26</v>
      </c>
      <c r="W64" t="s">
        <v>26</v>
      </c>
      <c r="X64" t="s">
        <v>26</v>
      </c>
      <c r="Y64">
        <v>7</v>
      </c>
      <c r="Z64" t="s">
        <v>26</v>
      </c>
      <c r="AA64" t="s">
        <v>26</v>
      </c>
      <c r="AB64" t="s">
        <v>26</v>
      </c>
      <c r="AC64" t="s">
        <v>26</v>
      </c>
      <c r="AD64" t="s">
        <v>26</v>
      </c>
      <c r="CI64">
        <f>COUNT(B64:CF64)</f>
        <v>1</v>
      </c>
      <c r="CJ64" s="18">
        <f>AVERAGE(B64:CF64)</f>
        <v>7</v>
      </c>
      <c r="CK64" t="str">
        <f>IF(CI64&gt;1,_xlfn.STDEV.S(B64:CF64),"")</f>
        <v/>
      </c>
      <c r="CL64">
        <v>0</v>
      </c>
      <c r="CM64">
        <f>COUNT(CC64:CF64)</f>
        <v>0</v>
      </c>
      <c r="CN64">
        <f>IF(CL64=0,CM64,0)</f>
        <v>0</v>
      </c>
    </row>
    <row r="65" spans="1:92" x14ac:dyDescent="0.35">
      <c r="A65" t="s">
        <v>47</v>
      </c>
      <c r="B65" t="s">
        <v>26</v>
      </c>
      <c r="C65" t="s">
        <v>26</v>
      </c>
      <c r="D65" t="s">
        <v>26</v>
      </c>
      <c r="E65" t="s">
        <v>26</v>
      </c>
      <c r="F65" t="s">
        <v>26</v>
      </c>
      <c r="G65" t="s">
        <v>26</v>
      </c>
      <c r="H65" t="s">
        <v>26</v>
      </c>
      <c r="I65">
        <v>4.5</v>
      </c>
      <c r="J65" t="s">
        <v>26</v>
      </c>
      <c r="K65" t="s">
        <v>26</v>
      </c>
      <c r="L65" t="s">
        <v>26</v>
      </c>
      <c r="M65" t="s">
        <v>26</v>
      </c>
      <c r="N65" t="s">
        <v>26</v>
      </c>
      <c r="O65" t="s">
        <v>26</v>
      </c>
      <c r="P65" t="s">
        <v>26</v>
      </c>
      <c r="Q65" t="s">
        <v>26</v>
      </c>
      <c r="R65" t="s">
        <v>26</v>
      </c>
      <c r="S65" t="s">
        <v>26</v>
      </c>
      <c r="T65" t="s">
        <v>26</v>
      </c>
      <c r="U65" t="s">
        <v>26</v>
      </c>
      <c r="V65" t="s">
        <v>26</v>
      </c>
      <c r="W65" t="s">
        <v>26</v>
      </c>
      <c r="X65" t="s">
        <v>26</v>
      </c>
      <c r="Y65" t="s">
        <v>26</v>
      </c>
      <c r="Z65" t="s">
        <v>26</v>
      </c>
      <c r="AA65" t="s">
        <v>26</v>
      </c>
      <c r="AB65" t="s">
        <v>26</v>
      </c>
      <c r="AC65" t="s">
        <v>26</v>
      </c>
      <c r="AD65" t="s">
        <v>26</v>
      </c>
      <c r="CI65">
        <f>COUNT(B65:CF65)</f>
        <v>1</v>
      </c>
      <c r="CJ65" s="18">
        <f>AVERAGE(B65:CF65)</f>
        <v>4.5</v>
      </c>
      <c r="CK65" t="str">
        <f>IF(CI65&gt;1,_xlfn.STDEV.S(B65:CF65),"")</f>
        <v/>
      </c>
      <c r="CL65">
        <v>0</v>
      </c>
      <c r="CM65">
        <f>COUNT(CC65:CF65)</f>
        <v>0</v>
      </c>
      <c r="CN65">
        <f>IF(CL65=0,CM65,0)</f>
        <v>0</v>
      </c>
    </row>
    <row r="66" spans="1:92" x14ac:dyDescent="0.35">
      <c r="A66" t="s">
        <v>78</v>
      </c>
      <c r="B66" t="s">
        <v>26</v>
      </c>
      <c r="C66" t="s">
        <v>26</v>
      </c>
      <c r="D66" t="s">
        <v>26</v>
      </c>
      <c r="E66" t="s">
        <v>26</v>
      </c>
      <c r="F66" t="s">
        <v>26</v>
      </c>
      <c r="G66" t="s">
        <v>26</v>
      </c>
      <c r="H66" t="s">
        <v>26</v>
      </c>
      <c r="I66" t="s">
        <v>26</v>
      </c>
      <c r="J66" t="s">
        <v>26</v>
      </c>
      <c r="K66" t="s">
        <v>26</v>
      </c>
      <c r="L66" t="s">
        <v>26</v>
      </c>
      <c r="M66" t="s">
        <v>26</v>
      </c>
      <c r="N66" t="s">
        <v>26</v>
      </c>
      <c r="O66" t="s">
        <v>26</v>
      </c>
      <c r="P66" t="s">
        <v>26</v>
      </c>
      <c r="Q66" t="s">
        <v>26</v>
      </c>
      <c r="R66" t="s">
        <v>26</v>
      </c>
      <c r="S66" t="s">
        <v>26</v>
      </c>
      <c r="T66" t="s">
        <v>26</v>
      </c>
      <c r="U66" t="s">
        <v>26</v>
      </c>
      <c r="V66" t="s">
        <v>26</v>
      </c>
      <c r="W66" t="s">
        <v>26</v>
      </c>
      <c r="X66" t="s">
        <v>26</v>
      </c>
      <c r="Y66" t="s">
        <v>26</v>
      </c>
      <c r="Z66">
        <v>4.5</v>
      </c>
      <c r="AA66" t="s">
        <v>26</v>
      </c>
      <c r="AB66" t="s">
        <v>26</v>
      </c>
      <c r="AC66" t="s">
        <v>26</v>
      </c>
      <c r="AD66" t="s">
        <v>26</v>
      </c>
      <c r="CI66">
        <f>COUNT(B66:CF66)</f>
        <v>1</v>
      </c>
      <c r="CJ66" s="18">
        <f>AVERAGE(B66:CF66)</f>
        <v>4.5</v>
      </c>
      <c r="CK66" t="str">
        <f>IF(CI66&gt;1,_xlfn.STDEV.S(B66:CF66),"")</f>
        <v/>
      </c>
      <c r="CL66">
        <v>0</v>
      </c>
      <c r="CM66">
        <f>COUNT(CC66:CF66)</f>
        <v>0</v>
      </c>
      <c r="CN66">
        <f>IF(CL66=0,CM66,0)</f>
        <v>0</v>
      </c>
    </row>
    <row r="67" spans="1:92" x14ac:dyDescent="0.35">
      <c r="A67" t="s">
        <v>83</v>
      </c>
      <c r="B67" t="s">
        <v>26</v>
      </c>
      <c r="C67" t="s">
        <v>26</v>
      </c>
      <c r="D67" t="s">
        <v>26</v>
      </c>
      <c r="E67" t="s">
        <v>26</v>
      </c>
      <c r="F67" t="s">
        <v>26</v>
      </c>
      <c r="G67" t="s">
        <v>26</v>
      </c>
      <c r="H67" t="s">
        <v>26</v>
      </c>
      <c r="I67" t="s">
        <v>26</v>
      </c>
      <c r="J67" t="s">
        <v>26</v>
      </c>
      <c r="K67" t="s">
        <v>26</v>
      </c>
      <c r="L67" t="s">
        <v>26</v>
      </c>
      <c r="M67" t="s">
        <v>26</v>
      </c>
      <c r="N67" t="s">
        <v>26</v>
      </c>
      <c r="O67" t="s">
        <v>26</v>
      </c>
      <c r="P67" t="s">
        <v>26</v>
      </c>
      <c r="Q67" t="s">
        <v>26</v>
      </c>
      <c r="R67" t="s">
        <v>26</v>
      </c>
      <c r="S67" t="s">
        <v>26</v>
      </c>
      <c r="T67" t="s">
        <v>26</v>
      </c>
      <c r="U67" t="s">
        <v>26</v>
      </c>
      <c r="V67" t="s">
        <v>26</v>
      </c>
      <c r="W67" t="s">
        <v>26</v>
      </c>
      <c r="X67" t="s">
        <v>26</v>
      </c>
      <c r="Y67" t="s">
        <v>26</v>
      </c>
      <c r="Z67" t="s">
        <v>26</v>
      </c>
      <c r="AA67" t="s">
        <v>26</v>
      </c>
      <c r="AB67">
        <v>4</v>
      </c>
      <c r="AC67" t="s">
        <v>26</v>
      </c>
      <c r="AD67" t="s">
        <v>26</v>
      </c>
      <c r="CI67">
        <f>COUNT(B67:CF67)</f>
        <v>1</v>
      </c>
      <c r="CJ67" s="18">
        <f>AVERAGE(B67:CF67)</f>
        <v>4</v>
      </c>
      <c r="CK67" t="str">
        <f>IF(CI67&gt;1,_xlfn.STDEV.S(B67:CF67),"")</f>
        <v/>
      </c>
      <c r="CL67">
        <v>0</v>
      </c>
      <c r="CM67">
        <f>COUNT(CC67:CF67)</f>
        <v>0</v>
      </c>
      <c r="CN67">
        <f>IF(CL67=0,CM67,0)</f>
        <v>0</v>
      </c>
    </row>
    <row r="68" spans="1:92" x14ac:dyDescent="0.35">
      <c r="A68" t="s">
        <v>345</v>
      </c>
      <c r="AN68">
        <v>3</v>
      </c>
      <c r="CI68">
        <f>COUNT(B68:CF68)</f>
        <v>1</v>
      </c>
      <c r="CJ68" s="18">
        <f>AVERAGE(B68:CF68)</f>
        <v>3</v>
      </c>
      <c r="CK68" t="str">
        <f>IF(CI68&gt;1,_xlfn.STDEV.S(B68:CF68),"")</f>
        <v/>
      </c>
      <c r="CL68">
        <v>0</v>
      </c>
      <c r="CM68">
        <f>COUNT(CC68:CF68)</f>
        <v>0</v>
      </c>
      <c r="CN68">
        <f>IF(CL68=0,CM68,0)</f>
        <v>0</v>
      </c>
    </row>
    <row r="69" spans="1:92" x14ac:dyDescent="0.35">
      <c r="A69" t="s">
        <v>347</v>
      </c>
      <c r="AP69">
        <v>5.5</v>
      </c>
      <c r="CI69">
        <f>COUNT(B69:CF69)</f>
        <v>1</v>
      </c>
      <c r="CJ69" s="18">
        <f>AVERAGE(B69:CF69)</f>
        <v>5.5</v>
      </c>
      <c r="CK69" t="str">
        <f>IF(CI69&gt;1,_xlfn.STDEV.S(B69:CF69),"")</f>
        <v/>
      </c>
      <c r="CL69">
        <v>0</v>
      </c>
      <c r="CM69">
        <f>COUNT(CC69:CF69)</f>
        <v>0</v>
      </c>
      <c r="CN69">
        <f>IF(CL69=0,CM69,0)</f>
        <v>0</v>
      </c>
    </row>
    <row r="70" spans="1:92" x14ac:dyDescent="0.35">
      <c r="A70" t="s">
        <v>350</v>
      </c>
      <c r="AR70">
        <v>4</v>
      </c>
      <c r="CI70">
        <f>COUNT(B70:CF70)</f>
        <v>1</v>
      </c>
      <c r="CJ70" s="18">
        <f>AVERAGE(B70:CF70)</f>
        <v>4</v>
      </c>
      <c r="CK70" t="str">
        <f>IF(CI70&gt;1,_xlfn.STDEV.S(B70:CF70),"")</f>
        <v/>
      </c>
      <c r="CL70">
        <v>0</v>
      </c>
      <c r="CM70">
        <f>COUNT(CC70:CF70)</f>
        <v>0</v>
      </c>
      <c r="CN70">
        <f>IF(CL70=0,CM70,0)</f>
        <v>0</v>
      </c>
    </row>
    <row r="71" spans="1:92" x14ac:dyDescent="0.35">
      <c r="A71" t="s">
        <v>351</v>
      </c>
      <c r="AS71">
        <v>5.5</v>
      </c>
      <c r="CI71">
        <f>COUNT(B71:CF71)</f>
        <v>1</v>
      </c>
      <c r="CJ71" s="18">
        <f>AVERAGE(B71:CF71)</f>
        <v>5.5</v>
      </c>
      <c r="CK71" t="str">
        <f>IF(CI71&gt;1,_xlfn.STDEV.S(B71:CF71),"")</f>
        <v/>
      </c>
      <c r="CL71">
        <v>0</v>
      </c>
      <c r="CM71">
        <f>COUNT(CC71:CF71)</f>
        <v>0</v>
      </c>
      <c r="CN71">
        <f>IF(CL71=0,CM71,0)</f>
        <v>0</v>
      </c>
    </row>
    <row r="72" spans="1:92" x14ac:dyDescent="0.35">
      <c r="A72" t="s">
        <v>352</v>
      </c>
      <c r="AS72">
        <v>4.5</v>
      </c>
      <c r="CI72">
        <f>COUNT(B72:CF72)</f>
        <v>1</v>
      </c>
      <c r="CJ72" s="18">
        <f>AVERAGE(B72:CF72)</f>
        <v>4.5</v>
      </c>
      <c r="CK72" t="str">
        <f>IF(CI72&gt;1,_xlfn.STDEV.S(B72:CF72),"")</f>
        <v/>
      </c>
      <c r="CL72">
        <v>0</v>
      </c>
      <c r="CM72">
        <f>COUNT(CC72:CF72)</f>
        <v>0</v>
      </c>
      <c r="CN72">
        <f>IF(CL72=0,CM72,0)</f>
        <v>0</v>
      </c>
    </row>
    <row r="73" spans="1:92" x14ac:dyDescent="0.35">
      <c r="A73" t="s">
        <v>354</v>
      </c>
      <c r="AU73">
        <v>5</v>
      </c>
      <c r="CI73">
        <f>COUNT(B73:CF73)</f>
        <v>1</v>
      </c>
      <c r="CJ73" s="18">
        <f>AVERAGE(B73:CF73)</f>
        <v>5</v>
      </c>
      <c r="CK73" t="str">
        <f>IF(CI73&gt;1,_xlfn.STDEV.S(B73:CF73),"")</f>
        <v/>
      </c>
      <c r="CL73">
        <v>0</v>
      </c>
      <c r="CM73">
        <f>COUNT(CC73:CF73)</f>
        <v>0</v>
      </c>
      <c r="CN73">
        <f>IF(CL73=0,CM73,0)</f>
        <v>0</v>
      </c>
    </row>
    <row r="74" spans="1:92" x14ac:dyDescent="0.35">
      <c r="A74" t="s">
        <v>365</v>
      </c>
      <c r="AZ74">
        <v>2.5</v>
      </c>
      <c r="CI74">
        <f>COUNT(B74:CF74)</f>
        <v>1</v>
      </c>
      <c r="CJ74" s="18">
        <f>AVERAGE(B74:CF74)</f>
        <v>2.5</v>
      </c>
      <c r="CK74" t="str">
        <f>IF(CI74&gt;1,_xlfn.STDEV.S(B74:CF74),"")</f>
        <v/>
      </c>
      <c r="CL74">
        <v>0</v>
      </c>
      <c r="CM74">
        <f>COUNT(CC74:CF74)</f>
        <v>0</v>
      </c>
      <c r="CN74">
        <f>IF(CL74=0,CM74,0)</f>
        <v>0</v>
      </c>
    </row>
    <row r="75" spans="1:92" x14ac:dyDescent="0.35">
      <c r="A75" t="s">
        <v>366</v>
      </c>
      <c r="BB75">
        <v>3</v>
      </c>
      <c r="CI75">
        <f>COUNT(B75:CF75)</f>
        <v>1</v>
      </c>
      <c r="CJ75" s="18">
        <f>AVERAGE(B75:CF75)</f>
        <v>3</v>
      </c>
      <c r="CK75" t="str">
        <f>IF(CI75&gt;1,_xlfn.STDEV.S(B75:CF75),"")</f>
        <v/>
      </c>
      <c r="CL75">
        <v>0</v>
      </c>
      <c r="CM75">
        <f>COUNT(CC75:CF75)</f>
        <v>0</v>
      </c>
      <c r="CN75">
        <f>IF(CL75=0,CM75,0)</f>
        <v>0</v>
      </c>
    </row>
    <row r="76" spans="1:92" x14ac:dyDescent="0.35">
      <c r="A76" t="s">
        <v>374</v>
      </c>
      <c r="BP76">
        <v>6</v>
      </c>
      <c r="CI76">
        <f>COUNT(B76:CF76)</f>
        <v>1</v>
      </c>
      <c r="CJ76" s="18">
        <f>AVERAGE(B76:CF76)</f>
        <v>6</v>
      </c>
      <c r="CK76" t="str">
        <f>IF(CI76&gt;1,_xlfn.STDEV.S(B76:CF76),"")</f>
        <v/>
      </c>
      <c r="CL76">
        <v>0</v>
      </c>
      <c r="CM76">
        <f>COUNT(CC76:CF76)</f>
        <v>0</v>
      </c>
      <c r="CN76">
        <f>IF(CL76=0,CM76,0)</f>
        <v>0</v>
      </c>
    </row>
    <row r="77" spans="1:92" x14ac:dyDescent="0.35">
      <c r="A77" t="s">
        <v>375</v>
      </c>
      <c r="BP77">
        <v>5</v>
      </c>
      <c r="CI77">
        <f>COUNT(B77:CF77)</f>
        <v>1</v>
      </c>
      <c r="CJ77" s="18">
        <f>AVERAGE(B77:CF77)</f>
        <v>5</v>
      </c>
      <c r="CK77" t="str">
        <f>IF(CI77&gt;1,_xlfn.STDEV.S(B77:CF77),"")</f>
        <v/>
      </c>
      <c r="CL77">
        <v>0</v>
      </c>
      <c r="CM77">
        <f>COUNT(CC77:CF77)</f>
        <v>0</v>
      </c>
      <c r="CN77">
        <f>IF(CL77=0,CM77,0)</f>
        <v>0</v>
      </c>
    </row>
    <row r="78" spans="1:92" x14ac:dyDescent="0.35">
      <c r="A78" t="s">
        <v>377</v>
      </c>
      <c r="BS78">
        <v>4.5</v>
      </c>
      <c r="CI78">
        <f>COUNT(B78:CF78)</f>
        <v>1</v>
      </c>
      <c r="CJ78" s="18">
        <f>AVERAGE(B78:CF78)</f>
        <v>4.5</v>
      </c>
      <c r="CK78" t="str">
        <f>IF(CI78&gt;1,_xlfn.STDEV.S(B78:CF78),"")</f>
        <v/>
      </c>
      <c r="CL78">
        <v>0</v>
      </c>
      <c r="CM78">
        <f>COUNT(CC78:CF78)</f>
        <v>0</v>
      </c>
      <c r="CN78">
        <f>IF(CL78=0,CM78,0)</f>
        <v>0</v>
      </c>
    </row>
    <row r="79" spans="1:92" x14ac:dyDescent="0.35">
      <c r="A79" t="s">
        <v>381</v>
      </c>
      <c r="BZ79">
        <v>5</v>
      </c>
      <c r="CI79">
        <f>COUNT(B79:CF79)</f>
        <v>1</v>
      </c>
      <c r="CJ79" s="18">
        <f>AVERAGE(B79:CF79)</f>
        <v>5</v>
      </c>
      <c r="CK79" t="str">
        <f>IF(CI79&gt;1,_xlfn.STDEV.S(B79:CF79),"")</f>
        <v/>
      </c>
      <c r="CL79">
        <v>0</v>
      </c>
      <c r="CM79">
        <f>COUNT(CC79:CF79)</f>
        <v>0</v>
      </c>
      <c r="CN79">
        <f>IF(CL79=0,CM79,0)</f>
        <v>0</v>
      </c>
    </row>
    <row r="80" spans="1:92" x14ac:dyDescent="0.35">
      <c r="A80" t="s">
        <v>382</v>
      </c>
      <c r="BZ80">
        <v>5</v>
      </c>
      <c r="CI80">
        <f>COUNT(B80:CF80)</f>
        <v>1</v>
      </c>
      <c r="CJ80" s="18">
        <f>AVERAGE(B80:CF80)</f>
        <v>5</v>
      </c>
      <c r="CK80" t="str">
        <f>IF(CI80&gt;1,_xlfn.STDEV.S(B80:CF80),"")</f>
        <v/>
      </c>
      <c r="CL80">
        <v>0</v>
      </c>
      <c r="CM80">
        <f>COUNT(CC80:CF80)</f>
        <v>0</v>
      </c>
      <c r="CN80">
        <f>IF(CL80=0,CM80,0)</f>
        <v>0</v>
      </c>
    </row>
    <row r="81" spans="1:92" x14ac:dyDescent="0.35">
      <c r="A81" t="s">
        <v>388</v>
      </c>
      <c r="CG81">
        <v>7</v>
      </c>
      <c r="CI81">
        <f>COUNT(B81:CF81)</f>
        <v>0</v>
      </c>
      <c r="CJ81" s="18" t="e">
        <f>AVERAGE(B81:CF81)</f>
        <v>#DIV/0!</v>
      </c>
      <c r="CK81" t="str">
        <f>IF(CI81&gt;1,_xlfn.STDEV.S(B81:CF81),"")</f>
        <v/>
      </c>
      <c r="CL81">
        <v>0</v>
      </c>
      <c r="CM81">
        <f>COUNT(CC81:CF81)</f>
        <v>0</v>
      </c>
      <c r="CN81">
        <f>IF(CL81=0,CM81,0)</f>
        <v>0</v>
      </c>
    </row>
  </sheetData>
  <autoFilter ref="A1:CN80" xr:uid="{B9A4D56B-02EF-476F-9B0E-F093A198C591}">
    <sortState ref="A2:CN80">
      <sortCondition descending="1" ref="CL1:CL80"/>
    </sortState>
  </autoFilter>
  <conditionalFormatting sqref="CI2:CI81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81">
    <cfRule type="colorScale" priority="8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I2:CI81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81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V44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Q3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Z38 W2 W7 W11:W12 W15:W21 W31 B2:V38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4:Z47 X2:Z43 W2 W7 W11:W12 W15:W21 W31 W40 B2:V43 Z4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51:AV51 AD53:AV53 B2:AV4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8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81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AV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AV5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H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9:CH67 AA2:CH38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8:CH67 AA2:CH47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3:CH67 AA2:CH42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W39"/>
  <sheetViews>
    <sheetView topLeftCell="C1" workbookViewId="0">
      <selection activeCell="S18" sqref="S18"/>
    </sheetView>
  </sheetViews>
  <sheetFormatPr defaultRowHeight="14.5" x14ac:dyDescent="0.35"/>
  <cols>
    <col min="5" max="5" width="0" hidden="1" customWidth="1"/>
    <col min="9" max="9" width="8.90625" hidden="1" customWidth="1"/>
    <col min="18" max="18" width="8.7265625" hidden="1" customWidth="1"/>
    <col min="22" max="22" width="8.90625" hidden="1" customWidth="1"/>
  </cols>
  <sheetData>
    <row r="1" spans="1:23" x14ac:dyDescent="0.35">
      <c r="A1" t="s">
        <v>336</v>
      </c>
      <c r="B1" t="s">
        <v>337</v>
      </c>
      <c r="D1" t="s">
        <v>334</v>
      </c>
      <c r="E1" t="s">
        <v>335</v>
      </c>
      <c r="F1" t="s">
        <v>337</v>
      </c>
      <c r="H1" t="s">
        <v>334</v>
      </c>
      <c r="I1" t="s">
        <v>335</v>
      </c>
      <c r="J1" t="s">
        <v>337</v>
      </c>
      <c r="N1" t="s">
        <v>383</v>
      </c>
      <c r="Q1" t="s">
        <v>334</v>
      </c>
      <c r="R1" t="s">
        <v>335</v>
      </c>
      <c r="S1" t="s">
        <v>337</v>
      </c>
      <c r="U1" t="s">
        <v>334</v>
      </c>
      <c r="V1" t="s">
        <v>335</v>
      </c>
      <c r="W1" t="s">
        <v>337</v>
      </c>
    </row>
    <row r="2" spans="1:23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  <c r="N2">
        <v>5</v>
      </c>
      <c r="O2">
        <v>5.7</v>
      </c>
      <c r="Q2">
        <v>2.5</v>
      </c>
      <c r="R2">
        <f>$O$11*Q2+$O$12</f>
        <v>1.7589500000000005</v>
      </c>
      <c r="S2">
        <f>MROUND(R2,0.5)</f>
        <v>2</v>
      </c>
      <c r="U2">
        <f>Q39+0.1</f>
        <v>6.2999999999999927</v>
      </c>
      <c r="V2">
        <f>$O$11*U2+$O$12</f>
        <v>7.5398899999999891</v>
      </c>
      <c r="W2">
        <f>MROUND(V2,0.5)</f>
        <v>7.5</v>
      </c>
    </row>
    <row r="3" spans="1:23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  <c r="N3">
        <v>5.5</v>
      </c>
      <c r="O3">
        <v>6.3</v>
      </c>
      <c r="Q3">
        <f>Q2+0.1</f>
        <v>2.6</v>
      </c>
      <c r="R3">
        <f t="shared" ref="R3:R39" si="3">$O$11*Q3+$O$12</f>
        <v>1.9110800000000006</v>
      </c>
      <c r="S3">
        <f t="shared" ref="S3:S39" si="4">MROUND(R3,0.5)</f>
        <v>2</v>
      </c>
      <c r="U3">
        <f>U2+0.1</f>
        <v>6.3999999999999924</v>
      </c>
      <c r="V3">
        <f t="shared" ref="V3:V39" si="5">$O$11*U3+$O$12</f>
        <v>7.6920199999999888</v>
      </c>
      <c r="W3">
        <f t="shared" ref="W3:W23" si="6">MROUND(V3,0.5)</f>
        <v>7.5</v>
      </c>
    </row>
    <row r="4" spans="1:23" x14ac:dyDescent="0.35">
      <c r="D4">
        <f t="shared" ref="D4:D39" si="7">D3+0.1</f>
        <v>2.7</v>
      </c>
      <c r="E4">
        <f t="shared" si="0"/>
        <v>1.0503333333333331</v>
      </c>
      <c r="F4">
        <f t="shared" si="1"/>
        <v>1</v>
      </c>
      <c r="H4">
        <f t="shared" ref="H4:H39" si="8">H3+0.1</f>
        <v>6.499999999999992</v>
      </c>
      <c r="I4">
        <f t="shared" ref="I4:I39" si="9">$B$5*H4+$B$6</f>
        <v>6.7566666666666553</v>
      </c>
      <c r="J4">
        <f t="shared" si="2"/>
        <v>7</v>
      </c>
      <c r="N4">
        <v>6</v>
      </c>
      <c r="O4">
        <v>7.2</v>
      </c>
      <c r="Q4">
        <f t="shared" ref="Q4:Q39" si="10">Q3+0.1</f>
        <v>2.7</v>
      </c>
      <c r="R4">
        <f t="shared" si="3"/>
        <v>2.0632100000000007</v>
      </c>
      <c r="S4">
        <f t="shared" si="4"/>
        <v>2</v>
      </c>
      <c r="U4">
        <f t="shared" ref="U4:U39" si="11">U3+0.1</f>
        <v>6.499999999999992</v>
      </c>
      <c r="V4">
        <f t="shared" si="5"/>
        <v>7.8441499999999884</v>
      </c>
      <c r="W4">
        <f t="shared" si="6"/>
        <v>8</v>
      </c>
    </row>
    <row r="5" spans="1:23" x14ac:dyDescent="0.35">
      <c r="A5" t="s">
        <v>332</v>
      </c>
      <c r="B5">
        <f>(B2-B3)/(A2-A3)</f>
        <v>1.5016666666666667</v>
      </c>
      <c r="D5">
        <f t="shared" si="7"/>
        <v>2.8000000000000003</v>
      </c>
      <c r="E5">
        <f t="shared" si="0"/>
        <v>1.2005000000000003</v>
      </c>
      <c r="F5">
        <f t="shared" si="1"/>
        <v>1</v>
      </c>
      <c r="H5">
        <f t="shared" si="8"/>
        <v>6.5999999999999917</v>
      </c>
      <c r="I5">
        <f t="shared" si="9"/>
        <v>6.9068333333333207</v>
      </c>
      <c r="J5">
        <f t="shared" si="2"/>
        <v>7</v>
      </c>
      <c r="N5">
        <v>6.5</v>
      </c>
      <c r="O5">
        <v>7.9</v>
      </c>
      <c r="Q5">
        <f t="shared" si="10"/>
        <v>2.8000000000000003</v>
      </c>
      <c r="R5">
        <f t="shared" si="3"/>
        <v>2.2153400000000012</v>
      </c>
      <c r="S5">
        <f t="shared" si="4"/>
        <v>2</v>
      </c>
      <c r="U5">
        <f t="shared" si="11"/>
        <v>6.5999999999999917</v>
      </c>
      <c r="V5">
        <f t="shared" si="5"/>
        <v>7.9962799999999881</v>
      </c>
      <c r="W5">
        <f t="shared" si="6"/>
        <v>8</v>
      </c>
    </row>
    <row r="6" spans="1:23" x14ac:dyDescent="0.35">
      <c r="A6" t="s">
        <v>333</v>
      </c>
      <c r="B6">
        <f>B3-A3*B5</f>
        <v>-3.0041666666666669</v>
      </c>
      <c r="D6">
        <f t="shared" si="7"/>
        <v>2.9000000000000004</v>
      </c>
      <c r="E6">
        <f t="shared" si="0"/>
        <v>1.3506666666666667</v>
      </c>
      <c r="F6">
        <f t="shared" si="1"/>
        <v>1.5</v>
      </c>
      <c r="H6">
        <f t="shared" si="8"/>
        <v>6.6999999999999913</v>
      </c>
      <c r="I6">
        <f t="shared" si="9"/>
        <v>7.0569999999999879</v>
      </c>
      <c r="J6">
        <f t="shared" si="2"/>
        <v>7</v>
      </c>
      <c r="N6">
        <v>7</v>
      </c>
      <c r="O6">
        <v>8.4</v>
      </c>
      <c r="Q6">
        <f t="shared" si="10"/>
        <v>2.9000000000000004</v>
      </c>
      <c r="R6">
        <f t="shared" si="3"/>
        <v>2.3674700000000009</v>
      </c>
      <c r="S6">
        <f t="shared" si="4"/>
        <v>2.5</v>
      </c>
      <c r="U6">
        <f t="shared" si="11"/>
        <v>6.6999999999999913</v>
      </c>
      <c r="V6">
        <f t="shared" si="5"/>
        <v>8.1484099999999877</v>
      </c>
      <c r="W6">
        <f t="shared" si="6"/>
        <v>8</v>
      </c>
    </row>
    <row r="7" spans="1:23" x14ac:dyDescent="0.35">
      <c r="D7">
        <f t="shared" si="7"/>
        <v>3.0000000000000004</v>
      </c>
      <c r="E7">
        <f t="shared" si="0"/>
        <v>1.5008333333333339</v>
      </c>
      <c r="F7">
        <f t="shared" si="1"/>
        <v>1.5</v>
      </c>
      <c r="H7">
        <f t="shared" si="8"/>
        <v>6.7999999999999909</v>
      </c>
      <c r="I7">
        <f t="shared" si="9"/>
        <v>7.2071666666666534</v>
      </c>
      <c r="J7">
        <f t="shared" si="2"/>
        <v>7</v>
      </c>
      <c r="N7">
        <v>4.5</v>
      </c>
      <c r="O7">
        <v>4.9000000000000004</v>
      </c>
      <c r="Q7">
        <f t="shared" si="10"/>
        <v>3.0000000000000004</v>
      </c>
      <c r="R7">
        <f t="shared" si="3"/>
        <v>2.5196000000000014</v>
      </c>
      <c r="S7">
        <f t="shared" si="4"/>
        <v>2.5</v>
      </c>
      <c r="U7">
        <f t="shared" si="11"/>
        <v>6.7999999999999909</v>
      </c>
      <c r="V7">
        <f t="shared" si="5"/>
        <v>8.3005399999999874</v>
      </c>
      <c r="W7">
        <f t="shared" si="6"/>
        <v>8.5</v>
      </c>
    </row>
    <row r="8" spans="1:23" x14ac:dyDescent="0.35">
      <c r="D8">
        <f t="shared" si="7"/>
        <v>3.1000000000000005</v>
      </c>
      <c r="E8">
        <f t="shared" si="0"/>
        <v>1.6510000000000011</v>
      </c>
      <c r="F8">
        <f t="shared" si="1"/>
        <v>1.5</v>
      </c>
      <c r="H8">
        <f t="shared" si="8"/>
        <v>6.8999999999999906</v>
      </c>
      <c r="I8">
        <f t="shared" si="9"/>
        <v>7.3573333333333188</v>
      </c>
      <c r="J8">
        <f t="shared" si="2"/>
        <v>7.5</v>
      </c>
      <c r="N8">
        <v>3.5</v>
      </c>
      <c r="O8">
        <v>3.1</v>
      </c>
      <c r="Q8">
        <f t="shared" si="10"/>
        <v>3.1000000000000005</v>
      </c>
      <c r="R8">
        <f t="shared" si="3"/>
        <v>2.671730000000001</v>
      </c>
      <c r="S8">
        <f t="shared" si="4"/>
        <v>2.5</v>
      </c>
      <c r="U8">
        <f t="shared" si="11"/>
        <v>6.8999999999999906</v>
      </c>
      <c r="V8">
        <f t="shared" si="5"/>
        <v>8.452669999999987</v>
      </c>
      <c r="W8">
        <f t="shared" si="6"/>
        <v>8.5</v>
      </c>
    </row>
    <row r="9" spans="1:23" x14ac:dyDescent="0.35">
      <c r="D9">
        <f t="shared" si="7"/>
        <v>3.2000000000000006</v>
      </c>
      <c r="E9">
        <f t="shared" si="0"/>
        <v>1.8011666666666675</v>
      </c>
      <c r="F9">
        <f t="shared" si="1"/>
        <v>2</v>
      </c>
      <c r="H9">
        <f t="shared" si="8"/>
        <v>6.9999999999999902</v>
      </c>
      <c r="I9">
        <f t="shared" si="9"/>
        <v>7.5074999999999861</v>
      </c>
      <c r="J9">
        <f t="shared" si="2"/>
        <v>7.5</v>
      </c>
      <c r="Q9">
        <f t="shared" si="10"/>
        <v>3.2000000000000006</v>
      </c>
      <c r="R9">
        <f t="shared" si="3"/>
        <v>2.8238600000000016</v>
      </c>
      <c r="S9">
        <f t="shared" si="4"/>
        <v>3</v>
      </c>
      <c r="U9">
        <f t="shared" si="11"/>
        <v>6.9999999999999902</v>
      </c>
      <c r="V9">
        <f t="shared" si="5"/>
        <v>8.6047999999999867</v>
      </c>
      <c r="W9">
        <f t="shared" si="6"/>
        <v>8.5</v>
      </c>
    </row>
    <row r="10" spans="1:23" x14ac:dyDescent="0.35">
      <c r="D10">
        <f t="shared" si="7"/>
        <v>3.3000000000000007</v>
      </c>
      <c r="E10">
        <f t="shared" si="0"/>
        <v>1.9513333333333347</v>
      </c>
      <c r="F10">
        <f t="shared" si="1"/>
        <v>2</v>
      </c>
      <c r="H10">
        <f t="shared" si="8"/>
        <v>7.0999999999999899</v>
      </c>
      <c r="I10">
        <f t="shared" si="9"/>
        <v>7.6576666666666515</v>
      </c>
      <c r="J10">
        <f t="shared" si="2"/>
        <v>7.5</v>
      </c>
      <c r="Q10">
        <f t="shared" si="10"/>
        <v>3.3000000000000007</v>
      </c>
      <c r="R10">
        <f t="shared" si="3"/>
        <v>2.9759900000000012</v>
      </c>
      <c r="S10">
        <f t="shared" si="4"/>
        <v>3</v>
      </c>
      <c r="U10">
        <f t="shared" si="11"/>
        <v>7.0999999999999899</v>
      </c>
      <c r="V10">
        <f t="shared" si="5"/>
        <v>8.7569299999999863</v>
      </c>
      <c r="W10">
        <f t="shared" si="6"/>
        <v>9</v>
      </c>
    </row>
    <row r="11" spans="1:23" x14ac:dyDescent="0.35">
      <c r="D11">
        <f t="shared" si="7"/>
        <v>3.4000000000000008</v>
      </c>
      <c r="E11">
        <f t="shared" si="0"/>
        <v>2.101500000000001</v>
      </c>
      <c r="F11">
        <f t="shared" si="1"/>
        <v>2</v>
      </c>
      <c r="H11">
        <f t="shared" si="8"/>
        <v>7.1999999999999895</v>
      </c>
      <c r="I11">
        <f t="shared" si="9"/>
        <v>7.8078333333333187</v>
      </c>
      <c r="J11">
        <f t="shared" si="2"/>
        <v>8</v>
      </c>
      <c r="N11" t="s">
        <v>332</v>
      </c>
      <c r="O11">
        <v>1.5213000000000001</v>
      </c>
      <c r="Q11">
        <f t="shared" si="10"/>
        <v>3.4000000000000008</v>
      </c>
      <c r="R11">
        <f t="shared" si="3"/>
        <v>3.1281200000000018</v>
      </c>
      <c r="S11">
        <f t="shared" si="4"/>
        <v>3</v>
      </c>
      <c r="U11">
        <f t="shared" si="11"/>
        <v>7.1999999999999895</v>
      </c>
      <c r="V11">
        <f t="shared" si="5"/>
        <v>8.9090599999999842</v>
      </c>
      <c r="W11">
        <f t="shared" si="6"/>
        <v>9</v>
      </c>
    </row>
    <row r="12" spans="1:23" x14ac:dyDescent="0.35">
      <c r="D12">
        <f t="shared" si="7"/>
        <v>3.5000000000000009</v>
      </c>
      <c r="E12">
        <f t="shared" si="0"/>
        <v>2.2516666666666683</v>
      </c>
      <c r="F12">
        <f t="shared" si="1"/>
        <v>2.5</v>
      </c>
      <c r="H12">
        <f t="shared" si="8"/>
        <v>7.2999999999999892</v>
      </c>
      <c r="I12">
        <f t="shared" si="9"/>
        <v>7.9579999999999842</v>
      </c>
      <c r="J12">
        <f t="shared" si="2"/>
        <v>8</v>
      </c>
      <c r="N12" t="s">
        <v>333</v>
      </c>
      <c r="O12">
        <v>-2.0442999999999998</v>
      </c>
      <c r="Q12">
        <f t="shared" si="10"/>
        <v>3.5000000000000009</v>
      </c>
      <c r="R12">
        <f t="shared" si="3"/>
        <v>3.2802500000000023</v>
      </c>
      <c r="S12">
        <f t="shared" si="4"/>
        <v>3.5</v>
      </c>
      <c r="U12">
        <f t="shared" si="11"/>
        <v>7.2999999999999892</v>
      </c>
      <c r="V12">
        <f t="shared" si="5"/>
        <v>9.0611899999999839</v>
      </c>
      <c r="W12">
        <f t="shared" si="6"/>
        <v>9</v>
      </c>
    </row>
    <row r="13" spans="1:23" x14ac:dyDescent="0.35">
      <c r="D13">
        <f t="shared" si="7"/>
        <v>3.600000000000001</v>
      </c>
      <c r="E13">
        <f t="shared" si="0"/>
        <v>2.4018333333333346</v>
      </c>
      <c r="F13">
        <f t="shared" si="1"/>
        <v>2.5</v>
      </c>
      <c r="H13">
        <f t="shared" si="8"/>
        <v>7.3999999999999888</v>
      </c>
      <c r="I13">
        <f t="shared" si="9"/>
        <v>8.1081666666666496</v>
      </c>
      <c r="J13">
        <f t="shared" si="2"/>
        <v>8</v>
      </c>
      <c r="Q13">
        <f t="shared" si="10"/>
        <v>3.600000000000001</v>
      </c>
      <c r="R13">
        <f t="shared" si="3"/>
        <v>3.432380000000002</v>
      </c>
      <c r="S13">
        <f t="shared" si="4"/>
        <v>3.5</v>
      </c>
      <c r="U13">
        <f t="shared" si="11"/>
        <v>7.3999999999999888</v>
      </c>
      <c r="V13">
        <f t="shared" si="5"/>
        <v>9.2133199999999835</v>
      </c>
      <c r="W13">
        <f t="shared" si="6"/>
        <v>9</v>
      </c>
    </row>
    <row r="14" spans="1:23" x14ac:dyDescent="0.35">
      <c r="D14">
        <f t="shared" si="7"/>
        <v>3.7000000000000011</v>
      </c>
      <c r="E14">
        <f t="shared" si="0"/>
        <v>2.5520000000000018</v>
      </c>
      <c r="F14">
        <f t="shared" si="1"/>
        <v>2.5</v>
      </c>
      <c r="H14">
        <f t="shared" si="8"/>
        <v>7.4999999999999885</v>
      </c>
      <c r="I14">
        <f t="shared" si="9"/>
        <v>8.2583333333333169</v>
      </c>
      <c r="J14">
        <f t="shared" si="2"/>
        <v>8.5</v>
      </c>
      <c r="Q14">
        <f t="shared" si="10"/>
        <v>3.7000000000000011</v>
      </c>
      <c r="R14">
        <f t="shared" si="3"/>
        <v>3.5845100000000025</v>
      </c>
      <c r="S14">
        <f t="shared" si="4"/>
        <v>3.5</v>
      </c>
      <c r="U14">
        <f t="shared" si="11"/>
        <v>7.4999999999999885</v>
      </c>
      <c r="V14">
        <f t="shared" si="5"/>
        <v>9.3654499999999832</v>
      </c>
      <c r="W14">
        <f t="shared" si="6"/>
        <v>9.5</v>
      </c>
    </row>
    <row r="15" spans="1:23" x14ac:dyDescent="0.35">
      <c r="D15">
        <f t="shared" si="7"/>
        <v>3.8000000000000012</v>
      </c>
      <c r="E15">
        <f t="shared" si="0"/>
        <v>2.7021666666666682</v>
      </c>
      <c r="F15">
        <f t="shared" si="1"/>
        <v>2.5</v>
      </c>
      <c r="H15">
        <f t="shared" si="8"/>
        <v>7.5999999999999881</v>
      </c>
      <c r="I15">
        <f t="shared" si="9"/>
        <v>8.4084999999999823</v>
      </c>
      <c r="J15">
        <f t="shared" si="2"/>
        <v>8.5</v>
      </c>
      <c r="Q15">
        <f t="shared" si="10"/>
        <v>3.8000000000000012</v>
      </c>
      <c r="R15">
        <f t="shared" si="3"/>
        <v>3.7366400000000022</v>
      </c>
      <c r="S15">
        <f t="shared" si="4"/>
        <v>3.5</v>
      </c>
      <c r="U15">
        <f t="shared" si="11"/>
        <v>7.5999999999999881</v>
      </c>
      <c r="V15">
        <f t="shared" si="5"/>
        <v>9.5175799999999828</v>
      </c>
      <c r="W15">
        <f t="shared" si="6"/>
        <v>9.5</v>
      </c>
    </row>
    <row r="16" spans="1:23" x14ac:dyDescent="0.35">
      <c r="D16">
        <f t="shared" si="7"/>
        <v>3.9000000000000012</v>
      </c>
      <c r="E16">
        <f t="shared" si="0"/>
        <v>2.8523333333333354</v>
      </c>
      <c r="F16">
        <f t="shared" si="1"/>
        <v>3</v>
      </c>
      <c r="H16">
        <f t="shared" si="8"/>
        <v>7.6999999999999877</v>
      </c>
      <c r="I16">
        <f t="shared" si="9"/>
        <v>8.5586666666666495</v>
      </c>
      <c r="J16">
        <f t="shared" si="2"/>
        <v>8.5</v>
      </c>
      <c r="Q16">
        <f t="shared" si="10"/>
        <v>3.9000000000000012</v>
      </c>
      <c r="R16">
        <f t="shared" si="3"/>
        <v>3.8887700000000027</v>
      </c>
      <c r="S16">
        <f t="shared" si="4"/>
        <v>4</v>
      </c>
      <c r="U16">
        <f t="shared" si="11"/>
        <v>7.6999999999999877</v>
      </c>
      <c r="V16">
        <f t="shared" si="5"/>
        <v>9.6697099999999825</v>
      </c>
      <c r="W16">
        <f t="shared" si="6"/>
        <v>9.5</v>
      </c>
    </row>
    <row r="17" spans="4:23" x14ac:dyDescent="0.35">
      <c r="D17">
        <f t="shared" si="7"/>
        <v>4.0000000000000009</v>
      </c>
      <c r="E17">
        <f t="shared" si="0"/>
        <v>3.0025000000000017</v>
      </c>
      <c r="F17">
        <f t="shared" si="1"/>
        <v>3</v>
      </c>
      <c r="H17">
        <f t="shared" si="8"/>
        <v>7.7999999999999874</v>
      </c>
      <c r="I17">
        <f t="shared" si="9"/>
        <v>8.708833333333315</v>
      </c>
      <c r="J17">
        <f t="shared" si="2"/>
        <v>8.5</v>
      </c>
      <c r="Q17">
        <f t="shared" si="10"/>
        <v>4.0000000000000009</v>
      </c>
      <c r="R17">
        <f t="shared" si="3"/>
        <v>4.0409000000000024</v>
      </c>
      <c r="S17">
        <f t="shared" si="4"/>
        <v>4</v>
      </c>
      <c r="U17">
        <f t="shared" si="11"/>
        <v>7.7999999999999874</v>
      </c>
      <c r="V17">
        <f t="shared" si="5"/>
        <v>9.8218399999999821</v>
      </c>
      <c r="W17">
        <f t="shared" si="6"/>
        <v>10</v>
      </c>
    </row>
    <row r="18" spans="4:23" x14ac:dyDescent="0.35">
      <c r="D18">
        <f t="shared" si="7"/>
        <v>4.1000000000000005</v>
      </c>
      <c r="E18">
        <f t="shared" si="0"/>
        <v>3.1526666666666672</v>
      </c>
      <c r="F18">
        <f t="shared" si="1"/>
        <v>3</v>
      </c>
      <c r="H18">
        <f t="shared" si="8"/>
        <v>7.899999999999987</v>
      </c>
      <c r="I18">
        <f t="shared" si="9"/>
        <v>8.8589999999999804</v>
      </c>
      <c r="J18">
        <f t="shared" si="2"/>
        <v>9</v>
      </c>
      <c r="Q18">
        <f t="shared" si="10"/>
        <v>4.1000000000000005</v>
      </c>
      <c r="R18">
        <f t="shared" si="3"/>
        <v>4.1930300000000011</v>
      </c>
      <c r="S18">
        <f t="shared" si="4"/>
        <v>4</v>
      </c>
      <c r="U18">
        <f t="shared" si="11"/>
        <v>7.899999999999987</v>
      </c>
      <c r="V18">
        <f t="shared" si="5"/>
        <v>9.9739699999999818</v>
      </c>
      <c r="W18">
        <f t="shared" si="6"/>
        <v>10</v>
      </c>
    </row>
    <row r="19" spans="4:23" x14ac:dyDescent="0.35">
      <c r="D19">
        <f t="shared" si="7"/>
        <v>4.2</v>
      </c>
      <c r="E19">
        <f t="shared" si="0"/>
        <v>3.3028333333333335</v>
      </c>
      <c r="F19">
        <f t="shared" si="1"/>
        <v>3.5</v>
      </c>
      <c r="H19">
        <f t="shared" si="8"/>
        <v>7.9999999999999867</v>
      </c>
      <c r="I19">
        <f t="shared" si="9"/>
        <v>9.0091666666666477</v>
      </c>
      <c r="J19">
        <f t="shared" si="2"/>
        <v>9</v>
      </c>
      <c r="Q19">
        <f t="shared" si="10"/>
        <v>4.2</v>
      </c>
      <c r="R19">
        <f t="shared" si="3"/>
        <v>4.3451600000000008</v>
      </c>
      <c r="S19">
        <f t="shared" si="4"/>
        <v>4.5</v>
      </c>
      <c r="U19">
        <f t="shared" si="11"/>
        <v>7.9999999999999867</v>
      </c>
      <c r="V19">
        <f t="shared" si="5"/>
        <v>10.126099999999981</v>
      </c>
      <c r="W19">
        <f t="shared" si="6"/>
        <v>10</v>
      </c>
    </row>
    <row r="20" spans="4:23" x14ac:dyDescent="0.35">
      <c r="D20">
        <f t="shared" si="7"/>
        <v>4.3</v>
      </c>
      <c r="E20">
        <f t="shared" si="0"/>
        <v>3.4529999999999998</v>
      </c>
      <c r="F20">
        <f t="shared" si="1"/>
        <v>3.5</v>
      </c>
      <c r="H20">
        <f t="shared" si="8"/>
        <v>8.0999999999999872</v>
      </c>
      <c r="I20">
        <f t="shared" si="9"/>
        <v>9.1593333333333149</v>
      </c>
      <c r="J20">
        <f t="shared" si="2"/>
        <v>9</v>
      </c>
      <c r="Q20">
        <f t="shared" si="10"/>
        <v>4.3</v>
      </c>
      <c r="R20">
        <f t="shared" si="3"/>
        <v>4.4972900000000005</v>
      </c>
      <c r="S20">
        <f t="shared" si="4"/>
        <v>4.5</v>
      </c>
      <c r="U20">
        <f t="shared" si="11"/>
        <v>8.0999999999999872</v>
      </c>
      <c r="V20">
        <f t="shared" si="5"/>
        <v>10.278229999999981</v>
      </c>
      <c r="W20">
        <f t="shared" si="6"/>
        <v>10.5</v>
      </c>
    </row>
    <row r="21" spans="4:23" x14ac:dyDescent="0.35">
      <c r="D21">
        <f t="shared" si="7"/>
        <v>4.3999999999999995</v>
      </c>
      <c r="E21">
        <f t="shared" si="0"/>
        <v>3.6031666666666662</v>
      </c>
      <c r="F21">
        <f t="shared" si="1"/>
        <v>3.5</v>
      </c>
      <c r="H21">
        <f t="shared" si="8"/>
        <v>8.1999999999999869</v>
      </c>
      <c r="I21">
        <f t="shared" si="9"/>
        <v>9.3094999999999803</v>
      </c>
      <c r="J21">
        <f t="shared" si="2"/>
        <v>9.5</v>
      </c>
      <c r="Q21">
        <f t="shared" si="10"/>
        <v>4.3999999999999995</v>
      </c>
      <c r="R21">
        <f t="shared" si="3"/>
        <v>4.6494200000000001</v>
      </c>
      <c r="S21">
        <f t="shared" si="4"/>
        <v>4.5</v>
      </c>
      <c r="U21">
        <f t="shared" si="11"/>
        <v>8.1999999999999869</v>
      </c>
      <c r="V21">
        <f t="shared" si="5"/>
        <v>10.430359999999981</v>
      </c>
      <c r="W21">
        <f t="shared" si="6"/>
        <v>10.5</v>
      </c>
    </row>
    <row r="22" spans="4:23" x14ac:dyDescent="0.35">
      <c r="D22">
        <f t="shared" si="7"/>
        <v>4.4999999999999991</v>
      </c>
      <c r="E22">
        <f t="shared" si="0"/>
        <v>3.7533333333333316</v>
      </c>
      <c r="F22">
        <f t="shared" si="1"/>
        <v>4</v>
      </c>
      <c r="H22">
        <f t="shared" si="8"/>
        <v>8.2999999999999865</v>
      </c>
      <c r="I22">
        <f t="shared" si="9"/>
        <v>9.4596666666666476</v>
      </c>
      <c r="J22">
        <f t="shared" si="2"/>
        <v>9.5</v>
      </c>
      <c r="Q22">
        <f t="shared" si="10"/>
        <v>4.4999999999999991</v>
      </c>
      <c r="R22">
        <f t="shared" si="3"/>
        <v>4.8015499999999989</v>
      </c>
      <c r="S22">
        <f t="shared" si="4"/>
        <v>5</v>
      </c>
      <c r="U22">
        <f t="shared" si="11"/>
        <v>8.2999999999999865</v>
      </c>
      <c r="V22">
        <f t="shared" si="5"/>
        <v>10.58248999999998</v>
      </c>
      <c r="W22">
        <f t="shared" si="6"/>
        <v>10.5</v>
      </c>
    </row>
    <row r="23" spans="4:23" x14ac:dyDescent="0.35">
      <c r="D23">
        <f t="shared" si="7"/>
        <v>4.5999999999999988</v>
      </c>
      <c r="E23">
        <f t="shared" si="0"/>
        <v>3.903499999999998</v>
      </c>
      <c r="F23">
        <f t="shared" si="1"/>
        <v>4</v>
      </c>
      <c r="H23">
        <f t="shared" si="8"/>
        <v>8.3999999999999861</v>
      </c>
      <c r="I23">
        <f t="shared" si="9"/>
        <v>9.609833333333313</v>
      </c>
      <c r="J23">
        <f t="shared" si="2"/>
        <v>9.5</v>
      </c>
      <c r="Q23">
        <f t="shared" si="10"/>
        <v>4.5999999999999988</v>
      </c>
      <c r="R23">
        <f t="shared" si="3"/>
        <v>4.9536799999999985</v>
      </c>
      <c r="S23">
        <f t="shared" si="4"/>
        <v>5</v>
      </c>
      <c r="U23">
        <f t="shared" si="11"/>
        <v>8.3999999999999861</v>
      </c>
      <c r="V23">
        <f t="shared" si="5"/>
        <v>10.73461999999998</v>
      </c>
      <c r="W23">
        <f t="shared" si="6"/>
        <v>10.5</v>
      </c>
    </row>
    <row r="24" spans="4:23" x14ac:dyDescent="0.35">
      <c r="D24">
        <f t="shared" si="7"/>
        <v>4.6999999999999984</v>
      </c>
      <c r="E24">
        <f t="shared" si="0"/>
        <v>4.0536666666666648</v>
      </c>
      <c r="F24">
        <f t="shared" si="1"/>
        <v>4</v>
      </c>
      <c r="H24">
        <f t="shared" si="8"/>
        <v>8.4999999999999858</v>
      </c>
      <c r="I24" s="18">
        <f t="shared" si="9"/>
        <v>9.7599999999999785</v>
      </c>
      <c r="J24">
        <f>MROUND(I24,0.5)</f>
        <v>10</v>
      </c>
      <c r="Q24">
        <f t="shared" si="10"/>
        <v>4.6999999999999984</v>
      </c>
      <c r="R24">
        <f t="shared" si="3"/>
        <v>5.1058099999999982</v>
      </c>
      <c r="S24">
        <f t="shared" si="4"/>
        <v>5</v>
      </c>
      <c r="U24">
        <f t="shared" si="11"/>
        <v>8.4999999999999858</v>
      </c>
      <c r="V24">
        <f t="shared" si="5"/>
        <v>10.88674999999998</v>
      </c>
      <c r="W24">
        <f>MROUND(V24,0.5)</f>
        <v>11</v>
      </c>
    </row>
    <row r="25" spans="4:23" x14ac:dyDescent="0.35">
      <c r="D25">
        <f t="shared" si="7"/>
        <v>4.799999999999998</v>
      </c>
      <c r="E25">
        <f t="shared" si="0"/>
        <v>4.2038333333333302</v>
      </c>
      <c r="F25">
        <f t="shared" si="1"/>
        <v>4</v>
      </c>
      <c r="H25">
        <f t="shared" si="8"/>
        <v>8.5999999999999854</v>
      </c>
      <c r="I25">
        <f t="shared" si="9"/>
        <v>9.9101666666666457</v>
      </c>
      <c r="J25">
        <f t="shared" si="2"/>
        <v>10</v>
      </c>
      <c r="Q25">
        <f t="shared" si="10"/>
        <v>4.799999999999998</v>
      </c>
      <c r="R25">
        <f t="shared" si="3"/>
        <v>5.2579399999999978</v>
      </c>
      <c r="S25">
        <f t="shared" si="4"/>
        <v>5.5</v>
      </c>
      <c r="U25">
        <f t="shared" si="11"/>
        <v>8.5999999999999854</v>
      </c>
      <c r="V25">
        <f t="shared" si="5"/>
        <v>11.038879999999979</v>
      </c>
      <c r="W25">
        <f t="shared" ref="W25:W39" si="12">MROUND(V25,0.5)</f>
        <v>11</v>
      </c>
    </row>
    <row r="26" spans="4:23" x14ac:dyDescent="0.35">
      <c r="D26">
        <f t="shared" si="7"/>
        <v>4.8999999999999977</v>
      </c>
      <c r="E26">
        <f t="shared" si="0"/>
        <v>4.3539999999999957</v>
      </c>
      <c r="F26">
        <f t="shared" si="1"/>
        <v>4.5</v>
      </c>
      <c r="H26">
        <f t="shared" si="8"/>
        <v>8.6999999999999851</v>
      </c>
      <c r="I26">
        <f t="shared" si="9"/>
        <v>10.060333333333311</v>
      </c>
      <c r="J26">
        <f t="shared" si="2"/>
        <v>10</v>
      </c>
      <c r="Q26">
        <f t="shared" si="10"/>
        <v>4.8999999999999977</v>
      </c>
      <c r="R26">
        <f t="shared" si="3"/>
        <v>5.4100699999999975</v>
      </c>
      <c r="S26">
        <f t="shared" si="4"/>
        <v>5.5</v>
      </c>
      <c r="U26">
        <f t="shared" si="11"/>
        <v>8.6999999999999851</v>
      </c>
      <c r="V26">
        <f t="shared" si="5"/>
        <v>11.191009999999979</v>
      </c>
      <c r="W26">
        <f t="shared" si="12"/>
        <v>11</v>
      </c>
    </row>
    <row r="27" spans="4:23" x14ac:dyDescent="0.35">
      <c r="D27">
        <f t="shared" si="7"/>
        <v>4.9999999999999973</v>
      </c>
      <c r="E27">
        <f t="shared" si="0"/>
        <v>4.5041666666666629</v>
      </c>
      <c r="F27">
        <f t="shared" si="1"/>
        <v>4.5</v>
      </c>
      <c r="H27">
        <f t="shared" si="8"/>
        <v>8.7999999999999847</v>
      </c>
      <c r="I27">
        <f t="shared" si="9"/>
        <v>10.210499999999978</v>
      </c>
      <c r="J27">
        <f t="shared" si="2"/>
        <v>10</v>
      </c>
      <c r="Q27">
        <f t="shared" si="10"/>
        <v>4.9999999999999973</v>
      </c>
      <c r="R27">
        <f t="shared" si="3"/>
        <v>5.5621999999999963</v>
      </c>
      <c r="S27">
        <f t="shared" si="4"/>
        <v>5.5</v>
      </c>
      <c r="U27">
        <f t="shared" si="11"/>
        <v>8.7999999999999847</v>
      </c>
      <c r="V27">
        <f t="shared" si="5"/>
        <v>11.343139999999979</v>
      </c>
      <c r="W27">
        <f t="shared" si="12"/>
        <v>11.5</v>
      </c>
    </row>
    <row r="28" spans="4:23" x14ac:dyDescent="0.35">
      <c r="D28">
        <f t="shared" si="7"/>
        <v>5.099999999999997</v>
      </c>
      <c r="E28">
        <f t="shared" si="0"/>
        <v>4.6543333333333283</v>
      </c>
      <c r="F28">
        <f t="shared" si="1"/>
        <v>4.5</v>
      </c>
      <c r="H28">
        <f t="shared" si="8"/>
        <v>8.8999999999999844</v>
      </c>
      <c r="I28">
        <f t="shared" si="9"/>
        <v>10.360666666666644</v>
      </c>
      <c r="J28">
        <f t="shared" si="2"/>
        <v>10.5</v>
      </c>
      <c r="Q28">
        <f t="shared" si="10"/>
        <v>5.099999999999997</v>
      </c>
      <c r="R28">
        <f t="shared" si="3"/>
        <v>5.7143299999999959</v>
      </c>
      <c r="S28">
        <f t="shared" si="4"/>
        <v>5.5</v>
      </c>
      <c r="U28">
        <f t="shared" si="11"/>
        <v>8.8999999999999844</v>
      </c>
      <c r="V28">
        <f t="shared" si="5"/>
        <v>11.495269999999977</v>
      </c>
      <c r="W28">
        <f t="shared" si="12"/>
        <v>11.5</v>
      </c>
    </row>
    <row r="29" spans="4:23" x14ac:dyDescent="0.35">
      <c r="D29">
        <f t="shared" si="7"/>
        <v>5.1999999999999966</v>
      </c>
      <c r="E29">
        <f t="shared" si="0"/>
        <v>4.8044999999999956</v>
      </c>
      <c r="F29">
        <f t="shared" si="1"/>
        <v>5</v>
      </c>
      <c r="H29">
        <f t="shared" si="8"/>
        <v>8.999999999999984</v>
      </c>
      <c r="I29">
        <f t="shared" si="9"/>
        <v>10.510833333333309</v>
      </c>
      <c r="J29">
        <f t="shared" si="2"/>
        <v>10.5</v>
      </c>
      <c r="Q29">
        <f t="shared" si="10"/>
        <v>5.1999999999999966</v>
      </c>
      <c r="R29">
        <f t="shared" si="3"/>
        <v>5.8664599999999956</v>
      </c>
      <c r="S29">
        <f t="shared" si="4"/>
        <v>6</v>
      </c>
      <c r="U29">
        <f t="shared" si="11"/>
        <v>8.999999999999984</v>
      </c>
      <c r="V29">
        <f t="shared" si="5"/>
        <v>11.647399999999976</v>
      </c>
      <c r="W29">
        <f t="shared" si="12"/>
        <v>11.5</v>
      </c>
    </row>
    <row r="30" spans="4:23" x14ac:dyDescent="0.35">
      <c r="D30">
        <f t="shared" si="7"/>
        <v>5.2999999999999963</v>
      </c>
      <c r="E30">
        <f t="shared" si="0"/>
        <v>4.954666666666661</v>
      </c>
      <c r="F30">
        <f t="shared" si="1"/>
        <v>5</v>
      </c>
      <c r="H30">
        <f t="shared" si="8"/>
        <v>9.0999999999999837</v>
      </c>
      <c r="I30">
        <f t="shared" si="9"/>
        <v>10.660999999999976</v>
      </c>
      <c r="J30">
        <f t="shared" si="2"/>
        <v>10.5</v>
      </c>
      <c r="Q30">
        <f t="shared" si="10"/>
        <v>5.2999999999999963</v>
      </c>
      <c r="R30">
        <f t="shared" si="3"/>
        <v>6.0185899999999943</v>
      </c>
      <c r="S30">
        <f t="shared" si="4"/>
        <v>6</v>
      </c>
      <c r="U30">
        <f t="shared" si="11"/>
        <v>9.0999999999999837</v>
      </c>
      <c r="V30">
        <f t="shared" si="5"/>
        <v>11.799529999999976</v>
      </c>
      <c r="W30">
        <f t="shared" si="12"/>
        <v>12</v>
      </c>
    </row>
    <row r="31" spans="4:23" x14ac:dyDescent="0.35">
      <c r="D31">
        <f t="shared" si="7"/>
        <v>5.3999999999999959</v>
      </c>
      <c r="E31">
        <f t="shared" si="0"/>
        <v>5.1048333333333282</v>
      </c>
      <c r="F31">
        <f t="shared" si="1"/>
        <v>5</v>
      </c>
      <c r="H31">
        <f t="shared" si="8"/>
        <v>9.1999999999999833</v>
      </c>
      <c r="I31">
        <f t="shared" si="9"/>
        <v>10.811166666666642</v>
      </c>
      <c r="J31">
        <f t="shared" si="2"/>
        <v>11</v>
      </c>
      <c r="Q31">
        <f t="shared" si="10"/>
        <v>5.3999999999999959</v>
      </c>
      <c r="R31">
        <f t="shared" si="3"/>
        <v>6.170719999999994</v>
      </c>
      <c r="S31">
        <f t="shared" si="4"/>
        <v>6</v>
      </c>
      <c r="U31">
        <f t="shared" si="11"/>
        <v>9.1999999999999833</v>
      </c>
      <c r="V31">
        <f t="shared" si="5"/>
        <v>11.951659999999976</v>
      </c>
      <c r="W31">
        <f t="shared" si="12"/>
        <v>12</v>
      </c>
    </row>
    <row r="32" spans="4:23" x14ac:dyDescent="0.35">
      <c r="D32">
        <f t="shared" si="7"/>
        <v>5.4999999999999956</v>
      </c>
      <c r="E32">
        <f t="shared" si="0"/>
        <v>5.2549999999999937</v>
      </c>
      <c r="F32">
        <f t="shared" si="1"/>
        <v>5.5</v>
      </c>
      <c r="H32">
        <f t="shared" si="8"/>
        <v>9.2999999999999829</v>
      </c>
      <c r="I32">
        <f t="shared" si="9"/>
        <v>10.961333333333309</v>
      </c>
      <c r="J32">
        <f t="shared" si="2"/>
        <v>11</v>
      </c>
      <c r="Q32">
        <f t="shared" si="10"/>
        <v>5.4999999999999956</v>
      </c>
      <c r="R32">
        <f t="shared" si="3"/>
        <v>6.3228499999999936</v>
      </c>
      <c r="S32">
        <f t="shared" si="4"/>
        <v>6.5</v>
      </c>
      <c r="U32">
        <f t="shared" si="11"/>
        <v>9.2999999999999829</v>
      </c>
      <c r="V32">
        <f t="shared" si="5"/>
        <v>12.103789999999975</v>
      </c>
      <c r="W32">
        <f t="shared" si="12"/>
        <v>12</v>
      </c>
    </row>
    <row r="33" spans="4:23" x14ac:dyDescent="0.35">
      <c r="D33">
        <f t="shared" si="7"/>
        <v>5.5999999999999952</v>
      </c>
      <c r="E33">
        <f t="shared" si="0"/>
        <v>5.4051666666666591</v>
      </c>
      <c r="F33">
        <f t="shared" si="1"/>
        <v>5.5</v>
      </c>
      <c r="H33">
        <f t="shared" si="8"/>
        <v>9.3999999999999826</v>
      </c>
      <c r="I33">
        <f t="shared" si="9"/>
        <v>11.111499999999975</v>
      </c>
      <c r="J33">
        <f t="shared" si="2"/>
        <v>11</v>
      </c>
      <c r="Q33">
        <f t="shared" si="10"/>
        <v>5.5999999999999952</v>
      </c>
      <c r="R33">
        <f t="shared" si="3"/>
        <v>6.4749799999999933</v>
      </c>
      <c r="S33">
        <f t="shared" si="4"/>
        <v>6.5</v>
      </c>
      <c r="U33">
        <f t="shared" si="11"/>
        <v>9.3999999999999826</v>
      </c>
      <c r="V33">
        <f t="shared" si="5"/>
        <v>12.255919999999975</v>
      </c>
      <c r="W33">
        <f t="shared" si="12"/>
        <v>12.5</v>
      </c>
    </row>
    <row r="34" spans="4:23" x14ac:dyDescent="0.35">
      <c r="D34">
        <f t="shared" si="7"/>
        <v>5.6999999999999948</v>
      </c>
      <c r="E34">
        <f t="shared" si="0"/>
        <v>5.5553333333333264</v>
      </c>
      <c r="F34">
        <f t="shared" si="1"/>
        <v>5.5</v>
      </c>
      <c r="H34">
        <f t="shared" si="8"/>
        <v>9.4999999999999822</v>
      </c>
      <c r="I34">
        <f t="shared" si="9"/>
        <v>11.26166666666664</v>
      </c>
      <c r="J34">
        <f t="shared" si="2"/>
        <v>11.5</v>
      </c>
      <c r="Q34">
        <f t="shared" si="10"/>
        <v>5.6999999999999948</v>
      </c>
      <c r="R34">
        <f t="shared" si="3"/>
        <v>6.627109999999993</v>
      </c>
      <c r="S34">
        <f t="shared" si="4"/>
        <v>6.5</v>
      </c>
      <c r="U34">
        <f t="shared" si="11"/>
        <v>9.4999999999999822</v>
      </c>
      <c r="V34">
        <f t="shared" si="5"/>
        <v>12.408049999999974</v>
      </c>
      <c r="W34">
        <f t="shared" si="12"/>
        <v>12.5</v>
      </c>
    </row>
    <row r="35" spans="4:23" x14ac:dyDescent="0.35">
      <c r="D35">
        <f t="shared" si="7"/>
        <v>5.7999999999999945</v>
      </c>
      <c r="E35">
        <f t="shared" si="0"/>
        <v>5.7054999999999918</v>
      </c>
      <c r="F35">
        <f t="shared" si="1"/>
        <v>5.5</v>
      </c>
      <c r="H35">
        <f t="shared" si="8"/>
        <v>9.5999999999999819</v>
      </c>
      <c r="I35">
        <f t="shared" si="9"/>
        <v>11.411833333333307</v>
      </c>
      <c r="J35">
        <f t="shared" si="2"/>
        <v>11.5</v>
      </c>
      <c r="Q35">
        <f t="shared" si="10"/>
        <v>5.7999999999999945</v>
      </c>
      <c r="R35">
        <f t="shared" si="3"/>
        <v>6.7792399999999926</v>
      </c>
      <c r="S35">
        <f t="shared" si="4"/>
        <v>7</v>
      </c>
      <c r="U35">
        <f t="shared" si="11"/>
        <v>9.5999999999999819</v>
      </c>
      <c r="V35">
        <f t="shared" si="5"/>
        <v>12.560179999999974</v>
      </c>
      <c r="W35">
        <f t="shared" si="12"/>
        <v>12.5</v>
      </c>
    </row>
    <row r="36" spans="4:23" x14ac:dyDescent="0.35">
      <c r="D36">
        <f t="shared" si="7"/>
        <v>5.8999999999999941</v>
      </c>
      <c r="E36">
        <f t="shared" si="0"/>
        <v>5.855666666666659</v>
      </c>
      <c r="F36">
        <f t="shared" si="1"/>
        <v>6</v>
      </c>
      <c r="H36">
        <f t="shared" si="8"/>
        <v>9.6999999999999815</v>
      </c>
      <c r="I36">
        <f t="shared" si="9"/>
        <v>11.561999999999973</v>
      </c>
      <c r="J36">
        <f t="shared" si="2"/>
        <v>11.5</v>
      </c>
      <c r="Q36">
        <f t="shared" si="10"/>
        <v>5.8999999999999941</v>
      </c>
      <c r="R36">
        <f t="shared" si="3"/>
        <v>6.9313699999999923</v>
      </c>
      <c r="S36">
        <f t="shared" si="4"/>
        <v>7</v>
      </c>
      <c r="U36">
        <f t="shared" si="11"/>
        <v>9.6999999999999815</v>
      </c>
      <c r="V36">
        <f t="shared" si="5"/>
        <v>12.712309999999974</v>
      </c>
      <c r="W36">
        <f t="shared" si="12"/>
        <v>12.5</v>
      </c>
    </row>
    <row r="37" spans="4:23" x14ac:dyDescent="0.35">
      <c r="D37">
        <f t="shared" si="7"/>
        <v>5.9999999999999938</v>
      </c>
      <c r="E37">
        <f t="shared" si="0"/>
        <v>6.0058333333333245</v>
      </c>
      <c r="F37">
        <f t="shared" si="1"/>
        <v>6</v>
      </c>
      <c r="H37">
        <f t="shared" si="8"/>
        <v>9.7999999999999812</v>
      </c>
      <c r="I37">
        <f t="shared" si="9"/>
        <v>11.712166666666638</v>
      </c>
      <c r="J37">
        <f t="shared" si="2"/>
        <v>11.5</v>
      </c>
      <c r="Q37">
        <f t="shared" si="10"/>
        <v>5.9999999999999938</v>
      </c>
      <c r="R37">
        <f t="shared" si="3"/>
        <v>7.0834999999999919</v>
      </c>
      <c r="S37">
        <f t="shared" si="4"/>
        <v>7</v>
      </c>
      <c r="U37">
        <f t="shared" si="11"/>
        <v>9.7999999999999812</v>
      </c>
      <c r="V37">
        <f t="shared" si="5"/>
        <v>12.864439999999972</v>
      </c>
      <c r="W37">
        <f t="shared" si="12"/>
        <v>13</v>
      </c>
    </row>
    <row r="38" spans="4:23" x14ac:dyDescent="0.35">
      <c r="D38">
        <f t="shared" si="7"/>
        <v>6.0999999999999934</v>
      </c>
      <c r="E38">
        <f t="shared" si="0"/>
        <v>6.1559999999999899</v>
      </c>
      <c r="F38">
        <f t="shared" si="1"/>
        <v>6</v>
      </c>
      <c r="H38">
        <f t="shared" si="8"/>
        <v>9.8999999999999808</v>
      </c>
      <c r="I38">
        <f t="shared" si="9"/>
        <v>11.862333333333305</v>
      </c>
      <c r="J38">
        <f t="shared" si="2"/>
        <v>12</v>
      </c>
      <c r="Q38">
        <f t="shared" si="10"/>
        <v>6.0999999999999934</v>
      </c>
      <c r="R38">
        <f t="shared" si="3"/>
        <v>7.2356299999999916</v>
      </c>
      <c r="S38">
        <f t="shared" si="4"/>
        <v>7</v>
      </c>
      <c r="U38">
        <f t="shared" si="11"/>
        <v>9.8999999999999808</v>
      </c>
      <c r="V38">
        <f t="shared" si="5"/>
        <v>13.016569999999971</v>
      </c>
      <c r="W38">
        <f t="shared" si="12"/>
        <v>13</v>
      </c>
    </row>
    <row r="39" spans="4:23" x14ac:dyDescent="0.35">
      <c r="D39">
        <f t="shared" si="7"/>
        <v>6.1999999999999931</v>
      </c>
      <c r="E39">
        <f t="shared" si="0"/>
        <v>6.3061666666666572</v>
      </c>
      <c r="F39">
        <f t="shared" si="1"/>
        <v>6.5</v>
      </c>
      <c r="H39">
        <f t="shared" si="8"/>
        <v>9.9999999999999805</v>
      </c>
      <c r="I39">
        <f t="shared" si="9"/>
        <v>12.012499999999971</v>
      </c>
      <c r="J39">
        <f t="shared" si="2"/>
        <v>12</v>
      </c>
      <c r="Q39">
        <f t="shared" si="10"/>
        <v>6.1999999999999931</v>
      </c>
      <c r="R39">
        <f t="shared" si="3"/>
        <v>7.3877599999999894</v>
      </c>
      <c r="S39">
        <f t="shared" si="4"/>
        <v>7.5</v>
      </c>
      <c r="U39">
        <f t="shared" si="11"/>
        <v>9.9999999999999805</v>
      </c>
      <c r="V39">
        <f t="shared" si="5"/>
        <v>13.168699999999971</v>
      </c>
      <c r="W39">
        <f t="shared" si="12"/>
        <v>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Y85"/>
  <sheetViews>
    <sheetView zoomScale="85" zoomScaleNormal="85" workbookViewId="0">
      <pane xSplit="1" topLeftCell="E1" activePane="topRight" state="frozen"/>
      <selection activeCell="A31" sqref="A31"/>
      <selection pane="topRight" activeCell="Y11" sqref="Y11"/>
    </sheetView>
  </sheetViews>
  <sheetFormatPr defaultRowHeight="14.5" x14ac:dyDescent="0.35"/>
  <cols>
    <col min="2" max="6" width="12.26953125" bestFit="1" customWidth="1"/>
    <col min="7" max="9" width="12.26953125" style="22" bestFit="1" customWidth="1"/>
    <col min="10" max="11" width="12.26953125" bestFit="1" customWidth="1"/>
    <col min="12" max="12" width="12.26953125" style="22" bestFit="1" customWidth="1"/>
    <col min="13" max="14" width="12.26953125" bestFit="1" customWidth="1"/>
    <col min="15" max="17" width="12.26953125" style="22" bestFit="1" customWidth="1"/>
    <col min="18" max="18" width="12.26953125" bestFit="1" customWidth="1"/>
    <col min="19" max="19" width="12.26953125" style="22" bestFit="1" customWidth="1"/>
    <col min="20" max="21" width="12.26953125" bestFit="1" customWidth="1"/>
    <col min="22" max="22" width="9.6328125" bestFit="1" customWidth="1"/>
    <col min="23" max="23" width="9.6328125" customWidth="1"/>
    <col min="25" max="25" width="16.6328125" bestFit="1" customWidth="1"/>
  </cols>
  <sheetData>
    <row r="1" spans="1:25" x14ac:dyDescent="0.35"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  <c r="N1" s="22" t="s">
        <v>69</v>
      </c>
      <c r="O1" s="22" t="s">
        <v>70</v>
      </c>
      <c r="P1" s="22" t="s">
        <v>71</v>
      </c>
      <c r="Q1" s="22" t="s">
        <v>72</v>
      </c>
      <c r="R1" s="22" t="s">
        <v>73</v>
      </c>
      <c r="S1" s="22" t="s">
        <v>76</v>
      </c>
      <c r="T1" s="22" t="s">
        <v>331</v>
      </c>
      <c r="U1" s="22" t="s">
        <v>338</v>
      </c>
      <c r="Y1" t="s">
        <v>349</v>
      </c>
    </row>
    <row r="2" spans="1:25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S2" s="19">
        <v>85.84</v>
      </c>
      <c r="T2" s="19">
        <v>90.34</v>
      </c>
      <c r="U2" s="19">
        <v>93.34</v>
      </c>
      <c r="Y2" s="1">
        <v>46051</v>
      </c>
    </row>
    <row r="3" spans="1:25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19">
        <v>27</v>
      </c>
      <c r="S3" s="19">
        <v>85.84</v>
      </c>
      <c r="T3" s="19">
        <v>90.34</v>
      </c>
      <c r="U3" s="21">
        <v>93.34</v>
      </c>
    </row>
    <row r="4" spans="1:25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</row>
    <row r="5" spans="1:25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S5" s="19">
        <v>85.84</v>
      </c>
      <c r="T5" s="19">
        <v>90.34</v>
      </c>
      <c r="U5" s="21">
        <v>93.34</v>
      </c>
      <c r="V5" s="19"/>
      <c r="W5" s="19"/>
      <c r="X5" t="s">
        <v>370</v>
      </c>
      <c r="Y5">
        <v>10</v>
      </c>
    </row>
    <row r="6" spans="1:25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19">
        <v>81.34</v>
      </c>
      <c r="S6" s="19">
        <v>85.84</v>
      </c>
      <c r="T6" s="19">
        <v>90.34</v>
      </c>
      <c r="U6" s="21">
        <v>93.34</v>
      </c>
      <c r="X6" t="s">
        <v>371</v>
      </c>
      <c r="Y6">
        <f>27*Y5</f>
        <v>270</v>
      </c>
    </row>
    <row r="7" spans="1:25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19">
        <v>81.34</v>
      </c>
      <c r="S7" s="19">
        <v>85.84</v>
      </c>
      <c r="T7" s="19">
        <v>90.34</v>
      </c>
      <c r="U7" s="21">
        <v>93.34</v>
      </c>
      <c r="V7" s="19"/>
      <c r="W7" s="19"/>
      <c r="X7" t="s">
        <v>372</v>
      </c>
      <c r="Y7">
        <f>1950-Y6</f>
        <v>1680</v>
      </c>
    </row>
    <row r="8" spans="1:25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T8" s="19">
        <v>90.34</v>
      </c>
      <c r="X8" t="s">
        <v>373</v>
      </c>
      <c r="Y8">
        <f>Y7/18</f>
        <v>93.333333333333329</v>
      </c>
    </row>
    <row r="9" spans="1:25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</row>
    <row r="10" spans="1:25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  <c r="S10" s="19">
        <v>85.84</v>
      </c>
      <c r="T10" s="19">
        <v>90.34</v>
      </c>
      <c r="U10" s="21">
        <v>93.34</v>
      </c>
    </row>
    <row r="11" spans="1:25" x14ac:dyDescent="0.35">
      <c r="A11" t="s">
        <v>19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19">
        <v>81.34</v>
      </c>
      <c r="S11" s="19">
        <v>85.84</v>
      </c>
      <c r="T11" s="19">
        <v>90.34</v>
      </c>
      <c r="U11" s="21">
        <v>93.34</v>
      </c>
    </row>
    <row r="12" spans="1:25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  <c r="S12" s="19">
        <v>85.84</v>
      </c>
      <c r="T12" s="19">
        <v>90.34</v>
      </c>
      <c r="U12" s="19">
        <v>93.34</v>
      </c>
    </row>
    <row r="13" spans="1:25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19">
        <v>81.34</v>
      </c>
      <c r="S13" s="19">
        <v>85.84</v>
      </c>
      <c r="T13" s="19">
        <v>90.34</v>
      </c>
      <c r="U13" s="21">
        <v>93.34</v>
      </c>
    </row>
    <row r="14" spans="1:25" x14ac:dyDescent="0.35">
      <c r="A14" t="s">
        <v>25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19">
        <v>81.34</v>
      </c>
      <c r="S14" s="19">
        <v>85.84</v>
      </c>
      <c r="T14" s="19">
        <v>90.34</v>
      </c>
      <c r="U14" s="21">
        <v>93.34</v>
      </c>
    </row>
    <row r="15" spans="1:25" x14ac:dyDescent="0.35">
      <c r="A15" t="s">
        <v>82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19">
        <v>81.34</v>
      </c>
      <c r="S15" s="19">
        <v>85.84</v>
      </c>
      <c r="T15" s="19">
        <v>90.34</v>
      </c>
      <c r="U15" s="21">
        <v>93.34</v>
      </c>
    </row>
    <row r="16" spans="1:25" x14ac:dyDescent="0.35">
      <c r="A16" t="s">
        <v>23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  <c r="S16" s="19">
        <v>85.84</v>
      </c>
      <c r="T16" s="19">
        <v>27</v>
      </c>
      <c r="X16" s="60"/>
    </row>
    <row r="17" spans="1:24" x14ac:dyDescent="0.35">
      <c r="A17" t="s">
        <v>14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  <c r="S17" s="19"/>
      <c r="U17" s="21">
        <v>27</v>
      </c>
      <c r="X17" s="60"/>
    </row>
    <row r="18" spans="1:24" x14ac:dyDescent="0.35">
      <c r="A18" t="s">
        <v>15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19">
        <v>81.34</v>
      </c>
      <c r="S18" s="19">
        <v>85.84</v>
      </c>
      <c r="T18" s="19">
        <v>90.34</v>
      </c>
      <c r="U18" s="21">
        <v>93.34</v>
      </c>
    </row>
    <row r="19" spans="1:24" x14ac:dyDescent="0.35">
      <c r="A19" t="s">
        <v>16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19">
        <v>81.34</v>
      </c>
      <c r="S19" s="19">
        <v>85.84</v>
      </c>
      <c r="T19" s="19">
        <v>90.34</v>
      </c>
      <c r="U19" s="21">
        <v>93.34</v>
      </c>
    </row>
    <row r="20" spans="1:24" x14ac:dyDescent="0.35">
      <c r="A20" t="s">
        <v>44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19">
        <v>81.34</v>
      </c>
      <c r="S20" s="19">
        <v>85.84</v>
      </c>
      <c r="T20" s="21">
        <v>27</v>
      </c>
      <c r="U20" s="21">
        <v>93.34</v>
      </c>
    </row>
    <row r="21" spans="1:24" x14ac:dyDescent="0.35">
      <c r="A21" t="s">
        <v>17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19">
        <v>27</v>
      </c>
      <c r="S21" s="19"/>
    </row>
    <row r="22" spans="1:24" x14ac:dyDescent="0.35">
      <c r="A22" t="s">
        <v>18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24" x14ac:dyDescent="0.35">
      <c r="A23" t="s">
        <v>43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19">
        <v>27</v>
      </c>
      <c r="S23" s="19"/>
    </row>
    <row r="24" spans="1:24" x14ac:dyDescent="0.35">
      <c r="A24" t="s">
        <v>20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  <c r="S24" s="19"/>
      <c r="T24" s="19">
        <v>90.34</v>
      </c>
      <c r="U24" s="19">
        <v>93.34</v>
      </c>
    </row>
    <row r="25" spans="1:24" x14ac:dyDescent="0.35">
      <c r="A25" t="s">
        <v>21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</row>
    <row r="26" spans="1:24" x14ac:dyDescent="0.35">
      <c r="A26" t="s">
        <v>22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19">
        <v>27</v>
      </c>
      <c r="Q26" s="19">
        <v>27</v>
      </c>
      <c r="R26" s="19">
        <f>27*2</f>
        <v>54</v>
      </c>
      <c r="S26" s="21">
        <v>27</v>
      </c>
      <c r="V26" s="21">
        <v>45.7</v>
      </c>
      <c r="W26" s="19"/>
    </row>
    <row r="27" spans="1:24" x14ac:dyDescent="0.35">
      <c r="A27" t="s">
        <v>24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</row>
    <row r="28" spans="1:24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19">
        <v>25</v>
      </c>
      <c r="L28" s="19"/>
      <c r="M28" s="22"/>
      <c r="N28" s="19">
        <v>27</v>
      </c>
      <c r="O28" s="19"/>
      <c r="P28" s="19"/>
      <c r="Q28" s="19"/>
    </row>
    <row r="29" spans="1:24" x14ac:dyDescent="0.35">
      <c r="A29" t="s">
        <v>45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  <c r="U29" s="21">
        <v>27</v>
      </c>
    </row>
    <row r="30" spans="1:24" x14ac:dyDescent="0.35">
      <c r="A30" t="s">
        <v>46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19">
        <v>81.34</v>
      </c>
      <c r="S30" s="19">
        <v>85.84</v>
      </c>
      <c r="T30" s="19">
        <v>90.34</v>
      </c>
      <c r="U30" s="21">
        <v>93.34</v>
      </c>
    </row>
    <row r="31" spans="1:24" x14ac:dyDescent="0.35">
      <c r="A31" t="s">
        <v>47</v>
      </c>
      <c r="C31" s="19">
        <v>25</v>
      </c>
      <c r="D31" s="19"/>
      <c r="E31" s="19"/>
      <c r="F31" s="19"/>
      <c r="G31" s="19"/>
      <c r="H31" s="19"/>
      <c r="I31" s="19"/>
    </row>
    <row r="32" spans="1:24" x14ac:dyDescent="0.35">
      <c r="A32" t="s">
        <v>48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19">
        <v>27</v>
      </c>
      <c r="R32" s="19">
        <f>27*2</f>
        <v>54</v>
      </c>
      <c r="S32" s="19">
        <v>27</v>
      </c>
      <c r="T32" s="21">
        <v>54</v>
      </c>
      <c r="U32" s="21">
        <v>54</v>
      </c>
    </row>
    <row r="33" spans="1:21" x14ac:dyDescent="0.35">
      <c r="A33" t="s">
        <v>49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21" x14ac:dyDescent="0.35">
      <c r="A34" t="s">
        <v>343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</row>
    <row r="35" spans="1:21" x14ac:dyDescent="0.35">
      <c r="A35" t="s">
        <v>52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  <c r="S35" s="19"/>
    </row>
    <row r="36" spans="1:21" x14ac:dyDescent="0.35">
      <c r="A36" t="s">
        <v>54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</row>
    <row r="37" spans="1:21" x14ac:dyDescent="0.35">
      <c r="A37" t="s">
        <v>55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  <c r="S37" s="19">
        <v>27</v>
      </c>
      <c r="T37" s="19">
        <v>90.34</v>
      </c>
    </row>
    <row r="38" spans="1:21" x14ac:dyDescent="0.35">
      <c r="A38" t="s">
        <v>53</v>
      </c>
      <c r="C38" s="19"/>
      <c r="D38" s="19">
        <v>25</v>
      </c>
      <c r="E38" s="19"/>
      <c r="F38" s="19"/>
      <c r="G38" s="19"/>
      <c r="H38" s="19"/>
      <c r="I38" s="19">
        <v>25</v>
      </c>
    </row>
    <row r="39" spans="1:21" x14ac:dyDescent="0.35">
      <c r="A39" t="s">
        <v>56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19">
        <v>27</v>
      </c>
      <c r="R39" s="19">
        <v>81.34</v>
      </c>
      <c r="S39" s="19">
        <v>85.84</v>
      </c>
      <c r="T39" s="19">
        <v>90.34</v>
      </c>
      <c r="U39" s="21">
        <v>93.34</v>
      </c>
    </row>
    <row r="40" spans="1:21" x14ac:dyDescent="0.35">
      <c r="A40" t="s">
        <v>60</v>
      </c>
      <c r="C40" s="19"/>
      <c r="D40" s="19"/>
      <c r="E40" s="19">
        <v>25</v>
      </c>
      <c r="F40" s="19">
        <v>50</v>
      </c>
      <c r="G40" s="19"/>
      <c r="H40" s="19"/>
      <c r="I40" s="19"/>
      <c r="S40" s="19">
        <v>27</v>
      </c>
    </row>
    <row r="41" spans="1:21" x14ac:dyDescent="0.35">
      <c r="A41" t="s">
        <v>61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21" x14ac:dyDescent="0.35">
      <c r="A42" t="s">
        <v>66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  <c r="S42" s="19"/>
      <c r="T42" s="19">
        <v>27</v>
      </c>
      <c r="U42" s="19">
        <v>27</v>
      </c>
    </row>
    <row r="43" spans="1:21" x14ac:dyDescent="0.35">
      <c r="A43" t="s">
        <v>63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  <c r="S43" s="19">
        <v>54</v>
      </c>
      <c r="U43" s="21">
        <v>27</v>
      </c>
    </row>
    <row r="44" spans="1:21" x14ac:dyDescent="0.35">
      <c r="A44" t="s">
        <v>68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19">
        <v>29</v>
      </c>
      <c r="S44" s="19"/>
    </row>
    <row r="45" spans="1:21" x14ac:dyDescent="0.35">
      <c r="A45" t="s">
        <v>77</v>
      </c>
      <c r="C45" s="19"/>
      <c r="D45" s="19"/>
      <c r="E45" s="19"/>
      <c r="F45" s="19"/>
      <c r="G45" s="19">
        <v>25</v>
      </c>
      <c r="H45" s="19"/>
      <c r="I45" s="19"/>
    </row>
    <row r="46" spans="1:21" x14ac:dyDescent="0.35">
      <c r="A46" s="31" t="s">
        <v>353</v>
      </c>
      <c r="C46" s="19"/>
      <c r="D46" s="19"/>
      <c r="E46" s="19"/>
      <c r="F46" s="19"/>
      <c r="G46" s="19">
        <v>25</v>
      </c>
      <c r="H46" s="19"/>
      <c r="I46" s="19"/>
      <c r="K46" s="30">
        <v>25</v>
      </c>
    </row>
    <row r="47" spans="1:21" x14ac:dyDescent="0.35">
      <c r="A47" t="s">
        <v>81</v>
      </c>
      <c r="C47" s="19"/>
      <c r="D47" s="19"/>
      <c r="E47" s="19"/>
      <c r="F47" s="19"/>
      <c r="G47" s="19">
        <v>25</v>
      </c>
      <c r="H47" s="19">
        <v>25</v>
      </c>
      <c r="I47" s="19"/>
      <c r="L47" s="19">
        <v>25</v>
      </c>
      <c r="T47" s="19">
        <v>27</v>
      </c>
      <c r="U47" s="21">
        <v>27</v>
      </c>
    </row>
    <row r="48" spans="1:21" x14ac:dyDescent="0.35">
      <c r="A48" t="s">
        <v>78</v>
      </c>
      <c r="C48" s="19"/>
      <c r="D48" s="19"/>
      <c r="E48" s="19"/>
      <c r="F48" s="19"/>
      <c r="G48" s="19">
        <v>25</v>
      </c>
      <c r="H48" s="19"/>
      <c r="I48" s="19"/>
    </row>
    <row r="49" spans="1:21" x14ac:dyDescent="0.35">
      <c r="A49" t="s">
        <v>80</v>
      </c>
      <c r="G49" s="19">
        <v>25</v>
      </c>
      <c r="H49" s="19"/>
      <c r="I49" s="19"/>
    </row>
    <row r="50" spans="1:21" x14ac:dyDescent="0.35">
      <c r="A50" t="s">
        <v>83</v>
      </c>
      <c r="G50" s="19"/>
      <c r="H50" s="19">
        <v>25</v>
      </c>
      <c r="I50" s="19"/>
    </row>
    <row r="51" spans="1:21" x14ac:dyDescent="0.35">
      <c r="A51" t="s">
        <v>86</v>
      </c>
      <c r="G51" s="19"/>
      <c r="H51" s="19">
        <v>25</v>
      </c>
      <c r="I51" s="19"/>
    </row>
    <row r="52" spans="1:21" x14ac:dyDescent="0.35">
      <c r="A52" t="s">
        <v>85</v>
      </c>
      <c r="G52" s="19"/>
      <c r="H52" s="19">
        <v>25</v>
      </c>
      <c r="I52" s="19">
        <v>50</v>
      </c>
    </row>
    <row r="53" spans="1:21" x14ac:dyDescent="0.35">
      <c r="A53" t="s">
        <v>84</v>
      </c>
      <c r="G53" s="19"/>
      <c r="H53" s="19">
        <v>50</v>
      </c>
      <c r="I53" s="19">
        <v>77.78</v>
      </c>
      <c r="J53" s="19">
        <v>86.12</v>
      </c>
      <c r="K53" s="19">
        <f>(1800-12*25)/18</f>
        <v>83.333333333333329</v>
      </c>
      <c r="L53" s="19">
        <v>79.17</v>
      </c>
      <c r="M53" s="19">
        <v>76.39</v>
      </c>
      <c r="N53" s="19">
        <v>88.84</v>
      </c>
      <c r="O53" s="19">
        <v>84.34</v>
      </c>
      <c r="P53" s="19">
        <v>54</v>
      </c>
      <c r="Q53" s="19">
        <v>83</v>
      </c>
      <c r="R53" s="19">
        <f>27*2</f>
        <v>54</v>
      </c>
      <c r="S53" s="19">
        <v>85.84</v>
      </c>
      <c r="T53" s="21">
        <v>54</v>
      </c>
      <c r="U53" s="21">
        <v>93.34</v>
      </c>
    </row>
    <row r="54" spans="1:21" x14ac:dyDescent="0.35">
      <c r="A54" t="s">
        <v>340</v>
      </c>
      <c r="G54" s="19"/>
      <c r="H54" s="19"/>
      <c r="I54" s="19"/>
      <c r="J54" s="19">
        <v>25</v>
      </c>
      <c r="K54" s="19">
        <v>62.5</v>
      </c>
      <c r="L54" s="19">
        <v>79.17</v>
      </c>
    </row>
    <row r="55" spans="1:21" x14ac:dyDescent="0.35">
      <c r="A55" t="s">
        <v>339</v>
      </c>
      <c r="G55" s="19"/>
      <c r="H55" s="19"/>
      <c r="I55" s="19"/>
      <c r="J55" s="19">
        <v>25</v>
      </c>
      <c r="M55" s="19">
        <v>25</v>
      </c>
    </row>
    <row r="56" spans="1:21" x14ac:dyDescent="0.35">
      <c r="A56" t="s">
        <v>344</v>
      </c>
      <c r="G56" s="19"/>
      <c r="H56" s="19"/>
      <c r="I56" s="19"/>
      <c r="J56" s="19">
        <v>25</v>
      </c>
      <c r="L56" s="19">
        <v>50</v>
      </c>
      <c r="M56" s="19">
        <v>25</v>
      </c>
    </row>
    <row r="57" spans="1:21" x14ac:dyDescent="0.35">
      <c r="A57" t="s">
        <v>342</v>
      </c>
      <c r="G57"/>
      <c r="H57"/>
      <c r="I57"/>
      <c r="K57" s="19">
        <v>25</v>
      </c>
      <c r="L57" s="19"/>
      <c r="N57" s="19">
        <v>27</v>
      </c>
      <c r="O57" s="19"/>
      <c r="P57" s="19"/>
      <c r="Q57" s="19"/>
    </row>
    <row r="58" spans="1:21" x14ac:dyDescent="0.35">
      <c r="A58" t="s">
        <v>345</v>
      </c>
      <c r="G58"/>
      <c r="H58"/>
      <c r="I58"/>
      <c r="K58" s="19">
        <v>25</v>
      </c>
      <c r="L58" s="19"/>
    </row>
    <row r="59" spans="1:21" x14ac:dyDescent="0.35">
      <c r="A59" t="s">
        <v>346</v>
      </c>
      <c r="G59"/>
      <c r="H59"/>
      <c r="I59"/>
      <c r="K59" s="19">
        <v>50</v>
      </c>
      <c r="L59" s="19">
        <v>79.17</v>
      </c>
      <c r="M59" s="19">
        <v>75</v>
      </c>
      <c r="N59" s="19">
        <v>88.84</v>
      </c>
      <c r="O59" s="19">
        <f>27*3</f>
        <v>81</v>
      </c>
      <c r="P59" s="19"/>
      <c r="Q59" s="19"/>
      <c r="S59" s="19">
        <v>81</v>
      </c>
    </row>
    <row r="60" spans="1:21" x14ac:dyDescent="0.35">
      <c r="A60" t="s">
        <v>347</v>
      </c>
      <c r="G60"/>
      <c r="H60"/>
      <c r="I60"/>
      <c r="K60" s="19">
        <v>25</v>
      </c>
      <c r="L60" s="19"/>
    </row>
    <row r="61" spans="1:21" x14ac:dyDescent="0.35">
      <c r="A61" t="s">
        <v>354</v>
      </c>
      <c r="G61"/>
      <c r="H61"/>
      <c r="I61"/>
      <c r="K61" s="19"/>
      <c r="L61" s="19">
        <v>25</v>
      </c>
    </row>
    <row r="62" spans="1:21" x14ac:dyDescent="0.35">
      <c r="A62" t="s">
        <v>356</v>
      </c>
      <c r="L62" s="19">
        <v>25</v>
      </c>
    </row>
    <row r="63" spans="1:21" x14ac:dyDescent="0.35">
      <c r="A63" t="s">
        <v>352</v>
      </c>
      <c r="L63" s="19">
        <v>25</v>
      </c>
    </row>
    <row r="64" spans="1:21" x14ac:dyDescent="0.35">
      <c r="A64" t="s">
        <v>350</v>
      </c>
      <c r="L64" s="19">
        <v>25</v>
      </c>
    </row>
    <row r="65" spans="1:21" x14ac:dyDescent="0.35">
      <c r="A65" t="s">
        <v>363</v>
      </c>
      <c r="L65" s="19"/>
      <c r="M65" s="19">
        <v>25</v>
      </c>
      <c r="U65" s="21">
        <v>27</v>
      </c>
    </row>
    <row r="66" spans="1:21" x14ac:dyDescent="0.35">
      <c r="A66" t="s">
        <v>361</v>
      </c>
      <c r="L66" s="19"/>
      <c r="M66" s="19">
        <v>25</v>
      </c>
      <c r="O66" s="19">
        <v>27</v>
      </c>
      <c r="P66" s="19"/>
      <c r="Q66" s="19">
        <v>27</v>
      </c>
      <c r="S66" s="19">
        <v>27</v>
      </c>
    </row>
    <row r="67" spans="1:21" x14ac:dyDescent="0.35">
      <c r="A67" t="s">
        <v>364</v>
      </c>
      <c r="L67" s="19"/>
      <c r="M67" s="19"/>
      <c r="N67" s="19">
        <v>27</v>
      </c>
      <c r="O67" s="19"/>
      <c r="P67" s="19">
        <v>27</v>
      </c>
      <c r="Q67" s="19"/>
    </row>
    <row r="68" spans="1:21" x14ac:dyDescent="0.35">
      <c r="A68" t="s">
        <v>365</v>
      </c>
      <c r="L68" s="19"/>
      <c r="M68" s="19"/>
      <c r="N68" s="19">
        <v>27</v>
      </c>
      <c r="O68" s="19"/>
      <c r="P68" s="19"/>
      <c r="Q68" s="19"/>
    </row>
    <row r="69" spans="1:21" x14ac:dyDescent="0.35">
      <c r="A69" t="s">
        <v>366</v>
      </c>
      <c r="L69" s="19"/>
      <c r="M69" s="19"/>
      <c r="N69" s="19">
        <v>27</v>
      </c>
      <c r="O69" s="19"/>
      <c r="P69" s="19"/>
      <c r="Q69" s="19"/>
    </row>
    <row r="70" spans="1:21" x14ac:dyDescent="0.35">
      <c r="A70" t="s">
        <v>368</v>
      </c>
      <c r="O70" s="19">
        <v>27</v>
      </c>
      <c r="P70" s="19"/>
      <c r="Q70" s="19"/>
      <c r="R70" s="19">
        <v>27</v>
      </c>
      <c r="S70" s="19"/>
    </row>
    <row r="71" spans="1:21" x14ac:dyDescent="0.35">
      <c r="A71" t="s">
        <v>369</v>
      </c>
      <c r="O71" s="19">
        <v>54</v>
      </c>
      <c r="P71" s="19"/>
      <c r="Q71" s="19"/>
    </row>
    <row r="72" spans="1:21" x14ac:dyDescent="0.35">
      <c r="A72" t="s">
        <v>376</v>
      </c>
      <c r="O72" s="19"/>
      <c r="P72" s="19"/>
      <c r="Q72" s="19">
        <v>81</v>
      </c>
      <c r="R72" s="19">
        <f>27*2</f>
        <v>54</v>
      </c>
      <c r="S72" s="19">
        <v>54</v>
      </c>
    </row>
    <row r="73" spans="1:21" x14ac:dyDescent="0.35">
      <c r="A73" t="s">
        <v>374</v>
      </c>
      <c r="O73" s="19"/>
      <c r="P73" s="19"/>
      <c r="Q73" s="19">
        <v>27</v>
      </c>
    </row>
    <row r="74" spans="1:21" x14ac:dyDescent="0.35">
      <c r="A74" t="s">
        <v>375</v>
      </c>
      <c r="O74" s="19"/>
      <c r="P74" s="19"/>
      <c r="Q74" s="19">
        <v>27</v>
      </c>
    </row>
    <row r="75" spans="1:21" x14ac:dyDescent="0.35">
      <c r="A75" t="s">
        <v>377</v>
      </c>
      <c r="O75" s="19"/>
      <c r="P75" s="19"/>
      <c r="Q75" s="19"/>
      <c r="R75" s="19">
        <v>27</v>
      </c>
      <c r="S75" s="19"/>
    </row>
    <row r="76" spans="1:21" x14ac:dyDescent="0.35">
      <c r="A76" t="s">
        <v>378</v>
      </c>
      <c r="O76" s="19"/>
      <c r="P76" s="19"/>
      <c r="Q76" s="19"/>
      <c r="R76" s="19"/>
      <c r="S76" s="19">
        <v>54</v>
      </c>
      <c r="T76" s="19">
        <v>27</v>
      </c>
      <c r="U76" s="21">
        <v>27</v>
      </c>
    </row>
    <row r="77" spans="1:21" x14ac:dyDescent="0.35">
      <c r="A77" t="s">
        <v>380</v>
      </c>
      <c r="O77" s="19"/>
      <c r="P77" s="19"/>
      <c r="Q77" s="19"/>
      <c r="R77" s="19"/>
      <c r="S77" s="19">
        <v>27</v>
      </c>
      <c r="T77" s="19">
        <v>27</v>
      </c>
    </row>
    <row r="78" spans="1:21" x14ac:dyDescent="0.35">
      <c r="A78" t="s">
        <v>381</v>
      </c>
      <c r="O78" s="19"/>
      <c r="P78" s="19"/>
      <c r="Q78" s="19"/>
      <c r="R78" s="19"/>
      <c r="S78" s="19"/>
      <c r="T78" s="19">
        <v>27</v>
      </c>
    </row>
    <row r="79" spans="1:21" x14ac:dyDescent="0.35">
      <c r="A79" t="s">
        <v>382</v>
      </c>
      <c r="O79" s="19"/>
      <c r="P79" s="19"/>
      <c r="Q79" s="19"/>
      <c r="R79" s="19"/>
      <c r="S79" s="19"/>
      <c r="T79" s="19">
        <v>27</v>
      </c>
    </row>
    <row r="80" spans="1:21" x14ac:dyDescent="0.35">
      <c r="A80" t="s">
        <v>385</v>
      </c>
      <c r="O80" s="19"/>
      <c r="P80" s="19"/>
      <c r="Q80" s="19"/>
      <c r="R80" s="19"/>
      <c r="S80" s="19"/>
      <c r="T80" s="19"/>
      <c r="U80" s="21">
        <v>27</v>
      </c>
    </row>
    <row r="82" spans="1:21" x14ac:dyDescent="0.35">
      <c r="A82" t="s">
        <v>387</v>
      </c>
      <c r="B82" s="20">
        <f>SUM(B2:B80)</f>
        <v>1799.9999999999998</v>
      </c>
      <c r="C82" s="20">
        <f t="shared" ref="C82:U82" si="1">SUM(C2:C80)</f>
        <v>1800.1200000000001</v>
      </c>
      <c r="D82" s="20">
        <f t="shared" si="1"/>
        <v>1825.1200000000001</v>
      </c>
      <c r="E82" s="20">
        <f t="shared" si="1"/>
        <v>1775.04</v>
      </c>
      <c r="F82" s="20">
        <f t="shared" si="1"/>
        <v>1850.04</v>
      </c>
      <c r="G82" s="20">
        <f t="shared" si="1"/>
        <v>1800.0399999999997</v>
      </c>
      <c r="H82" s="20">
        <f t="shared" si="1"/>
        <v>1800.14</v>
      </c>
      <c r="I82" s="20">
        <f t="shared" si="1"/>
        <v>1800.0399999999997</v>
      </c>
      <c r="J82" s="20">
        <f t="shared" si="1"/>
        <v>1800.1599999999994</v>
      </c>
      <c r="K82" s="20">
        <f t="shared" si="1"/>
        <v>1825.0066666666664</v>
      </c>
      <c r="L82" s="20">
        <f t="shared" si="1"/>
        <v>1800.0600000000004</v>
      </c>
      <c r="M82" s="20">
        <f t="shared" si="1"/>
        <v>1800.0200000000004</v>
      </c>
      <c r="N82" s="20">
        <f t="shared" si="1"/>
        <v>1950.1199999999997</v>
      </c>
      <c r="O82" s="20">
        <f t="shared" si="1"/>
        <v>1950.1199999999997</v>
      </c>
      <c r="P82" s="20">
        <f t="shared" si="1"/>
        <v>1950.1199999999997</v>
      </c>
      <c r="Q82" s="20">
        <f t="shared" si="1"/>
        <v>1951.9399999999998</v>
      </c>
      <c r="R82" s="20">
        <f t="shared" si="1"/>
        <v>1952.1199999999997</v>
      </c>
      <c r="S82" s="20">
        <f t="shared" si="1"/>
        <v>1950.1199999999997</v>
      </c>
      <c r="T82" s="20">
        <f t="shared" si="1"/>
        <v>1950.1199999999997</v>
      </c>
      <c r="U82" s="20">
        <f t="shared" si="1"/>
        <v>1950.1199999999997</v>
      </c>
    </row>
    <row r="83" spans="1:21" x14ac:dyDescent="0.35">
      <c r="A83" t="s">
        <v>74</v>
      </c>
      <c r="B83" s="20">
        <f>SUM(B3:B28)</f>
        <v>1716.6666666666665</v>
      </c>
      <c r="C83" s="20">
        <f>SUM(C3:C35)</f>
        <v>1729.2800000000002</v>
      </c>
      <c r="D83" s="20">
        <f>SUM(D3:D38)</f>
        <v>1754.2800000000002</v>
      </c>
      <c r="E83" s="20">
        <f>SUM(E3:E41)</f>
        <v>1697.26</v>
      </c>
      <c r="F83" s="20">
        <f>SUM(F3:F44)</f>
        <v>1772.26</v>
      </c>
      <c r="G83" s="20">
        <f>SUM(G3:G49)</f>
        <v>1722.2599999999998</v>
      </c>
      <c r="H83" s="20">
        <f>SUM(H3:H53)</f>
        <v>1715.41</v>
      </c>
      <c r="I83" s="20">
        <f>SUM(I3:I53)</f>
        <v>1722.2599999999998</v>
      </c>
      <c r="J83" s="20">
        <f>SUM(J3:J56)</f>
        <v>1714.0399999999995</v>
      </c>
      <c r="K83" s="20">
        <f>SUM(K3:K59)</f>
        <v>1716.6733333333332</v>
      </c>
      <c r="L83" s="20">
        <f>SUM(L3:L59)</f>
        <v>1620.8900000000003</v>
      </c>
      <c r="M83" s="20">
        <f>SUM(M3:M69)</f>
        <v>1723.6300000000003</v>
      </c>
      <c r="N83" s="20">
        <f>SUM(N3:N69)</f>
        <v>1861.2799999999997</v>
      </c>
      <c r="O83" s="20">
        <f>SUM(O3:O71)</f>
        <v>1865.7799999999997</v>
      </c>
      <c r="P83" s="20">
        <f>SUM(P3:P71)</f>
        <v>1864.2799999999997</v>
      </c>
      <c r="Q83" s="20">
        <f>SUM(Q3:Q74)</f>
        <v>1869.11</v>
      </c>
      <c r="R83" s="20">
        <f>SUM(R3:R75)</f>
        <v>1870.7799999999997</v>
      </c>
      <c r="S83" s="20">
        <f>SUM(S3:S77)</f>
        <v>1864.2799999999997</v>
      </c>
      <c r="T83" s="20">
        <f>SUM(T3:T79)</f>
        <v>1859.7799999999997</v>
      </c>
      <c r="U83" s="20">
        <f>SUM(U3:U80)</f>
        <v>1856.7799999999997</v>
      </c>
    </row>
    <row r="84" spans="1:21" x14ac:dyDescent="0.35">
      <c r="A84" t="s">
        <v>75</v>
      </c>
      <c r="B84" s="20">
        <f>25*12+83.34*17</f>
        <v>1716.78</v>
      </c>
      <c r="C84" s="20">
        <f>22*25+70.84*17</f>
        <v>1754.28</v>
      </c>
      <c r="D84" s="20">
        <f>20*25+70.84*17</f>
        <v>1704.28</v>
      </c>
      <c r="E84" s="20">
        <f>15*25+77.78*17</f>
        <v>1697.26</v>
      </c>
      <c r="F84" s="20">
        <f>18*25+77.78*17</f>
        <v>1772.26</v>
      </c>
      <c r="G84" s="23">
        <f>17*77.78+25*16</f>
        <v>1722.26</v>
      </c>
      <c r="H84" s="23">
        <f>11*25+84.73*17</f>
        <v>1715.41</v>
      </c>
      <c r="I84" s="23">
        <f>17*25+77.78*17</f>
        <v>1747.26</v>
      </c>
      <c r="J84" s="23">
        <f>10*25+86.12*17</f>
        <v>1714.04</v>
      </c>
      <c r="K84" s="23">
        <f>14*25+83.33*17</f>
        <v>1766.61</v>
      </c>
      <c r="L84" s="23">
        <f>15*25+79.17*17</f>
        <v>1720.89</v>
      </c>
      <c r="M84" s="23">
        <f>17*25+76.39*17</f>
        <v>1723.63</v>
      </c>
      <c r="N84" s="23">
        <f>14*27+88.84*17</f>
        <v>1888.28</v>
      </c>
      <c r="O84" s="23">
        <f>16*27+84.34*17</f>
        <v>1865.78</v>
      </c>
      <c r="P84" s="23">
        <f>15*27+85.84*17</f>
        <v>1864.28</v>
      </c>
      <c r="Q84" s="23">
        <f>17*27+82.83*17</f>
        <v>1867.11</v>
      </c>
      <c r="R84" s="23">
        <f>18*27+82.83*17</f>
        <v>1894.11</v>
      </c>
      <c r="S84" s="23">
        <f>14*27+85.84*16</f>
        <v>1751.44</v>
      </c>
      <c r="T84" s="23">
        <f>7*27+85.84*17</f>
        <v>1648.28</v>
      </c>
      <c r="U84" s="23">
        <f>1*27+85.84*2</f>
        <v>198.68</v>
      </c>
    </row>
    <row r="85" spans="1:21" x14ac:dyDescent="0.35">
      <c r="B85" s="24">
        <f t="shared" ref="B85:G85" si="2">B84/B83</f>
        <v>1.0000660194174757</v>
      </c>
      <c r="C85" s="24">
        <f t="shared" si="2"/>
        <v>1.0144568837897852</v>
      </c>
      <c r="D85" s="24">
        <f t="shared" si="2"/>
        <v>0.97149827849602099</v>
      </c>
      <c r="E85" s="24">
        <f t="shared" si="2"/>
        <v>1</v>
      </c>
      <c r="F85" s="24">
        <f t="shared" si="2"/>
        <v>1</v>
      </c>
      <c r="G85" s="24">
        <f t="shared" si="2"/>
        <v>1.0000000000000002</v>
      </c>
      <c r="H85" s="24">
        <f t="shared" ref="H85:I85" si="3">H84/H83</f>
        <v>1</v>
      </c>
      <c r="I85" s="24">
        <f t="shared" si="3"/>
        <v>1.0145158106209284</v>
      </c>
      <c r="J85" s="24">
        <f t="shared" ref="J85:K85" si="4">J84/J83</f>
        <v>1.0000000000000002</v>
      </c>
      <c r="K85" s="24">
        <f t="shared" si="4"/>
        <v>1.0290892074205538</v>
      </c>
      <c r="L85" s="24">
        <f t="shared" ref="L85:M85" si="5">L84/L83</f>
        <v>1.0616945011691106</v>
      </c>
      <c r="M85" s="24">
        <f t="shared" si="5"/>
        <v>0.99999999999999989</v>
      </c>
      <c r="N85" s="24">
        <f t="shared" ref="N85:O85" si="6">N84/N83</f>
        <v>1.0145061463079172</v>
      </c>
      <c r="O85" s="24">
        <f t="shared" si="6"/>
        <v>1.0000000000000002</v>
      </c>
      <c r="P85" s="24">
        <f t="shared" ref="P85" si="7">P84/P83</f>
        <v>1.0000000000000002</v>
      </c>
      <c r="Q85" s="24">
        <f>Q84/Q83</f>
        <v>0.99892997201876832</v>
      </c>
      <c r="R85" s="24">
        <f>R84/R83</f>
        <v>1.0124707341322872</v>
      </c>
      <c r="S85" s="24">
        <f>S84/S83</f>
        <v>0.93947261141030336</v>
      </c>
      <c r="T85" s="24">
        <f>T84/T83</f>
        <v>0.88627687145791445</v>
      </c>
      <c r="U85" s="24">
        <f>U84/U83</f>
        <v>0.10700244509311821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46"/>
  <sheetViews>
    <sheetView topLeftCell="A216" workbookViewId="0">
      <selection activeCell="J247" sqref="J247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27</v>
      </c>
      <c r="B1" s="7" t="s">
        <v>42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7" t="s">
        <v>34</v>
      </c>
      <c r="J1" s="6" t="s">
        <v>41</v>
      </c>
      <c r="K1" s="6" t="s">
        <v>35</v>
      </c>
      <c r="L1" s="6" t="s">
        <v>36</v>
      </c>
      <c r="M1" s="6" t="s">
        <v>37</v>
      </c>
      <c r="N1" s="6" t="s">
        <v>38</v>
      </c>
      <c r="O1" s="6" t="s">
        <v>39</v>
      </c>
      <c r="P1" s="7" t="s">
        <v>40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82</v>
      </c>
      <c r="M2" s="2" t="s">
        <v>367</v>
      </c>
      <c r="N2" s="2" t="s">
        <v>14</v>
      </c>
      <c r="O2" s="2" t="s">
        <v>15</v>
      </c>
      <c r="P2" s="3" t="s">
        <v>16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82</v>
      </c>
      <c r="E3" s="2" t="s">
        <v>367</v>
      </c>
      <c r="F3" s="2" t="s">
        <v>14</v>
      </c>
      <c r="G3" s="2" t="s">
        <v>15</v>
      </c>
      <c r="H3" s="2" t="s">
        <v>16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19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19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17</v>
      </c>
      <c r="F5" s="6" t="s">
        <v>6</v>
      </c>
      <c r="G5" s="6" t="s">
        <v>15</v>
      </c>
      <c r="H5" s="6" t="s">
        <v>26</v>
      </c>
      <c r="I5" s="7">
        <v>10</v>
      </c>
      <c r="J5" s="6">
        <v>13</v>
      </c>
      <c r="K5" s="6" t="s">
        <v>18</v>
      </c>
      <c r="L5" s="6" t="s">
        <v>5</v>
      </c>
      <c r="M5" s="6" t="s">
        <v>3</v>
      </c>
      <c r="N5" s="6" t="s">
        <v>43</v>
      </c>
      <c r="O5" s="6" t="s">
        <v>10</v>
      </c>
      <c r="P5" s="7" t="s">
        <v>26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19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22</v>
      </c>
      <c r="L6" s="10" t="s">
        <v>5</v>
      </c>
      <c r="M6" s="10" t="s">
        <v>4</v>
      </c>
      <c r="N6" s="10" t="s">
        <v>2</v>
      </c>
      <c r="O6" s="10" t="s">
        <v>21</v>
      </c>
      <c r="P6" s="11" t="s">
        <v>14</v>
      </c>
    </row>
    <row r="7" spans="1:16" x14ac:dyDescent="0.35">
      <c r="A7" s="14">
        <v>45462</v>
      </c>
      <c r="B7" s="3">
        <v>3</v>
      </c>
      <c r="C7" s="10" t="s">
        <v>22</v>
      </c>
      <c r="D7" s="10" t="s">
        <v>5</v>
      </c>
      <c r="E7" s="10" t="s">
        <v>4</v>
      </c>
      <c r="F7" s="10" t="s">
        <v>2</v>
      </c>
      <c r="G7" s="10" t="s">
        <v>21</v>
      </c>
      <c r="H7" s="10" t="s">
        <v>14</v>
      </c>
      <c r="I7" s="11">
        <v>3</v>
      </c>
      <c r="J7" s="2">
        <v>0</v>
      </c>
      <c r="K7" s="2" t="s">
        <v>20</v>
      </c>
      <c r="L7" s="2" t="s">
        <v>82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20</v>
      </c>
      <c r="D8" s="4" t="s">
        <v>82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19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24</v>
      </c>
      <c r="F9" s="8" t="s">
        <v>20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82</v>
      </c>
      <c r="N9" s="10" t="s">
        <v>22</v>
      </c>
      <c r="O9" s="10" t="s">
        <v>25</v>
      </c>
      <c r="P9" s="10" t="s">
        <v>367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82</v>
      </c>
      <c r="F10" s="10" t="s">
        <v>22</v>
      </c>
      <c r="G10" s="10" t="s">
        <v>25</v>
      </c>
      <c r="H10" s="11" t="s">
        <v>367</v>
      </c>
      <c r="I10" s="10">
        <v>2</v>
      </c>
      <c r="J10" s="3">
        <v>3</v>
      </c>
      <c r="K10" s="2" t="s">
        <v>1</v>
      </c>
      <c r="L10" s="2" t="s">
        <v>3</v>
      </c>
      <c r="M10" s="2" t="s">
        <v>19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19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24</v>
      </c>
      <c r="N11" s="12" t="s">
        <v>20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44</v>
      </c>
      <c r="G12" s="8" t="s">
        <v>367</v>
      </c>
      <c r="H12" s="8" t="s">
        <v>14</v>
      </c>
      <c r="I12" s="9">
        <v>6</v>
      </c>
      <c r="J12" s="10">
        <v>5</v>
      </c>
      <c r="K12" s="10" t="s">
        <v>20</v>
      </c>
      <c r="L12" s="10" t="s">
        <v>7</v>
      </c>
      <c r="M12" s="10" t="s">
        <v>25</v>
      </c>
      <c r="N12" s="10" t="s">
        <v>5</v>
      </c>
      <c r="O12" s="10" t="s">
        <v>11</v>
      </c>
      <c r="P12" s="11" t="s">
        <v>19</v>
      </c>
    </row>
    <row r="13" spans="1:16" x14ac:dyDescent="0.35">
      <c r="A13" s="14">
        <v>45476</v>
      </c>
      <c r="B13" s="3">
        <v>4</v>
      </c>
      <c r="C13" s="10" t="s">
        <v>20</v>
      </c>
      <c r="D13" s="10" t="s">
        <v>7</v>
      </c>
      <c r="E13" s="10" t="s">
        <v>25</v>
      </c>
      <c r="F13" s="10" t="s">
        <v>5</v>
      </c>
      <c r="G13" s="10" t="s">
        <v>11</v>
      </c>
      <c r="H13" s="10" t="s">
        <v>19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82</v>
      </c>
      <c r="N13" s="2" t="s">
        <v>22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82</v>
      </c>
      <c r="F14" s="4" t="s">
        <v>22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44</v>
      </c>
      <c r="O14" s="12" t="s">
        <v>367</v>
      </c>
      <c r="P14" s="13" t="s">
        <v>14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82</v>
      </c>
      <c r="E15" s="8" t="s">
        <v>25</v>
      </c>
      <c r="F15" s="8" t="s">
        <v>2</v>
      </c>
      <c r="G15" s="8" t="s">
        <v>11</v>
      </c>
      <c r="H15" s="8" t="s">
        <v>14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20</v>
      </c>
      <c r="O15" s="10" t="s">
        <v>6</v>
      </c>
      <c r="P15" s="10" t="s">
        <v>15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20</v>
      </c>
      <c r="G16" s="10" t="s">
        <v>6</v>
      </c>
      <c r="H16" s="10" t="s">
        <v>15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45</v>
      </c>
      <c r="N16" s="4" t="s">
        <v>3</v>
      </c>
      <c r="O16" s="4" t="s">
        <v>21</v>
      </c>
      <c r="P16" s="4" t="s">
        <v>44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45</v>
      </c>
      <c r="F17" s="4" t="s">
        <v>3</v>
      </c>
      <c r="G17" s="4" t="s">
        <v>21</v>
      </c>
      <c r="H17" s="4" t="s">
        <v>44</v>
      </c>
      <c r="I17" s="5">
        <v>6</v>
      </c>
      <c r="J17" s="12">
        <v>3</v>
      </c>
      <c r="K17" s="8" t="s">
        <v>9</v>
      </c>
      <c r="L17" s="8" t="s">
        <v>82</v>
      </c>
      <c r="M17" s="8" t="s">
        <v>25</v>
      </c>
      <c r="N17" s="8" t="s">
        <v>2</v>
      </c>
      <c r="O17" s="8" t="s">
        <v>11</v>
      </c>
      <c r="P17" s="8" t="s">
        <v>14</v>
      </c>
    </row>
    <row r="18" spans="1:16" x14ac:dyDescent="0.35">
      <c r="A18" s="14">
        <v>45490</v>
      </c>
      <c r="B18" s="3">
        <v>6</v>
      </c>
      <c r="C18" s="8" t="s">
        <v>44</v>
      </c>
      <c r="D18" s="8" t="s">
        <v>4</v>
      </c>
      <c r="E18" s="8" t="s">
        <v>5</v>
      </c>
      <c r="F18" s="8" t="s">
        <v>367</v>
      </c>
      <c r="G18" s="8" t="s">
        <v>20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45</v>
      </c>
      <c r="P18" s="10" t="s">
        <v>46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45</v>
      </c>
      <c r="H19" s="10" t="s">
        <v>46</v>
      </c>
      <c r="I19" s="11">
        <v>9</v>
      </c>
      <c r="J19" s="2">
        <v>3</v>
      </c>
      <c r="K19" s="2" t="s">
        <v>14</v>
      </c>
      <c r="L19" s="2" t="s">
        <v>15</v>
      </c>
      <c r="M19" s="2" t="s">
        <v>82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14</v>
      </c>
      <c r="D20" s="2" t="s">
        <v>15</v>
      </c>
      <c r="E20" s="2" t="s">
        <v>82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44</v>
      </c>
      <c r="L20" s="8" t="s">
        <v>4</v>
      </c>
      <c r="M20" s="8" t="s">
        <v>5</v>
      </c>
      <c r="N20" s="8" t="s">
        <v>367</v>
      </c>
      <c r="O20" s="8" t="s">
        <v>20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82</v>
      </c>
      <c r="D21" s="8" t="s">
        <v>10</v>
      </c>
      <c r="E21" s="8" t="s">
        <v>47</v>
      </c>
      <c r="F21" s="8" t="s">
        <v>20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367</v>
      </c>
      <c r="L21" s="10" t="s">
        <v>6</v>
      </c>
      <c r="M21" s="10" t="s">
        <v>46</v>
      </c>
      <c r="N21" s="10" t="s">
        <v>4</v>
      </c>
      <c r="O21" s="10" t="s">
        <v>8</v>
      </c>
      <c r="P21" s="10" t="s">
        <v>50</v>
      </c>
    </row>
    <row r="22" spans="1:16" x14ac:dyDescent="0.35">
      <c r="A22" s="14">
        <v>45498</v>
      </c>
      <c r="B22" s="3">
        <v>5</v>
      </c>
      <c r="C22" s="10" t="s">
        <v>367</v>
      </c>
      <c r="D22" s="10" t="s">
        <v>6</v>
      </c>
      <c r="E22" s="10" t="s">
        <v>46</v>
      </c>
      <c r="F22" s="10" t="s">
        <v>4</v>
      </c>
      <c r="G22" s="10" t="s">
        <v>8</v>
      </c>
      <c r="H22" s="10" t="s">
        <v>50</v>
      </c>
      <c r="I22" s="11">
        <v>6</v>
      </c>
      <c r="J22" s="2">
        <v>4</v>
      </c>
      <c r="K22" s="2" t="s">
        <v>48</v>
      </c>
      <c r="L22" s="2" t="s">
        <v>1</v>
      </c>
      <c r="M22" s="2" t="s">
        <v>14</v>
      </c>
      <c r="N22" s="2" t="s">
        <v>7</v>
      </c>
      <c r="O22" s="2" t="s">
        <v>12</v>
      </c>
      <c r="P22" s="3" t="s">
        <v>49</v>
      </c>
    </row>
    <row r="23" spans="1:16" x14ac:dyDescent="0.35">
      <c r="A23" s="14">
        <v>45498</v>
      </c>
      <c r="B23" s="5">
        <v>5</v>
      </c>
      <c r="C23" s="2" t="s">
        <v>48</v>
      </c>
      <c r="D23" s="2" t="s">
        <v>1</v>
      </c>
      <c r="E23" s="2" t="s">
        <v>14</v>
      </c>
      <c r="F23" s="2" t="s">
        <v>7</v>
      </c>
      <c r="G23" s="2" t="s">
        <v>12</v>
      </c>
      <c r="H23" s="3" t="s">
        <v>49</v>
      </c>
      <c r="I23" s="5">
        <v>6</v>
      </c>
      <c r="J23" s="12">
        <v>5</v>
      </c>
      <c r="K23" s="8" t="s">
        <v>82</v>
      </c>
      <c r="L23" s="8" t="s">
        <v>10</v>
      </c>
      <c r="M23" s="8" t="s">
        <v>47</v>
      </c>
      <c r="N23" s="8" t="s">
        <v>20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82</v>
      </c>
      <c r="D24" s="8" t="s">
        <v>10</v>
      </c>
      <c r="E24" s="8" t="s">
        <v>343</v>
      </c>
      <c r="F24" s="8" t="s">
        <v>46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52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52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45</v>
      </c>
      <c r="L25" s="2" t="s">
        <v>20</v>
      </c>
      <c r="M25" s="2" t="s">
        <v>8</v>
      </c>
      <c r="N25" s="2" t="s">
        <v>4</v>
      </c>
      <c r="O25" s="2" t="s">
        <v>24</v>
      </c>
      <c r="P25" s="3" t="s">
        <v>25</v>
      </c>
    </row>
    <row r="26" spans="1:16" x14ac:dyDescent="0.35">
      <c r="A26" s="14">
        <v>45504</v>
      </c>
      <c r="B26" s="5">
        <v>7</v>
      </c>
      <c r="C26" s="2" t="s">
        <v>45</v>
      </c>
      <c r="D26" s="2" t="s">
        <v>20</v>
      </c>
      <c r="E26" s="2" t="s">
        <v>8</v>
      </c>
      <c r="F26" s="2" t="s">
        <v>4</v>
      </c>
      <c r="G26" s="2" t="s">
        <v>24</v>
      </c>
      <c r="H26" s="3" t="s">
        <v>25</v>
      </c>
      <c r="I26" s="5">
        <v>7</v>
      </c>
      <c r="J26" s="12">
        <v>3</v>
      </c>
      <c r="K26" s="8" t="s">
        <v>82</v>
      </c>
      <c r="L26" s="8" t="s">
        <v>10</v>
      </c>
      <c r="M26" s="8" t="s">
        <v>343</v>
      </c>
      <c r="N26" s="8" t="s">
        <v>46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48</v>
      </c>
      <c r="D27" s="8" t="s">
        <v>4</v>
      </c>
      <c r="E27" s="8" t="s">
        <v>82</v>
      </c>
      <c r="F27" s="8" t="s">
        <v>22</v>
      </c>
      <c r="G27" s="8" t="s">
        <v>5</v>
      </c>
      <c r="H27" s="8" t="s">
        <v>46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20</v>
      </c>
      <c r="N27" s="10" t="s">
        <v>6</v>
      </c>
      <c r="O27" s="10" t="s">
        <v>367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20</v>
      </c>
      <c r="F28" s="10" t="s">
        <v>6</v>
      </c>
      <c r="G28" s="10" t="s">
        <v>367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14</v>
      </c>
      <c r="M28" s="2" t="s">
        <v>45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14</v>
      </c>
      <c r="E29" s="2" t="s">
        <v>45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48</v>
      </c>
      <c r="L29" s="8" t="s">
        <v>4</v>
      </c>
      <c r="M29" s="8" t="s">
        <v>82</v>
      </c>
      <c r="N29" s="8" t="s">
        <v>22</v>
      </c>
      <c r="O29" s="8" t="s">
        <v>5</v>
      </c>
      <c r="P29" s="8" t="s">
        <v>46</v>
      </c>
    </row>
    <row r="30" spans="1:16" x14ac:dyDescent="0.35">
      <c r="A30" s="14">
        <v>45518</v>
      </c>
      <c r="B30" s="3">
        <v>4</v>
      </c>
      <c r="C30" s="8" t="s">
        <v>45</v>
      </c>
      <c r="D30" s="8" t="s">
        <v>25</v>
      </c>
      <c r="E30" s="8" t="s">
        <v>53</v>
      </c>
      <c r="F30" s="8" t="s">
        <v>14</v>
      </c>
      <c r="G30" s="8" t="s">
        <v>367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24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24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82</v>
      </c>
      <c r="L31" s="2" t="s">
        <v>9</v>
      </c>
      <c r="M31" s="2" t="s">
        <v>20</v>
      </c>
      <c r="N31" s="2" t="s">
        <v>10</v>
      </c>
      <c r="O31" s="2" t="s">
        <v>22</v>
      </c>
      <c r="P31" s="3" t="s">
        <v>48</v>
      </c>
    </row>
    <row r="32" spans="1:16" x14ac:dyDescent="0.35">
      <c r="A32" s="14">
        <v>45518</v>
      </c>
      <c r="B32" s="5">
        <v>3</v>
      </c>
      <c r="C32" s="2" t="s">
        <v>82</v>
      </c>
      <c r="D32" s="2" t="s">
        <v>9</v>
      </c>
      <c r="E32" s="2" t="s">
        <v>20</v>
      </c>
      <c r="F32" s="2" t="s">
        <v>10</v>
      </c>
      <c r="G32" s="2" t="s">
        <v>22</v>
      </c>
      <c r="H32" s="3" t="s">
        <v>48</v>
      </c>
      <c r="I32" s="5">
        <v>4</v>
      </c>
      <c r="J32" s="12">
        <v>3</v>
      </c>
      <c r="K32" s="8" t="s">
        <v>45</v>
      </c>
      <c r="L32" s="8" t="s">
        <v>25</v>
      </c>
      <c r="M32" s="8" t="s">
        <v>53</v>
      </c>
      <c r="N32" s="8" t="s">
        <v>14</v>
      </c>
      <c r="O32" s="8" t="s">
        <v>367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14</v>
      </c>
      <c r="D33" s="8" t="s">
        <v>82</v>
      </c>
      <c r="E33" s="8" t="s">
        <v>9</v>
      </c>
      <c r="F33" s="8" t="s">
        <v>12</v>
      </c>
      <c r="G33" s="8" t="s">
        <v>343</v>
      </c>
      <c r="H33" s="8" t="s">
        <v>54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45</v>
      </c>
      <c r="N33" s="10" t="s">
        <v>4</v>
      </c>
      <c r="O33" s="10" t="s">
        <v>25</v>
      </c>
      <c r="P33" s="10" t="s">
        <v>367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45</v>
      </c>
      <c r="F34" s="10" t="s">
        <v>4</v>
      </c>
      <c r="G34" s="10" t="s">
        <v>25</v>
      </c>
      <c r="H34" s="10" t="s">
        <v>367</v>
      </c>
      <c r="I34" s="11">
        <v>5</v>
      </c>
      <c r="J34" s="2">
        <v>2</v>
      </c>
      <c r="K34" s="2" t="s">
        <v>1</v>
      </c>
      <c r="L34" s="2" t="s">
        <v>20</v>
      </c>
      <c r="M34" s="2" t="s">
        <v>5</v>
      </c>
      <c r="N34" s="2" t="s">
        <v>19</v>
      </c>
      <c r="O34" s="2" t="s">
        <v>46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20</v>
      </c>
      <c r="E35" s="2" t="s">
        <v>5</v>
      </c>
      <c r="F35" s="2" t="s">
        <v>19</v>
      </c>
      <c r="G35" s="2" t="s">
        <v>46</v>
      </c>
      <c r="H35" s="3" t="s">
        <v>7</v>
      </c>
      <c r="I35" s="5">
        <v>2</v>
      </c>
      <c r="J35" s="12">
        <v>1</v>
      </c>
      <c r="K35" s="8" t="s">
        <v>14</v>
      </c>
      <c r="L35" s="8" t="s">
        <v>82</v>
      </c>
      <c r="M35" s="8" t="s">
        <v>9</v>
      </c>
      <c r="N35" s="8" t="s">
        <v>12</v>
      </c>
      <c r="O35" s="8" t="s">
        <v>343</v>
      </c>
      <c r="P35" s="8" t="s">
        <v>54</v>
      </c>
    </row>
    <row r="36" spans="1:16" x14ac:dyDescent="0.35">
      <c r="A36" s="14">
        <v>45532</v>
      </c>
      <c r="B36" s="3">
        <v>4</v>
      </c>
      <c r="C36" s="8" t="s">
        <v>20</v>
      </c>
      <c r="D36" s="8" t="s">
        <v>6</v>
      </c>
      <c r="E36" s="8" t="s">
        <v>45</v>
      </c>
      <c r="F36" s="8" t="s">
        <v>46</v>
      </c>
      <c r="G36" s="8" t="s">
        <v>19</v>
      </c>
      <c r="H36" s="8" t="s">
        <v>50</v>
      </c>
      <c r="I36" s="9">
        <v>4</v>
      </c>
      <c r="J36" s="10">
        <v>7</v>
      </c>
      <c r="K36" s="10" t="s">
        <v>82</v>
      </c>
      <c r="L36" s="10" t="s">
        <v>9</v>
      </c>
      <c r="M36" s="10" t="s">
        <v>22</v>
      </c>
      <c r="N36" s="10" t="s">
        <v>11</v>
      </c>
      <c r="O36" s="10" t="s">
        <v>10</v>
      </c>
      <c r="P36" s="10" t="s">
        <v>367</v>
      </c>
    </row>
    <row r="37" spans="1:16" x14ac:dyDescent="0.35">
      <c r="A37" s="14">
        <v>45532</v>
      </c>
      <c r="B37" s="3">
        <v>5</v>
      </c>
      <c r="C37" s="10" t="s">
        <v>82</v>
      </c>
      <c r="D37" s="10" t="s">
        <v>9</v>
      </c>
      <c r="E37" s="10" t="s">
        <v>22</v>
      </c>
      <c r="F37" s="10" t="s">
        <v>11</v>
      </c>
      <c r="G37" s="10" t="s">
        <v>10</v>
      </c>
      <c r="H37" s="10" t="s">
        <v>367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24</v>
      </c>
      <c r="O37" s="2" t="s">
        <v>5</v>
      </c>
      <c r="P37" s="3" t="s">
        <v>25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24</v>
      </c>
      <c r="G38" s="2" t="s">
        <v>5</v>
      </c>
      <c r="H38" s="3" t="s">
        <v>25</v>
      </c>
      <c r="I38" s="5">
        <v>1</v>
      </c>
      <c r="J38" s="8">
        <v>4</v>
      </c>
      <c r="K38" s="8" t="s">
        <v>20</v>
      </c>
      <c r="L38" s="8" t="s">
        <v>6</v>
      </c>
      <c r="M38" s="8" t="s">
        <v>45</v>
      </c>
      <c r="N38" s="8" t="s">
        <v>46</v>
      </c>
      <c r="O38" s="8" t="s">
        <v>19</v>
      </c>
      <c r="P38" s="8" t="s">
        <v>50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45</v>
      </c>
      <c r="E39" s="8" t="s">
        <v>82</v>
      </c>
      <c r="F39" s="8" t="s">
        <v>3</v>
      </c>
      <c r="G39" s="8" t="s">
        <v>4</v>
      </c>
      <c r="H39" s="8" t="s">
        <v>25</v>
      </c>
      <c r="I39" s="9">
        <v>5</v>
      </c>
      <c r="J39" s="10">
        <v>5</v>
      </c>
      <c r="K39" s="10" t="s">
        <v>14</v>
      </c>
      <c r="L39" s="10" t="s">
        <v>5</v>
      </c>
      <c r="M39" s="10" t="s">
        <v>367</v>
      </c>
      <c r="N39" s="10" t="s">
        <v>8</v>
      </c>
      <c r="O39" s="10" t="s">
        <v>46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14</v>
      </c>
      <c r="D40" s="10" t="s">
        <v>5</v>
      </c>
      <c r="E40" s="10" t="s">
        <v>367</v>
      </c>
      <c r="F40" s="10" t="s">
        <v>8</v>
      </c>
      <c r="G40" s="10" t="s">
        <v>46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19</v>
      </c>
      <c r="N40" s="2" t="s">
        <v>55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19</v>
      </c>
      <c r="F41" s="2" t="s">
        <v>55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45</v>
      </c>
      <c r="M41" s="8" t="s">
        <v>82</v>
      </c>
      <c r="N41" s="8" t="s">
        <v>3</v>
      </c>
      <c r="O41" s="8" t="s">
        <v>4</v>
      </c>
      <c r="P41" s="8" t="s">
        <v>25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82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367</v>
      </c>
      <c r="M42" s="10" t="s">
        <v>15</v>
      </c>
      <c r="N42" s="10" t="s">
        <v>3</v>
      </c>
      <c r="O42" s="10" t="s">
        <v>45</v>
      </c>
      <c r="P42" s="10" t="s">
        <v>46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367</v>
      </c>
      <c r="E43" s="10" t="s">
        <v>15</v>
      </c>
      <c r="F43" s="10" t="s">
        <v>3</v>
      </c>
      <c r="G43" s="10" t="s">
        <v>45</v>
      </c>
      <c r="H43" s="10" t="s">
        <v>46</v>
      </c>
      <c r="I43" s="11">
        <v>5</v>
      </c>
      <c r="J43" s="2">
        <v>3</v>
      </c>
      <c r="K43" s="2" t="s">
        <v>10</v>
      </c>
      <c r="L43" s="2" t="s">
        <v>19</v>
      </c>
      <c r="M43" s="2" t="s">
        <v>5</v>
      </c>
      <c r="N43" s="2" t="s">
        <v>20</v>
      </c>
      <c r="O43" s="2" t="s">
        <v>14</v>
      </c>
      <c r="P43" s="3" t="s">
        <v>25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19</v>
      </c>
      <c r="E44" s="2" t="s">
        <v>5</v>
      </c>
      <c r="F44" s="2" t="s">
        <v>20</v>
      </c>
      <c r="G44" s="2" t="s">
        <v>14</v>
      </c>
      <c r="H44" s="3" t="s">
        <v>25</v>
      </c>
      <c r="I44" s="5">
        <v>4</v>
      </c>
      <c r="J44" s="8">
        <v>3</v>
      </c>
      <c r="K44" s="8" t="s">
        <v>9</v>
      </c>
      <c r="L44" s="8" t="s">
        <v>82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82</v>
      </c>
      <c r="F45" s="8" t="s">
        <v>19</v>
      </c>
      <c r="G45" s="8" t="s">
        <v>3</v>
      </c>
      <c r="H45" s="8" t="s">
        <v>44</v>
      </c>
      <c r="I45" s="9">
        <v>3</v>
      </c>
      <c r="J45" s="10">
        <v>0</v>
      </c>
      <c r="K45" s="10" t="s">
        <v>14</v>
      </c>
      <c r="L45" s="10" t="s">
        <v>56</v>
      </c>
      <c r="M45" s="10" t="s">
        <v>15</v>
      </c>
      <c r="N45" s="10" t="s">
        <v>367</v>
      </c>
      <c r="O45" s="10" t="s">
        <v>20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14</v>
      </c>
      <c r="D46" s="10" t="s">
        <v>56</v>
      </c>
      <c r="E46" s="10" t="s">
        <v>15</v>
      </c>
      <c r="F46" s="10" t="s">
        <v>367</v>
      </c>
      <c r="G46" s="10" t="s">
        <v>20</v>
      </c>
      <c r="H46" s="10" t="s">
        <v>2</v>
      </c>
      <c r="I46" s="11">
        <v>1</v>
      </c>
      <c r="J46" s="2">
        <v>1</v>
      </c>
      <c r="K46" s="2" t="s">
        <v>18</v>
      </c>
      <c r="L46" s="2" t="s">
        <v>9</v>
      </c>
      <c r="M46" s="2" t="s">
        <v>10</v>
      </c>
      <c r="N46" s="2" t="s">
        <v>55</v>
      </c>
      <c r="O46" s="2" t="s">
        <v>46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18</v>
      </c>
      <c r="D47" s="2" t="s">
        <v>9</v>
      </c>
      <c r="E47" s="2" t="s">
        <v>10</v>
      </c>
      <c r="F47" s="2" t="s">
        <v>55</v>
      </c>
      <c r="G47" s="2" t="s">
        <v>46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82</v>
      </c>
      <c r="N47" s="8" t="s">
        <v>19</v>
      </c>
      <c r="O47" s="8" t="s">
        <v>3</v>
      </c>
      <c r="P47" s="8" t="s">
        <v>44</v>
      </c>
    </row>
    <row r="48" spans="1:16" x14ac:dyDescent="0.35">
      <c r="A48" s="14">
        <v>45560</v>
      </c>
      <c r="B48" s="3">
        <v>6</v>
      </c>
      <c r="C48" s="8" t="s">
        <v>367</v>
      </c>
      <c r="D48" s="8" t="s">
        <v>12</v>
      </c>
      <c r="E48" s="8" t="s">
        <v>82</v>
      </c>
      <c r="F48" s="8" t="s">
        <v>43</v>
      </c>
      <c r="G48" s="8" t="s">
        <v>17</v>
      </c>
      <c r="H48" s="8"/>
      <c r="I48" s="9">
        <v>9</v>
      </c>
      <c r="J48" s="10">
        <v>3</v>
      </c>
      <c r="K48" s="10" t="s">
        <v>15</v>
      </c>
      <c r="L48" s="10" t="s">
        <v>14</v>
      </c>
      <c r="M48" s="10" t="s">
        <v>10</v>
      </c>
      <c r="N48" s="10" t="s">
        <v>20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15</v>
      </c>
      <c r="D49" s="10" t="s">
        <v>14</v>
      </c>
      <c r="E49" s="10" t="s">
        <v>10</v>
      </c>
      <c r="F49" s="10" t="s">
        <v>20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60</v>
      </c>
      <c r="N49" s="2" t="s">
        <v>61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60</v>
      </c>
      <c r="F50" s="2" t="s">
        <v>61</v>
      </c>
      <c r="G50" s="2" t="s">
        <v>2</v>
      </c>
      <c r="H50" s="3"/>
      <c r="I50" s="5">
        <v>7</v>
      </c>
      <c r="J50" s="8">
        <v>11</v>
      </c>
      <c r="K50" s="8" t="s">
        <v>367</v>
      </c>
      <c r="L50" s="8" t="s">
        <v>12</v>
      </c>
      <c r="M50" s="8" t="s">
        <v>82</v>
      </c>
      <c r="N50" s="8" t="s">
        <v>43</v>
      </c>
      <c r="O50" s="8" t="s">
        <v>17</v>
      </c>
      <c r="P50" s="8"/>
    </row>
    <row r="51" spans="1:16" x14ac:dyDescent="0.35">
      <c r="A51" s="14">
        <v>45568</v>
      </c>
      <c r="B51" s="3">
        <v>6</v>
      </c>
      <c r="C51" s="8" t="s">
        <v>367</v>
      </c>
      <c r="D51" s="8" t="s">
        <v>82</v>
      </c>
      <c r="E51" s="8" t="s">
        <v>14</v>
      </c>
      <c r="F51" s="8" t="s">
        <v>63</v>
      </c>
      <c r="G51" s="8" t="s">
        <v>56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20</v>
      </c>
      <c r="M51" s="10" t="s">
        <v>10</v>
      </c>
      <c r="N51" s="10" t="s">
        <v>22</v>
      </c>
      <c r="O51" s="10" t="s">
        <v>44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20</v>
      </c>
      <c r="E52" s="10" t="s">
        <v>10</v>
      </c>
      <c r="F52" s="10" t="s">
        <v>22</v>
      </c>
      <c r="G52" s="10" t="s">
        <v>44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61</v>
      </c>
      <c r="M52" s="2" t="s">
        <v>15</v>
      </c>
      <c r="N52" s="2" t="s">
        <v>6</v>
      </c>
      <c r="O52" s="2" t="s">
        <v>11</v>
      </c>
      <c r="P52" s="3" t="s">
        <v>25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61</v>
      </c>
      <c r="E53" s="2" t="s">
        <v>15</v>
      </c>
      <c r="F53" s="2" t="s">
        <v>6</v>
      </c>
      <c r="G53" s="2" t="s">
        <v>11</v>
      </c>
      <c r="H53" s="3" t="s">
        <v>25</v>
      </c>
      <c r="I53" s="5">
        <v>2</v>
      </c>
      <c r="J53" s="8">
        <v>8</v>
      </c>
      <c r="K53" s="8" t="s">
        <v>367</v>
      </c>
      <c r="L53" s="8" t="s">
        <v>82</v>
      </c>
      <c r="M53" s="8" t="s">
        <v>14</v>
      </c>
      <c r="N53" s="8" t="s">
        <v>63</v>
      </c>
      <c r="O53" s="8" t="s">
        <v>56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14</v>
      </c>
      <c r="E54" s="8" t="s">
        <v>2</v>
      </c>
      <c r="F54" s="8" t="s">
        <v>15</v>
      </c>
      <c r="G54" s="8" t="s">
        <v>6</v>
      </c>
      <c r="H54" s="8" t="s">
        <v>82</v>
      </c>
      <c r="I54" s="9">
        <v>4</v>
      </c>
      <c r="J54" s="10">
        <v>2</v>
      </c>
      <c r="K54" s="10" t="s">
        <v>9</v>
      </c>
      <c r="L54" s="10" t="s">
        <v>367</v>
      </c>
      <c r="M54" s="10" t="s">
        <v>44</v>
      </c>
      <c r="N54" s="10" t="s">
        <v>25</v>
      </c>
      <c r="O54" s="10" t="s">
        <v>55</v>
      </c>
      <c r="P54" s="10" t="s">
        <v>61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367</v>
      </c>
      <c r="E55" s="10" t="s">
        <v>44</v>
      </c>
      <c r="F55" s="10" t="s">
        <v>25</v>
      </c>
      <c r="G55" s="10" t="s">
        <v>55</v>
      </c>
      <c r="H55" s="10" t="s">
        <v>61</v>
      </c>
      <c r="I55" s="11">
        <v>7</v>
      </c>
      <c r="J55" s="2">
        <v>4</v>
      </c>
      <c r="K55" s="2" t="s">
        <v>1</v>
      </c>
      <c r="L55" s="2" t="s">
        <v>60</v>
      </c>
      <c r="M55" s="2" t="s">
        <v>11</v>
      </c>
      <c r="N55" s="2" t="s">
        <v>4</v>
      </c>
      <c r="O55" s="2" t="s">
        <v>20</v>
      </c>
      <c r="P55" s="3" t="s">
        <v>19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60</v>
      </c>
      <c r="E56" s="2" t="s">
        <v>11</v>
      </c>
      <c r="F56" s="2" t="s">
        <v>4</v>
      </c>
      <c r="G56" s="2" t="s">
        <v>20</v>
      </c>
      <c r="H56" s="3" t="s">
        <v>19</v>
      </c>
      <c r="I56" s="5">
        <v>2</v>
      </c>
      <c r="J56" s="8">
        <v>2</v>
      </c>
      <c r="K56" s="8" t="s">
        <v>10</v>
      </c>
      <c r="L56" s="8" t="s">
        <v>14</v>
      </c>
      <c r="M56" s="8" t="s">
        <v>2</v>
      </c>
      <c r="N56" s="8" t="s">
        <v>15</v>
      </c>
      <c r="O56" s="8" t="s">
        <v>6</v>
      </c>
      <c r="P56" s="8" t="s">
        <v>82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46</v>
      </c>
      <c r="E57" s="8" t="s">
        <v>5</v>
      </c>
      <c r="F57" s="8" t="s">
        <v>25</v>
      </c>
      <c r="G57" s="8" t="s">
        <v>63</v>
      </c>
      <c r="H57" s="8" t="s">
        <v>2</v>
      </c>
      <c r="I57" s="9">
        <v>3</v>
      </c>
      <c r="J57" s="10">
        <v>7</v>
      </c>
      <c r="K57" s="10" t="s">
        <v>60</v>
      </c>
      <c r="L57" s="10" t="s">
        <v>82</v>
      </c>
      <c r="M57" s="10" t="s">
        <v>15</v>
      </c>
      <c r="N57" s="10" t="s">
        <v>10</v>
      </c>
      <c r="O57" s="10" t="s">
        <v>367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60</v>
      </c>
      <c r="D58" s="10" t="s">
        <v>82</v>
      </c>
      <c r="E58" s="10" t="s">
        <v>15</v>
      </c>
      <c r="F58" s="10" t="s">
        <v>10</v>
      </c>
      <c r="G58" s="10" t="s">
        <v>367</v>
      </c>
      <c r="H58" s="10" t="s">
        <v>6</v>
      </c>
      <c r="I58" s="11">
        <v>3</v>
      </c>
      <c r="J58" s="2">
        <v>4</v>
      </c>
      <c r="K58" s="2" t="s">
        <v>4</v>
      </c>
      <c r="L58" s="2" t="s">
        <v>20</v>
      </c>
      <c r="M58" s="2" t="s">
        <v>55</v>
      </c>
      <c r="N58" s="2" t="s">
        <v>48</v>
      </c>
      <c r="O58" s="2" t="s">
        <v>19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20</v>
      </c>
      <c r="E59" s="2" t="s">
        <v>55</v>
      </c>
      <c r="F59" s="2" t="s">
        <v>48</v>
      </c>
      <c r="G59" s="2" t="s">
        <v>19</v>
      </c>
      <c r="H59" s="3" t="s">
        <v>8</v>
      </c>
      <c r="I59" s="5">
        <v>3</v>
      </c>
      <c r="J59" s="8">
        <v>2</v>
      </c>
      <c r="K59" s="8" t="s">
        <v>1</v>
      </c>
      <c r="L59" s="8" t="s">
        <v>46</v>
      </c>
      <c r="M59" s="8" t="s">
        <v>5</v>
      </c>
      <c r="N59" s="8" t="s">
        <v>25</v>
      </c>
      <c r="O59" s="8" t="s">
        <v>63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54</v>
      </c>
      <c r="E60" s="8" t="s">
        <v>82</v>
      </c>
      <c r="F60" s="8" t="s">
        <v>15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16</v>
      </c>
      <c r="L60" s="10" t="s">
        <v>56</v>
      </c>
      <c r="M60" s="10" t="s">
        <v>9</v>
      </c>
      <c r="N60" s="10" t="s">
        <v>14</v>
      </c>
      <c r="O60" s="10" t="s">
        <v>367</v>
      </c>
      <c r="P60" s="10" t="s">
        <v>66</v>
      </c>
    </row>
    <row r="61" spans="1:16" x14ac:dyDescent="0.35">
      <c r="A61" s="14">
        <v>45588</v>
      </c>
      <c r="B61" s="3">
        <v>5</v>
      </c>
      <c r="C61" s="10" t="s">
        <v>16</v>
      </c>
      <c r="D61" s="10" t="s">
        <v>56</v>
      </c>
      <c r="E61" s="10" t="s">
        <v>9</v>
      </c>
      <c r="F61" s="10" t="s">
        <v>14</v>
      </c>
      <c r="G61" s="10" t="s">
        <v>367</v>
      </c>
      <c r="H61" s="10" t="s">
        <v>66</v>
      </c>
      <c r="I61" s="11">
        <v>6</v>
      </c>
      <c r="J61" s="2">
        <v>3</v>
      </c>
      <c r="K61" s="2" t="s">
        <v>25</v>
      </c>
      <c r="L61" s="2" t="s">
        <v>19</v>
      </c>
      <c r="M61" s="2" t="s">
        <v>10</v>
      </c>
      <c r="N61" s="2" t="s">
        <v>55</v>
      </c>
      <c r="O61" s="2" t="s">
        <v>5</v>
      </c>
      <c r="P61" s="3" t="s">
        <v>20</v>
      </c>
    </row>
    <row r="62" spans="1:16" x14ac:dyDescent="0.35">
      <c r="A62" s="14">
        <v>45588</v>
      </c>
      <c r="B62" s="5">
        <v>4</v>
      </c>
      <c r="C62" s="2" t="s">
        <v>25</v>
      </c>
      <c r="D62" s="2" t="s">
        <v>19</v>
      </c>
      <c r="E62" s="2" t="s">
        <v>10</v>
      </c>
      <c r="F62" s="2" t="s">
        <v>55</v>
      </c>
      <c r="G62" s="2" t="s">
        <v>5</v>
      </c>
      <c r="H62" s="3" t="s">
        <v>20</v>
      </c>
      <c r="I62" s="5">
        <v>5</v>
      </c>
      <c r="J62" s="8">
        <v>2</v>
      </c>
      <c r="K62" s="8" t="s">
        <v>1</v>
      </c>
      <c r="L62" s="8" t="s">
        <v>54</v>
      </c>
      <c r="M62" s="8" t="s">
        <v>82</v>
      </c>
      <c r="N62" s="8" t="s">
        <v>15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20</v>
      </c>
      <c r="E63" s="8" t="s">
        <v>4</v>
      </c>
      <c r="F63" s="8" t="s">
        <v>66</v>
      </c>
      <c r="G63" s="8" t="s">
        <v>19</v>
      </c>
      <c r="H63" s="8" t="s">
        <v>16</v>
      </c>
      <c r="I63" s="9">
        <v>0</v>
      </c>
      <c r="J63" s="10">
        <v>5</v>
      </c>
      <c r="K63" s="10" t="s">
        <v>82</v>
      </c>
      <c r="L63" s="10" t="s">
        <v>367</v>
      </c>
      <c r="M63" s="10" t="s">
        <v>15</v>
      </c>
      <c r="N63" s="10" t="s">
        <v>54</v>
      </c>
      <c r="O63" s="10" t="s">
        <v>2</v>
      </c>
      <c r="P63" s="10" t="s">
        <v>61</v>
      </c>
    </row>
    <row r="64" spans="1:16" x14ac:dyDescent="0.35">
      <c r="A64" s="14">
        <v>45595</v>
      </c>
      <c r="B64" s="3">
        <v>4</v>
      </c>
      <c r="C64" s="10" t="s">
        <v>82</v>
      </c>
      <c r="D64" s="10" t="s">
        <v>367</v>
      </c>
      <c r="E64" s="10" t="s">
        <v>15</v>
      </c>
      <c r="F64" s="10" t="s">
        <v>54</v>
      </c>
      <c r="G64" s="10" t="s">
        <v>2</v>
      </c>
      <c r="H64" s="10" t="s">
        <v>61</v>
      </c>
      <c r="I64" s="11">
        <v>1</v>
      </c>
      <c r="J64" s="2">
        <v>4</v>
      </c>
      <c r="K64" s="2" t="s">
        <v>63</v>
      </c>
      <c r="L64" s="2" t="s">
        <v>5</v>
      </c>
      <c r="M64" s="2" t="s">
        <v>55</v>
      </c>
      <c r="N64" s="2" t="s">
        <v>6</v>
      </c>
      <c r="O64" s="2" t="s">
        <v>25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63</v>
      </c>
      <c r="D65" s="2" t="s">
        <v>5</v>
      </c>
      <c r="E65" s="2" t="s">
        <v>55</v>
      </c>
      <c r="F65" s="2" t="s">
        <v>6</v>
      </c>
      <c r="G65" s="2" t="s">
        <v>25</v>
      </c>
      <c r="H65" s="3" t="s">
        <v>9</v>
      </c>
      <c r="I65" s="5">
        <v>1</v>
      </c>
      <c r="J65" s="8">
        <v>8</v>
      </c>
      <c r="K65" s="8" t="s">
        <v>1</v>
      </c>
      <c r="L65" s="8" t="s">
        <v>20</v>
      </c>
      <c r="M65" s="8" t="s">
        <v>4</v>
      </c>
      <c r="N65" s="8" t="s">
        <v>66</v>
      </c>
      <c r="O65" s="8" t="s">
        <v>19</v>
      </c>
      <c r="P65" s="8" t="s">
        <v>16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367</v>
      </c>
      <c r="E66" s="8" t="s">
        <v>9</v>
      </c>
      <c r="F66" s="8" t="s">
        <v>56</v>
      </c>
      <c r="G66" s="8" t="s">
        <v>25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55</v>
      </c>
      <c r="N66" s="10" t="s">
        <v>16</v>
      </c>
      <c r="O66" s="10" t="s">
        <v>82</v>
      </c>
      <c r="P66" s="10" t="s">
        <v>68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55</v>
      </c>
      <c r="F67" s="10" t="s">
        <v>16</v>
      </c>
      <c r="G67" s="10" t="s">
        <v>82</v>
      </c>
      <c r="H67" s="10" t="s">
        <v>68</v>
      </c>
      <c r="I67" s="11">
        <v>3</v>
      </c>
      <c r="J67" s="2">
        <v>1</v>
      </c>
      <c r="K67" s="2" t="s">
        <v>20</v>
      </c>
      <c r="L67" s="2" t="s">
        <v>5</v>
      </c>
      <c r="M67" s="2" t="s">
        <v>15</v>
      </c>
      <c r="N67" s="2" t="s">
        <v>14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20</v>
      </c>
      <c r="D68" s="2" t="s">
        <v>5</v>
      </c>
      <c r="E68" s="2" t="s">
        <v>15</v>
      </c>
      <c r="F68" s="2" t="s">
        <v>14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367</v>
      </c>
      <c r="M68" s="8" t="s">
        <v>9</v>
      </c>
      <c r="N68" s="8" t="s">
        <v>56</v>
      </c>
      <c r="O68" s="8" t="s">
        <v>25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14</v>
      </c>
      <c r="F69" s="8" t="s">
        <v>17</v>
      </c>
      <c r="G69" s="8" t="s">
        <v>16</v>
      </c>
      <c r="H69" s="8" t="s">
        <v>5</v>
      </c>
      <c r="I69" s="9">
        <v>5</v>
      </c>
      <c r="J69" s="10">
        <v>3</v>
      </c>
      <c r="K69" s="10" t="s">
        <v>20</v>
      </c>
      <c r="L69" s="10" t="s">
        <v>4</v>
      </c>
      <c r="M69" s="10" t="s">
        <v>2</v>
      </c>
      <c r="N69" s="10" t="s">
        <v>66</v>
      </c>
      <c r="O69" s="10" t="s">
        <v>11</v>
      </c>
      <c r="P69" s="10" t="s">
        <v>82</v>
      </c>
    </row>
    <row r="70" spans="1:16" x14ac:dyDescent="0.35">
      <c r="A70" s="14">
        <v>45609</v>
      </c>
      <c r="B70" s="3">
        <v>5</v>
      </c>
      <c r="C70" s="10" t="s">
        <v>20</v>
      </c>
      <c r="D70" s="10" t="s">
        <v>4</v>
      </c>
      <c r="E70" s="10" t="s">
        <v>2</v>
      </c>
      <c r="F70" s="10" t="s">
        <v>66</v>
      </c>
      <c r="G70" s="10" t="s">
        <v>11</v>
      </c>
      <c r="H70" s="10" t="s">
        <v>82</v>
      </c>
      <c r="I70" s="11">
        <v>3</v>
      </c>
      <c r="J70" s="2">
        <v>7</v>
      </c>
      <c r="K70" s="2" t="s">
        <v>19</v>
      </c>
      <c r="L70" s="2" t="s">
        <v>80</v>
      </c>
      <c r="M70" s="2" t="s">
        <v>55</v>
      </c>
      <c r="N70" s="2" t="s">
        <v>3</v>
      </c>
      <c r="O70" s="2" t="s">
        <v>15</v>
      </c>
      <c r="P70" s="3" t="s">
        <v>56</v>
      </c>
    </row>
    <row r="71" spans="1:16" x14ac:dyDescent="0.35">
      <c r="A71" s="14">
        <v>45609</v>
      </c>
      <c r="B71" s="5">
        <v>6</v>
      </c>
      <c r="C71" s="2" t="s">
        <v>19</v>
      </c>
      <c r="D71" s="2" t="s">
        <v>80</v>
      </c>
      <c r="E71" s="2" t="s">
        <v>55</v>
      </c>
      <c r="F71" s="2" t="s">
        <v>3</v>
      </c>
      <c r="G71" s="2" t="s">
        <v>15</v>
      </c>
      <c r="H71" s="3" t="s">
        <v>56</v>
      </c>
      <c r="I71" s="5">
        <v>6</v>
      </c>
      <c r="J71" s="8">
        <v>6</v>
      </c>
      <c r="K71" s="8" t="s">
        <v>1</v>
      </c>
      <c r="L71" s="8" t="s">
        <v>10</v>
      </c>
      <c r="M71" s="8" t="s">
        <v>14</v>
      </c>
      <c r="N71" s="8" t="s">
        <v>17</v>
      </c>
      <c r="O71" s="8" t="s">
        <v>16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55</v>
      </c>
      <c r="D72" s="8" t="s">
        <v>353</v>
      </c>
      <c r="E72" s="8" t="s">
        <v>25</v>
      </c>
      <c r="F72" s="8" t="s">
        <v>17</v>
      </c>
      <c r="G72" s="8" t="s">
        <v>20</v>
      </c>
      <c r="H72" s="8" t="s">
        <v>19</v>
      </c>
      <c r="I72" s="9">
        <v>5</v>
      </c>
      <c r="J72" s="10">
        <v>4</v>
      </c>
      <c r="K72" s="10" t="s">
        <v>9</v>
      </c>
      <c r="L72" s="10" t="s">
        <v>82</v>
      </c>
      <c r="M72" s="10" t="s">
        <v>367</v>
      </c>
      <c r="N72" s="10" t="s">
        <v>49</v>
      </c>
      <c r="O72" s="10" t="s">
        <v>56</v>
      </c>
      <c r="P72" s="10" t="s">
        <v>50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82</v>
      </c>
      <c r="E73" s="10" t="s">
        <v>367</v>
      </c>
      <c r="F73" s="10" t="s">
        <v>49</v>
      </c>
      <c r="G73" s="10" t="s">
        <v>56</v>
      </c>
      <c r="H73" s="10" t="s">
        <v>50</v>
      </c>
      <c r="I73" s="11">
        <v>5</v>
      </c>
      <c r="J73" s="2">
        <v>7</v>
      </c>
      <c r="K73" s="2" t="s">
        <v>5</v>
      </c>
      <c r="L73" s="2" t="s">
        <v>81</v>
      </c>
      <c r="M73" s="2" t="s">
        <v>77</v>
      </c>
      <c r="N73" s="2" t="s">
        <v>78</v>
      </c>
      <c r="O73" s="2" t="s">
        <v>16</v>
      </c>
      <c r="P73" s="3" t="s">
        <v>68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81</v>
      </c>
      <c r="E74" s="2" t="s">
        <v>77</v>
      </c>
      <c r="F74" s="2" t="s">
        <v>78</v>
      </c>
      <c r="G74" s="2" t="s">
        <v>16</v>
      </c>
      <c r="H74" s="3" t="s">
        <v>68</v>
      </c>
      <c r="I74" s="5">
        <v>6</v>
      </c>
      <c r="J74" s="8">
        <v>4</v>
      </c>
      <c r="K74" s="8" t="s">
        <v>55</v>
      </c>
      <c r="L74" s="8" t="s">
        <v>353</v>
      </c>
      <c r="M74" s="8" t="s">
        <v>25</v>
      </c>
      <c r="N74" s="8" t="s">
        <v>17</v>
      </c>
      <c r="O74" s="8" t="s">
        <v>20</v>
      </c>
      <c r="P74" s="8" t="s">
        <v>19</v>
      </c>
    </row>
    <row r="75" spans="1:16" x14ac:dyDescent="0.35">
      <c r="A75" s="14">
        <v>45623</v>
      </c>
      <c r="B75" s="3">
        <v>6</v>
      </c>
      <c r="C75" s="8" t="s">
        <v>15</v>
      </c>
      <c r="D75" s="8" t="s">
        <v>10</v>
      </c>
      <c r="E75" s="8" t="s">
        <v>82</v>
      </c>
      <c r="F75" s="8" t="s">
        <v>19</v>
      </c>
      <c r="G75" s="8" t="s">
        <v>2</v>
      </c>
      <c r="H75" s="8" t="s">
        <v>55</v>
      </c>
      <c r="I75" s="9">
        <v>6</v>
      </c>
      <c r="J75" s="10">
        <v>4</v>
      </c>
      <c r="K75" s="10" t="s">
        <v>1</v>
      </c>
      <c r="L75" s="10" t="s">
        <v>68</v>
      </c>
      <c r="M75" s="10" t="s">
        <v>20</v>
      </c>
      <c r="N75" s="10" t="s">
        <v>367</v>
      </c>
      <c r="O75" s="10" t="s">
        <v>16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68</v>
      </c>
      <c r="E76" s="10" t="s">
        <v>20</v>
      </c>
      <c r="F76" s="10" t="s">
        <v>367</v>
      </c>
      <c r="G76" s="10" t="s">
        <v>16</v>
      </c>
      <c r="H76" s="10" t="s">
        <v>6</v>
      </c>
      <c r="I76" s="11">
        <v>4</v>
      </c>
      <c r="J76" s="2">
        <v>3</v>
      </c>
      <c r="K76" s="2" t="s">
        <v>14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14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15</v>
      </c>
      <c r="L77" s="8" t="s">
        <v>10</v>
      </c>
      <c r="M77" s="8" t="s">
        <v>82</v>
      </c>
      <c r="N77" s="8" t="s">
        <v>19</v>
      </c>
      <c r="O77" s="8" t="s">
        <v>2</v>
      </c>
      <c r="P77" s="8" t="s">
        <v>55</v>
      </c>
    </row>
    <row r="78" spans="1:16" x14ac:dyDescent="0.35">
      <c r="A78" s="14">
        <v>45629</v>
      </c>
      <c r="B78" s="3">
        <v>5</v>
      </c>
      <c r="C78" s="8" t="s">
        <v>19</v>
      </c>
      <c r="D78" s="8" t="s">
        <v>84</v>
      </c>
      <c r="E78" s="8" t="s">
        <v>20</v>
      </c>
      <c r="F78" s="8" t="s">
        <v>14</v>
      </c>
      <c r="G78" s="8" t="s">
        <v>68</v>
      </c>
      <c r="H78" s="8" t="s">
        <v>9</v>
      </c>
      <c r="I78" s="9">
        <v>2</v>
      </c>
      <c r="J78" s="10">
        <v>7</v>
      </c>
      <c r="K78" s="10" t="s">
        <v>16</v>
      </c>
      <c r="L78" s="10" t="s">
        <v>66</v>
      </c>
      <c r="M78" s="10" t="s">
        <v>82</v>
      </c>
      <c r="N78" s="10" t="s">
        <v>15</v>
      </c>
      <c r="O78" s="10" t="s">
        <v>17</v>
      </c>
      <c r="P78" s="10" t="s">
        <v>83</v>
      </c>
    </row>
    <row r="79" spans="1:16" x14ac:dyDescent="0.35">
      <c r="A79" s="14">
        <v>45629</v>
      </c>
      <c r="B79" s="3">
        <v>4</v>
      </c>
      <c r="C79" s="10" t="s">
        <v>16</v>
      </c>
      <c r="D79" s="10" t="s">
        <v>66</v>
      </c>
      <c r="E79" s="10" t="s">
        <v>82</v>
      </c>
      <c r="F79" s="10" t="s">
        <v>15</v>
      </c>
      <c r="G79" s="10" t="s">
        <v>17</v>
      </c>
      <c r="H79" s="10" t="s">
        <v>83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56</v>
      </c>
      <c r="P79" s="3" t="s">
        <v>50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56</v>
      </c>
      <c r="H80" s="3" t="s">
        <v>50</v>
      </c>
      <c r="I80" s="5">
        <v>3</v>
      </c>
      <c r="J80" s="8">
        <v>3</v>
      </c>
      <c r="K80" s="8" t="s">
        <v>19</v>
      </c>
      <c r="L80" s="8" t="s">
        <v>84</v>
      </c>
      <c r="M80" s="8" t="s">
        <v>20</v>
      </c>
      <c r="N80" s="8" t="s">
        <v>14</v>
      </c>
      <c r="O80" s="8" t="s">
        <v>68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14</v>
      </c>
      <c r="D81" s="8" t="s">
        <v>56</v>
      </c>
      <c r="E81" s="8" t="s">
        <v>82</v>
      </c>
      <c r="F81" s="8" t="s">
        <v>84</v>
      </c>
      <c r="G81" s="8" t="s">
        <v>17</v>
      </c>
      <c r="H81" s="8" t="s">
        <v>55</v>
      </c>
      <c r="I81" s="9">
        <v>3</v>
      </c>
      <c r="J81" s="10">
        <v>5</v>
      </c>
      <c r="K81" s="10" t="s">
        <v>1</v>
      </c>
      <c r="L81" s="10" t="s">
        <v>367</v>
      </c>
      <c r="M81" s="10" t="s">
        <v>10</v>
      </c>
      <c r="N81" s="10" t="s">
        <v>25</v>
      </c>
      <c r="O81" s="10" t="s">
        <v>20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367</v>
      </c>
      <c r="E82" s="10" t="s">
        <v>10</v>
      </c>
      <c r="F82" s="10" t="s">
        <v>25</v>
      </c>
      <c r="G82" s="10" t="s">
        <v>20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66</v>
      </c>
      <c r="N82" s="2" t="s">
        <v>16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66</v>
      </c>
      <c r="F83" s="2" t="s">
        <v>16</v>
      </c>
      <c r="G83" s="2" t="s">
        <v>8</v>
      </c>
      <c r="H83" s="3" t="s">
        <v>4</v>
      </c>
      <c r="I83" s="5">
        <v>3</v>
      </c>
      <c r="J83" s="8">
        <v>6</v>
      </c>
      <c r="K83" s="8" t="s">
        <v>14</v>
      </c>
      <c r="L83" s="8" t="s">
        <v>56</v>
      </c>
      <c r="M83" s="8" t="s">
        <v>82</v>
      </c>
      <c r="N83" s="8" t="s">
        <v>84</v>
      </c>
      <c r="O83" s="8" t="s">
        <v>17</v>
      </c>
      <c r="P83" s="8" t="s">
        <v>55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56</v>
      </c>
      <c r="F84" s="8" t="s">
        <v>85</v>
      </c>
      <c r="G84" s="8" t="s">
        <v>4</v>
      </c>
      <c r="H84" s="8" t="s">
        <v>20</v>
      </c>
      <c r="I84" s="9">
        <v>6</v>
      </c>
      <c r="J84" s="10">
        <v>5</v>
      </c>
      <c r="K84" s="10" t="s">
        <v>25</v>
      </c>
      <c r="L84" s="10" t="s">
        <v>14</v>
      </c>
      <c r="M84" s="10" t="s">
        <v>81</v>
      </c>
      <c r="N84" s="10" t="s">
        <v>55</v>
      </c>
      <c r="O84" s="10" t="s">
        <v>10</v>
      </c>
      <c r="P84" s="10" t="s">
        <v>50</v>
      </c>
    </row>
    <row r="85" spans="1:16" x14ac:dyDescent="0.35">
      <c r="A85" s="14">
        <v>45645</v>
      </c>
      <c r="B85" s="3">
        <v>3</v>
      </c>
      <c r="C85" s="10" t="s">
        <v>25</v>
      </c>
      <c r="D85" s="10" t="s">
        <v>14</v>
      </c>
      <c r="E85" s="10" t="s">
        <v>81</v>
      </c>
      <c r="F85" s="10" t="s">
        <v>55</v>
      </c>
      <c r="G85" s="10" t="s">
        <v>10</v>
      </c>
      <c r="H85" s="10" t="s">
        <v>50</v>
      </c>
      <c r="I85" s="11">
        <v>3</v>
      </c>
      <c r="J85" s="2">
        <v>2</v>
      </c>
      <c r="K85" s="2" t="s">
        <v>17</v>
      </c>
      <c r="L85" s="2" t="s">
        <v>9</v>
      </c>
      <c r="M85" s="2" t="s">
        <v>16</v>
      </c>
      <c r="N85" s="2" t="s">
        <v>15</v>
      </c>
      <c r="O85" s="2" t="s">
        <v>48</v>
      </c>
      <c r="P85" s="3" t="s">
        <v>86</v>
      </c>
    </row>
    <row r="86" spans="1:16" x14ac:dyDescent="0.35">
      <c r="A86" s="14">
        <v>45645</v>
      </c>
      <c r="B86" s="5">
        <v>8</v>
      </c>
      <c r="C86" s="2" t="s">
        <v>17</v>
      </c>
      <c r="D86" s="2" t="s">
        <v>9</v>
      </c>
      <c r="E86" s="2" t="s">
        <v>16</v>
      </c>
      <c r="F86" s="2" t="s">
        <v>15</v>
      </c>
      <c r="G86" s="2" t="s">
        <v>48</v>
      </c>
      <c r="H86" s="3" t="s">
        <v>86</v>
      </c>
      <c r="I86" s="5">
        <v>10</v>
      </c>
      <c r="J86" s="8">
        <v>7</v>
      </c>
      <c r="K86" s="8" t="s">
        <v>1</v>
      </c>
      <c r="L86" s="8" t="s">
        <v>7</v>
      </c>
      <c r="M86" s="8" t="s">
        <v>56</v>
      </c>
      <c r="N86" s="8" t="s">
        <v>85</v>
      </c>
      <c r="O86" s="8" t="s">
        <v>4</v>
      </c>
      <c r="P86" s="8" t="s">
        <v>20</v>
      </c>
    </row>
    <row r="87" spans="1:16" x14ac:dyDescent="0.35">
      <c r="A87" s="14">
        <v>45666</v>
      </c>
      <c r="B87" s="3">
        <v>4</v>
      </c>
      <c r="C87" s="8" t="s">
        <v>25</v>
      </c>
      <c r="D87" s="8" t="s">
        <v>56</v>
      </c>
      <c r="E87" s="8" t="s">
        <v>85</v>
      </c>
      <c r="F87" s="8" t="s">
        <v>11</v>
      </c>
      <c r="G87" s="8" t="s">
        <v>19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20</v>
      </c>
      <c r="L88" s="2" t="s">
        <v>66</v>
      </c>
      <c r="M88" s="2" t="s">
        <v>21</v>
      </c>
      <c r="N88" s="2" t="s">
        <v>82</v>
      </c>
      <c r="O88" s="2" t="s">
        <v>16</v>
      </c>
      <c r="P88" s="3" t="s">
        <v>84</v>
      </c>
    </row>
    <row r="89" spans="1:16" x14ac:dyDescent="0.35">
      <c r="A89" s="14">
        <v>45666</v>
      </c>
      <c r="B89" s="5">
        <v>6</v>
      </c>
      <c r="C89" s="2" t="s">
        <v>20</v>
      </c>
      <c r="D89" s="2" t="s">
        <v>66</v>
      </c>
      <c r="E89" s="2" t="s">
        <v>21</v>
      </c>
      <c r="F89" s="2" t="s">
        <v>82</v>
      </c>
      <c r="G89" s="2" t="s">
        <v>16</v>
      </c>
      <c r="H89" s="3" t="s">
        <v>84</v>
      </c>
      <c r="I89" s="5">
        <v>6</v>
      </c>
      <c r="J89" s="8">
        <v>2</v>
      </c>
      <c r="K89" s="8" t="s">
        <v>25</v>
      </c>
      <c r="L89" s="8" t="s">
        <v>56</v>
      </c>
      <c r="M89" s="8" t="s">
        <v>85</v>
      </c>
      <c r="N89" s="8" t="s">
        <v>11</v>
      </c>
      <c r="O89" s="8" t="s">
        <v>19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85</v>
      </c>
      <c r="D90" s="8" t="s">
        <v>6</v>
      </c>
      <c r="E90" s="8" t="s">
        <v>11</v>
      </c>
      <c r="F90" s="8" t="s">
        <v>19</v>
      </c>
      <c r="G90" s="8" t="s">
        <v>367</v>
      </c>
      <c r="H90" s="8" t="s">
        <v>55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16</v>
      </c>
      <c r="N90" s="10" t="s">
        <v>4</v>
      </c>
      <c r="O90" s="10" t="s">
        <v>20</v>
      </c>
      <c r="P90" s="10" t="s">
        <v>84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16</v>
      </c>
      <c r="F91" s="10" t="s">
        <v>4</v>
      </c>
      <c r="G91" s="10" t="s">
        <v>20</v>
      </c>
      <c r="H91" s="10" t="s">
        <v>84</v>
      </c>
      <c r="I91" s="11">
        <v>3</v>
      </c>
      <c r="J91" s="2">
        <v>3</v>
      </c>
      <c r="K91" s="2" t="s">
        <v>56</v>
      </c>
      <c r="L91" s="2" t="s">
        <v>82</v>
      </c>
      <c r="M91" s="2" t="s">
        <v>10</v>
      </c>
      <c r="N91" s="2" t="s">
        <v>25</v>
      </c>
      <c r="O91" s="2" t="s">
        <v>5</v>
      </c>
      <c r="P91" s="3" t="s">
        <v>66</v>
      </c>
    </row>
    <row r="92" spans="1:16" x14ac:dyDescent="0.35">
      <c r="A92" s="14">
        <v>45672</v>
      </c>
      <c r="B92" s="5">
        <v>5</v>
      </c>
      <c r="C92" s="2" t="s">
        <v>56</v>
      </c>
      <c r="D92" s="2" t="s">
        <v>82</v>
      </c>
      <c r="E92" s="2" t="s">
        <v>10</v>
      </c>
      <c r="F92" s="2" t="s">
        <v>25</v>
      </c>
      <c r="G92" s="2" t="s">
        <v>5</v>
      </c>
      <c r="H92" s="3" t="s">
        <v>66</v>
      </c>
      <c r="I92" s="5">
        <v>6</v>
      </c>
      <c r="J92" s="8">
        <v>7</v>
      </c>
      <c r="K92" s="8" t="s">
        <v>85</v>
      </c>
      <c r="L92" s="8" t="s">
        <v>6</v>
      </c>
      <c r="M92" s="8" t="s">
        <v>11</v>
      </c>
      <c r="N92" s="8" t="s">
        <v>19</v>
      </c>
      <c r="O92" s="8" t="s">
        <v>367</v>
      </c>
      <c r="P92" s="8" t="s">
        <v>55</v>
      </c>
    </row>
    <row r="93" spans="1:16" x14ac:dyDescent="0.35">
      <c r="A93" s="14">
        <v>45679</v>
      </c>
      <c r="B93" s="3">
        <v>7</v>
      </c>
      <c r="C93" s="8" t="s">
        <v>20</v>
      </c>
      <c r="D93" s="8" t="s">
        <v>5</v>
      </c>
      <c r="E93" s="8" t="s">
        <v>55</v>
      </c>
      <c r="F93" s="8" t="s">
        <v>68</v>
      </c>
      <c r="G93" s="8" t="s">
        <v>84</v>
      </c>
      <c r="H93" s="8" t="s">
        <v>44</v>
      </c>
      <c r="I93" s="9">
        <v>9</v>
      </c>
      <c r="J93" s="10">
        <v>9</v>
      </c>
      <c r="K93" s="10" t="s">
        <v>1</v>
      </c>
      <c r="L93" s="10" t="s">
        <v>56</v>
      </c>
      <c r="M93" s="10" t="s">
        <v>19</v>
      </c>
      <c r="N93" s="10" t="s">
        <v>6</v>
      </c>
      <c r="O93" s="10" t="s">
        <v>25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56</v>
      </c>
      <c r="E94" s="10" t="s">
        <v>19</v>
      </c>
      <c r="F94" s="10" t="s">
        <v>6</v>
      </c>
      <c r="G94" s="10" t="s">
        <v>25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53</v>
      </c>
      <c r="M94" s="2" t="s">
        <v>49</v>
      </c>
      <c r="N94" s="2" t="s">
        <v>367</v>
      </c>
      <c r="O94" s="2" t="s">
        <v>82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53</v>
      </c>
      <c r="E95" s="2" t="s">
        <v>49</v>
      </c>
      <c r="F95" s="2" t="s">
        <v>367</v>
      </c>
      <c r="G95" s="2" t="s">
        <v>82</v>
      </c>
      <c r="H95" s="3" t="s">
        <v>11</v>
      </c>
      <c r="I95" s="5">
        <v>0</v>
      </c>
      <c r="J95" s="8">
        <v>7</v>
      </c>
      <c r="K95" s="8" t="s">
        <v>20</v>
      </c>
      <c r="L95" s="8" t="s">
        <v>5</v>
      </c>
      <c r="M95" s="8" t="s">
        <v>55</v>
      </c>
      <c r="N95" s="8" t="s">
        <v>68</v>
      </c>
      <c r="O95" s="8" t="s">
        <v>84</v>
      </c>
      <c r="P95" s="8" t="s">
        <v>44</v>
      </c>
    </row>
    <row r="96" spans="1:16" x14ac:dyDescent="0.35">
      <c r="A96" s="14">
        <v>45686</v>
      </c>
      <c r="B96" s="3">
        <v>6</v>
      </c>
      <c r="C96" s="8" t="s">
        <v>367</v>
      </c>
      <c r="D96" s="8" t="s">
        <v>46</v>
      </c>
      <c r="E96" s="8" t="s">
        <v>16</v>
      </c>
      <c r="F96" s="8" t="s">
        <v>84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56</v>
      </c>
      <c r="N96" s="10" t="s">
        <v>68</v>
      </c>
      <c r="O96" s="10" t="s">
        <v>2</v>
      </c>
      <c r="P96" s="10" t="s">
        <v>50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56</v>
      </c>
      <c r="F97" s="10" t="s">
        <v>68</v>
      </c>
      <c r="G97" s="10" t="s">
        <v>2</v>
      </c>
      <c r="H97" s="10" t="s">
        <v>50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82</v>
      </c>
      <c r="N97" s="2" t="s">
        <v>17</v>
      </c>
      <c r="O97" s="2" t="s">
        <v>25</v>
      </c>
      <c r="P97" s="3" t="s">
        <v>50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82</v>
      </c>
      <c r="F98" s="2" t="s">
        <v>17</v>
      </c>
      <c r="G98" s="2" t="s">
        <v>25</v>
      </c>
      <c r="H98" s="3" t="s">
        <v>50</v>
      </c>
      <c r="I98" s="5">
        <v>2</v>
      </c>
      <c r="J98" s="8">
        <v>3</v>
      </c>
      <c r="K98" s="8" t="s">
        <v>367</v>
      </c>
      <c r="L98" s="8" t="s">
        <v>46</v>
      </c>
      <c r="M98" s="8" t="s">
        <v>16</v>
      </c>
      <c r="N98" s="8" t="s">
        <v>84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46</v>
      </c>
      <c r="F99" s="8" t="s">
        <v>84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16</v>
      </c>
      <c r="O99" s="10" t="s">
        <v>20</v>
      </c>
      <c r="P99" s="10" t="s">
        <v>44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16</v>
      </c>
      <c r="G100" s="10" t="s">
        <v>20</v>
      </c>
      <c r="H100" s="10" t="s">
        <v>44</v>
      </c>
      <c r="I100" s="11">
        <v>2</v>
      </c>
      <c r="J100" s="2">
        <v>4</v>
      </c>
      <c r="K100" s="2" t="s">
        <v>82</v>
      </c>
      <c r="L100" s="2" t="s">
        <v>2</v>
      </c>
      <c r="M100" s="2" t="s">
        <v>367</v>
      </c>
      <c r="N100" s="2" t="s">
        <v>8</v>
      </c>
      <c r="O100" s="2" t="s">
        <v>56</v>
      </c>
      <c r="P100" s="3" t="s">
        <v>14</v>
      </c>
    </row>
    <row r="101" spans="1:16" x14ac:dyDescent="0.35">
      <c r="A101" s="14">
        <v>45693</v>
      </c>
      <c r="B101" s="5">
        <v>5</v>
      </c>
      <c r="C101" s="2" t="s">
        <v>82</v>
      </c>
      <c r="D101" s="2" t="s">
        <v>2</v>
      </c>
      <c r="E101" s="2" t="s">
        <v>367</v>
      </c>
      <c r="F101" s="2" t="s">
        <v>8</v>
      </c>
      <c r="G101" s="2" t="s">
        <v>56</v>
      </c>
      <c r="H101" s="3" t="s">
        <v>14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46</v>
      </c>
      <c r="N101" s="8" t="s">
        <v>84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44</v>
      </c>
      <c r="F102" s="8" t="s">
        <v>16</v>
      </c>
      <c r="G102" s="8" t="s">
        <v>82</v>
      </c>
      <c r="H102" s="8" t="s">
        <v>46</v>
      </c>
      <c r="I102" s="9">
        <v>3</v>
      </c>
      <c r="J102" s="10">
        <v>3</v>
      </c>
      <c r="K102" s="10" t="s">
        <v>6</v>
      </c>
      <c r="L102" s="10" t="s">
        <v>68</v>
      </c>
      <c r="M102" s="10" t="s">
        <v>344</v>
      </c>
      <c r="N102" s="10" t="s">
        <v>56</v>
      </c>
      <c r="O102" s="10" t="s">
        <v>5</v>
      </c>
      <c r="P102" s="10" t="s">
        <v>20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68</v>
      </c>
      <c r="E103" s="10" t="s">
        <v>344</v>
      </c>
      <c r="F103" s="10" t="s">
        <v>56</v>
      </c>
      <c r="G103" s="10" t="s">
        <v>5</v>
      </c>
      <c r="H103" s="10" t="s">
        <v>20</v>
      </c>
      <c r="I103" s="11">
        <v>4</v>
      </c>
      <c r="J103" s="2">
        <v>4</v>
      </c>
      <c r="K103" s="2" t="s">
        <v>339</v>
      </c>
      <c r="L103" s="2" t="s">
        <v>10</v>
      </c>
      <c r="M103" s="2" t="s">
        <v>340</v>
      </c>
      <c r="N103" s="2" t="s">
        <v>9</v>
      </c>
      <c r="O103" s="2" t="s">
        <v>8</v>
      </c>
      <c r="P103" s="3" t="s">
        <v>367</v>
      </c>
    </row>
    <row r="104" spans="1:16" x14ac:dyDescent="0.35">
      <c r="A104" s="14">
        <v>45700</v>
      </c>
      <c r="B104" s="5">
        <v>4</v>
      </c>
      <c r="C104" s="2" t="s">
        <v>339</v>
      </c>
      <c r="D104" s="2" t="s">
        <v>10</v>
      </c>
      <c r="E104" s="2" t="s">
        <v>340</v>
      </c>
      <c r="F104" s="2" t="s">
        <v>9</v>
      </c>
      <c r="G104" s="2" t="s">
        <v>8</v>
      </c>
      <c r="H104" s="3" t="s">
        <v>367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44</v>
      </c>
      <c r="N104" s="8" t="s">
        <v>16</v>
      </c>
      <c r="O104" s="8" t="s">
        <v>82</v>
      </c>
      <c r="P104" s="8" t="s">
        <v>46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44</v>
      </c>
      <c r="F105" s="8" t="s">
        <v>56</v>
      </c>
      <c r="G105" s="8" t="s">
        <v>2</v>
      </c>
      <c r="H105" s="8" t="s">
        <v>50</v>
      </c>
      <c r="I105" s="9">
        <v>2</v>
      </c>
      <c r="J105" s="10">
        <v>1</v>
      </c>
      <c r="K105" s="10" t="s">
        <v>1</v>
      </c>
      <c r="L105" s="10" t="s">
        <v>68</v>
      </c>
      <c r="M105" s="10" t="s">
        <v>25</v>
      </c>
      <c r="N105" s="10" t="s">
        <v>367</v>
      </c>
      <c r="O105" s="10" t="s">
        <v>5</v>
      </c>
      <c r="P105" s="10" t="s">
        <v>50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68</v>
      </c>
      <c r="E106" s="10" t="s">
        <v>25</v>
      </c>
      <c r="F106" s="10" t="s">
        <v>367</v>
      </c>
      <c r="G106" s="10" t="s">
        <v>5</v>
      </c>
      <c r="H106" s="10" t="s">
        <v>50</v>
      </c>
      <c r="I106" s="11">
        <v>4</v>
      </c>
      <c r="J106" s="2">
        <v>3</v>
      </c>
      <c r="K106" s="2" t="s">
        <v>16</v>
      </c>
      <c r="L106" s="2" t="s">
        <v>6</v>
      </c>
      <c r="M106" s="2" t="s">
        <v>11</v>
      </c>
      <c r="N106" s="2" t="s">
        <v>82</v>
      </c>
      <c r="O106" s="2" t="s">
        <v>63</v>
      </c>
      <c r="P106" s="3" t="s">
        <v>20</v>
      </c>
    </row>
    <row r="107" spans="1:16" x14ac:dyDescent="0.35">
      <c r="A107" s="14">
        <v>45707</v>
      </c>
      <c r="B107" s="5">
        <v>4</v>
      </c>
      <c r="C107" s="2" t="s">
        <v>16</v>
      </c>
      <c r="D107" s="2" t="s">
        <v>6</v>
      </c>
      <c r="E107" s="2" t="s">
        <v>11</v>
      </c>
      <c r="F107" s="2" t="s">
        <v>82</v>
      </c>
      <c r="G107" s="2" t="s">
        <v>63</v>
      </c>
      <c r="H107" s="3" t="s">
        <v>20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44</v>
      </c>
      <c r="N107" s="8" t="s">
        <v>56</v>
      </c>
      <c r="O107" s="8" t="s">
        <v>2</v>
      </c>
      <c r="P107" s="8" t="s">
        <v>50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44</v>
      </c>
      <c r="E108" s="8" t="s">
        <v>5</v>
      </c>
      <c r="F108" s="8" t="s">
        <v>56</v>
      </c>
      <c r="G108" s="8" t="s">
        <v>84</v>
      </c>
      <c r="H108" s="8" t="s">
        <v>19</v>
      </c>
      <c r="I108" s="9">
        <v>9</v>
      </c>
      <c r="J108" s="10">
        <v>9</v>
      </c>
      <c r="K108" s="10" t="s">
        <v>82</v>
      </c>
      <c r="L108" s="10" t="s">
        <v>10</v>
      </c>
      <c r="M108" s="10" t="s">
        <v>2</v>
      </c>
      <c r="N108" s="10" t="s">
        <v>3</v>
      </c>
      <c r="O108" s="10" t="s">
        <v>14</v>
      </c>
      <c r="P108" s="10" t="s">
        <v>16</v>
      </c>
    </row>
    <row r="109" spans="1:16" x14ac:dyDescent="0.35">
      <c r="A109" s="14">
        <v>45714</v>
      </c>
      <c r="B109" s="3">
        <v>4</v>
      </c>
      <c r="C109" s="10" t="s">
        <v>82</v>
      </c>
      <c r="D109" s="10" t="s">
        <v>10</v>
      </c>
      <c r="E109" s="10" t="s">
        <v>2</v>
      </c>
      <c r="F109" s="10" t="s">
        <v>3</v>
      </c>
      <c r="G109" s="10" t="s">
        <v>14</v>
      </c>
      <c r="H109" s="10" t="s">
        <v>16</v>
      </c>
      <c r="I109" s="11">
        <v>4</v>
      </c>
      <c r="J109" s="2">
        <v>0</v>
      </c>
      <c r="K109" s="2" t="s">
        <v>1</v>
      </c>
      <c r="L109" s="2" t="s">
        <v>367</v>
      </c>
      <c r="M109" s="2" t="s">
        <v>25</v>
      </c>
      <c r="N109" s="2" t="s">
        <v>20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367</v>
      </c>
      <c r="E110" s="2" t="s">
        <v>25</v>
      </c>
      <c r="F110" s="2" t="s">
        <v>20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44</v>
      </c>
      <c r="M110" s="8" t="s">
        <v>5</v>
      </c>
      <c r="N110" s="8" t="s">
        <v>56</v>
      </c>
      <c r="O110" s="8" t="s">
        <v>84</v>
      </c>
      <c r="P110" s="8" t="s">
        <v>19</v>
      </c>
    </row>
    <row r="111" spans="1:16" x14ac:dyDescent="0.35">
      <c r="A111" s="14">
        <v>45721</v>
      </c>
      <c r="B111" s="3">
        <v>5</v>
      </c>
      <c r="C111" s="8" t="s">
        <v>14</v>
      </c>
      <c r="D111" s="8" t="s">
        <v>6</v>
      </c>
      <c r="E111" s="8" t="s">
        <v>20</v>
      </c>
      <c r="F111" s="8" t="s">
        <v>56</v>
      </c>
      <c r="G111" s="8" t="s">
        <v>66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342</v>
      </c>
      <c r="N111" s="10" t="s">
        <v>25</v>
      </c>
      <c r="O111" s="10" t="s">
        <v>19</v>
      </c>
      <c r="P111" s="10" t="s">
        <v>50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342</v>
      </c>
      <c r="F112" s="10" t="s">
        <v>25</v>
      </c>
      <c r="G112" s="10" t="s">
        <v>19</v>
      </c>
      <c r="H112" s="10" t="s">
        <v>50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16</v>
      </c>
      <c r="N112" s="2" t="s">
        <v>2</v>
      </c>
      <c r="O112" s="2" t="s">
        <v>50</v>
      </c>
      <c r="P112" s="3" t="s">
        <v>50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16</v>
      </c>
      <c r="F113" s="2" t="s">
        <v>2</v>
      </c>
      <c r="G113" s="2" t="s">
        <v>50</v>
      </c>
      <c r="H113" s="3" t="s">
        <v>50</v>
      </c>
      <c r="I113" s="5">
        <v>3</v>
      </c>
      <c r="J113" s="8">
        <v>4</v>
      </c>
      <c r="K113" s="8" t="s">
        <v>14</v>
      </c>
      <c r="L113" s="8" t="s">
        <v>6</v>
      </c>
      <c r="M113" s="8" t="s">
        <v>20</v>
      </c>
      <c r="N113" s="8" t="s">
        <v>56</v>
      </c>
      <c r="O113" s="8" t="s">
        <v>66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16</v>
      </c>
      <c r="G114" s="8" t="s">
        <v>345</v>
      </c>
      <c r="H114" s="8" t="s">
        <v>50</v>
      </c>
      <c r="I114" s="9">
        <v>1</v>
      </c>
      <c r="J114" s="10">
        <v>4</v>
      </c>
      <c r="K114" s="10" t="s">
        <v>82</v>
      </c>
      <c r="L114" s="10" t="s">
        <v>12</v>
      </c>
      <c r="M114" s="10" t="s">
        <v>11</v>
      </c>
      <c r="N114" s="10" t="s">
        <v>6</v>
      </c>
      <c r="O114" s="10" t="s">
        <v>14</v>
      </c>
      <c r="P114" s="10" t="s">
        <v>343</v>
      </c>
    </row>
    <row r="115" spans="1:16" x14ac:dyDescent="0.35">
      <c r="A115" s="14">
        <v>45728</v>
      </c>
      <c r="B115" s="3">
        <v>5</v>
      </c>
      <c r="C115" s="10" t="s">
        <v>82</v>
      </c>
      <c r="D115" s="10" t="s">
        <v>12</v>
      </c>
      <c r="E115" s="10" t="s">
        <v>11</v>
      </c>
      <c r="F115" s="10" t="s">
        <v>6</v>
      </c>
      <c r="G115" s="10" t="s">
        <v>14</v>
      </c>
      <c r="H115" s="10" t="s">
        <v>343</v>
      </c>
      <c r="I115" s="11">
        <v>5</v>
      </c>
      <c r="J115" s="2">
        <v>5</v>
      </c>
      <c r="K115" s="2" t="s">
        <v>1</v>
      </c>
      <c r="L115" s="2" t="s">
        <v>346</v>
      </c>
      <c r="M115" s="2" t="s">
        <v>20</v>
      </c>
      <c r="N115" s="2" t="s">
        <v>340</v>
      </c>
      <c r="O115" s="2" t="s">
        <v>8</v>
      </c>
      <c r="P115" s="3" t="s">
        <v>44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346</v>
      </c>
      <c r="E116" s="2" t="s">
        <v>20</v>
      </c>
      <c r="F116" s="2" t="s">
        <v>340</v>
      </c>
      <c r="G116" s="2" t="s">
        <v>8</v>
      </c>
      <c r="H116" s="3" t="s">
        <v>44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16</v>
      </c>
      <c r="O116" s="8" t="s">
        <v>345</v>
      </c>
      <c r="P116" s="8" t="s">
        <v>50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25</v>
      </c>
      <c r="E117" s="8" t="s">
        <v>10</v>
      </c>
      <c r="F117" s="8" t="s">
        <v>5</v>
      </c>
      <c r="G117" s="8" t="s">
        <v>6</v>
      </c>
      <c r="H117" s="8" t="s">
        <v>346</v>
      </c>
      <c r="I117" s="9">
        <v>5</v>
      </c>
      <c r="J117" s="10">
        <v>1</v>
      </c>
      <c r="K117" s="10" t="s">
        <v>1</v>
      </c>
      <c r="L117" s="10" t="s">
        <v>340</v>
      </c>
      <c r="M117" s="10" t="s">
        <v>16</v>
      </c>
      <c r="N117" s="10" t="s">
        <v>4</v>
      </c>
      <c r="O117" s="10" t="s">
        <v>44</v>
      </c>
      <c r="P117" s="10" t="s">
        <v>50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340</v>
      </c>
      <c r="E118" s="10" t="s">
        <v>16</v>
      </c>
      <c r="F118" s="10" t="s">
        <v>4</v>
      </c>
      <c r="G118" s="10" t="s">
        <v>44</v>
      </c>
      <c r="H118" s="10" t="s">
        <v>50</v>
      </c>
      <c r="I118" s="11">
        <v>2</v>
      </c>
      <c r="J118" s="2">
        <v>2</v>
      </c>
      <c r="K118" s="2" t="s">
        <v>56</v>
      </c>
      <c r="L118" s="2" t="s">
        <v>54</v>
      </c>
      <c r="M118" s="2" t="s">
        <v>82</v>
      </c>
      <c r="N118" s="2" t="s">
        <v>68</v>
      </c>
      <c r="O118" s="2" t="s">
        <v>14</v>
      </c>
      <c r="P118" s="3" t="s">
        <v>84</v>
      </c>
    </row>
    <row r="119" spans="1:16" x14ac:dyDescent="0.35">
      <c r="A119" s="14">
        <v>45735</v>
      </c>
      <c r="B119" s="5">
        <v>5</v>
      </c>
      <c r="C119" s="2" t="s">
        <v>56</v>
      </c>
      <c r="D119" s="2" t="s">
        <v>54</v>
      </c>
      <c r="E119" s="2" t="s">
        <v>82</v>
      </c>
      <c r="F119" s="2" t="s">
        <v>68</v>
      </c>
      <c r="G119" s="2" t="s">
        <v>14</v>
      </c>
      <c r="H119" s="3" t="s">
        <v>84</v>
      </c>
      <c r="I119" s="5">
        <v>7</v>
      </c>
      <c r="J119" s="8">
        <v>6</v>
      </c>
      <c r="K119" s="8" t="s">
        <v>11</v>
      </c>
      <c r="L119" s="8" t="s">
        <v>25</v>
      </c>
      <c r="M119" s="8" t="s">
        <v>10</v>
      </c>
      <c r="N119" s="8" t="s">
        <v>5</v>
      </c>
      <c r="O119" s="8" t="s">
        <v>6</v>
      </c>
      <c r="P119" s="8" t="s">
        <v>346</v>
      </c>
    </row>
    <row r="120" spans="1:16" x14ac:dyDescent="0.35">
      <c r="A120" s="14">
        <v>45742</v>
      </c>
      <c r="B120" s="3">
        <v>5</v>
      </c>
      <c r="C120" s="8" t="s">
        <v>20</v>
      </c>
      <c r="D120" s="8" t="s">
        <v>340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16</v>
      </c>
      <c r="M120" s="10" t="s">
        <v>56</v>
      </c>
      <c r="N120" s="10" t="s">
        <v>66</v>
      </c>
      <c r="O120" s="10" t="s">
        <v>82</v>
      </c>
      <c r="P120" s="10" t="s">
        <v>25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16</v>
      </c>
      <c r="E121" s="10" t="s">
        <v>56</v>
      </c>
      <c r="F121" s="10" t="s">
        <v>66</v>
      </c>
      <c r="G121" s="10" t="s">
        <v>82</v>
      </c>
      <c r="H121" s="10" t="s">
        <v>25</v>
      </c>
      <c r="I121" s="11">
        <v>5</v>
      </c>
      <c r="J121" s="2">
        <v>5</v>
      </c>
      <c r="K121" s="2" t="s">
        <v>14</v>
      </c>
      <c r="L121" s="2" t="s">
        <v>6</v>
      </c>
      <c r="M121" s="2" t="s">
        <v>347</v>
      </c>
      <c r="N121" s="2" t="s">
        <v>8</v>
      </c>
      <c r="O121" s="2" t="s">
        <v>68</v>
      </c>
      <c r="P121" s="3" t="s">
        <v>84</v>
      </c>
    </row>
    <row r="122" spans="1:16" x14ac:dyDescent="0.35">
      <c r="A122" s="14">
        <v>45742</v>
      </c>
      <c r="B122" s="5">
        <v>4</v>
      </c>
      <c r="C122" s="2" t="s">
        <v>14</v>
      </c>
      <c r="D122" s="2" t="s">
        <v>6</v>
      </c>
      <c r="E122" s="2" t="s">
        <v>347</v>
      </c>
      <c r="F122" s="2" t="s">
        <v>8</v>
      </c>
      <c r="G122" s="2" t="s">
        <v>68</v>
      </c>
      <c r="H122" s="3" t="s">
        <v>84</v>
      </c>
      <c r="I122" s="5">
        <v>6</v>
      </c>
      <c r="J122" s="8">
        <v>5</v>
      </c>
      <c r="K122" s="8" t="s">
        <v>20</v>
      </c>
      <c r="L122" s="8" t="s">
        <v>340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14</v>
      </c>
      <c r="D123" s="8" t="s">
        <v>344</v>
      </c>
      <c r="E123" s="8" t="s">
        <v>9</v>
      </c>
      <c r="F123" s="8" t="s">
        <v>66</v>
      </c>
      <c r="G123" s="8" t="s">
        <v>55</v>
      </c>
      <c r="H123" s="8" t="s">
        <v>6</v>
      </c>
      <c r="I123" s="9">
        <v>6</v>
      </c>
      <c r="J123" s="10">
        <v>7</v>
      </c>
      <c r="K123" s="10" t="s">
        <v>25</v>
      </c>
      <c r="L123" s="10" t="s">
        <v>1</v>
      </c>
      <c r="M123" s="10" t="s">
        <v>20</v>
      </c>
      <c r="N123" s="10" t="s">
        <v>19</v>
      </c>
      <c r="O123" s="10" t="s">
        <v>16</v>
      </c>
      <c r="P123" s="10" t="s">
        <v>56</v>
      </c>
    </row>
    <row r="124" spans="1:16" x14ac:dyDescent="0.35">
      <c r="A124" s="14">
        <v>45749</v>
      </c>
      <c r="B124" s="3">
        <v>3</v>
      </c>
      <c r="C124" s="10" t="s">
        <v>25</v>
      </c>
      <c r="D124" s="10" t="s">
        <v>1</v>
      </c>
      <c r="E124" s="10" t="s">
        <v>20</v>
      </c>
      <c r="F124" s="10" t="s">
        <v>19</v>
      </c>
      <c r="G124" s="10" t="s">
        <v>16</v>
      </c>
      <c r="H124" s="10" t="s">
        <v>56</v>
      </c>
      <c r="I124" s="11">
        <v>1</v>
      </c>
      <c r="J124" s="2">
        <v>5</v>
      </c>
      <c r="K124" s="2" t="s">
        <v>346</v>
      </c>
      <c r="L124" s="2" t="s">
        <v>10</v>
      </c>
      <c r="M124" s="2" t="s">
        <v>340</v>
      </c>
      <c r="N124" s="2" t="s">
        <v>5</v>
      </c>
      <c r="O124" s="2" t="s">
        <v>8</v>
      </c>
      <c r="P124" s="3" t="s">
        <v>84</v>
      </c>
    </row>
    <row r="125" spans="1:16" x14ac:dyDescent="0.35">
      <c r="A125" s="14">
        <v>45749</v>
      </c>
      <c r="B125" s="5">
        <v>5</v>
      </c>
      <c r="C125" s="2" t="s">
        <v>346</v>
      </c>
      <c r="D125" s="2" t="s">
        <v>10</v>
      </c>
      <c r="E125" s="2" t="s">
        <v>340</v>
      </c>
      <c r="F125" s="2" t="s">
        <v>5</v>
      </c>
      <c r="G125" s="2" t="s">
        <v>8</v>
      </c>
      <c r="H125" s="3" t="s">
        <v>84</v>
      </c>
      <c r="I125" s="5">
        <v>3</v>
      </c>
      <c r="J125" s="8">
        <v>7</v>
      </c>
      <c r="K125" s="8" t="s">
        <v>14</v>
      </c>
      <c r="L125" s="8" t="s">
        <v>344</v>
      </c>
      <c r="M125" s="8" t="s">
        <v>9</v>
      </c>
      <c r="N125" s="8" t="s">
        <v>66</v>
      </c>
      <c r="O125" s="8" t="s">
        <v>55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55</v>
      </c>
      <c r="D126" s="8" t="s">
        <v>14</v>
      </c>
      <c r="E126" s="8" t="s">
        <v>6</v>
      </c>
      <c r="F126" s="8" t="s">
        <v>20</v>
      </c>
      <c r="G126" s="8" t="s">
        <v>350</v>
      </c>
      <c r="H126" s="8" t="s">
        <v>340</v>
      </c>
      <c r="I126" s="9">
        <v>5</v>
      </c>
      <c r="J126" s="10">
        <v>6</v>
      </c>
      <c r="K126" s="10" t="s">
        <v>56</v>
      </c>
      <c r="L126" s="10" t="s">
        <v>344</v>
      </c>
      <c r="M126" s="10" t="s">
        <v>16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56</v>
      </c>
      <c r="D127" s="10" t="s">
        <v>344</v>
      </c>
      <c r="E127" s="10" t="s">
        <v>16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25</v>
      </c>
      <c r="L127" s="2" t="s">
        <v>66</v>
      </c>
      <c r="M127" s="2" t="s">
        <v>1</v>
      </c>
      <c r="N127" s="2" t="s">
        <v>68</v>
      </c>
      <c r="O127" s="2" t="s">
        <v>22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25</v>
      </c>
      <c r="D128" s="2" t="s">
        <v>66</v>
      </c>
      <c r="E128" s="2" t="s">
        <v>1</v>
      </c>
      <c r="F128" s="2" t="s">
        <v>68</v>
      </c>
      <c r="G128" s="2" t="s">
        <v>22</v>
      </c>
      <c r="H128" s="3" t="s">
        <v>5</v>
      </c>
      <c r="I128" s="5">
        <v>5</v>
      </c>
      <c r="J128" s="8">
        <v>4</v>
      </c>
      <c r="K128" s="8" t="s">
        <v>55</v>
      </c>
      <c r="L128" s="8" t="s">
        <v>14</v>
      </c>
      <c r="M128" s="8" t="s">
        <v>6</v>
      </c>
      <c r="N128" s="8" t="s">
        <v>20</v>
      </c>
      <c r="O128" s="8" t="s">
        <v>350</v>
      </c>
      <c r="P128" s="8" t="s">
        <v>340</v>
      </c>
    </row>
    <row r="129" spans="1:24" x14ac:dyDescent="0.35">
      <c r="A129" s="14">
        <v>45763</v>
      </c>
      <c r="B129" s="3">
        <v>3</v>
      </c>
      <c r="C129" s="8" t="s">
        <v>14</v>
      </c>
      <c r="D129" s="8" t="s">
        <v>351</v>
      </c>
      <c r="E129" s="8" t="s">
        <v>352</v>
      </c>
      <c r="F129" s="8" t="s">
        <v>16</v>
      </c>
      <c r="G129" s="8" t="s">
        <v>5</v>
      </c>
      <c r="H129" s="8" t="s">
        <v>340</v>
      </c>
      <c r="I129" s="9">
        <v>5</v>
      </c>
      <c r="J129" s="10">
        <v>1</v>
      </c>
      <c r="K129" s="10" t="s">
        <v>55</v>
      </c>
      <c r="L129" s="10" t="s">
        <v>66</v>
      </c>
      <c r="M129" s="10" t="s">
        <v>1</v>
      </c>
      <c r="N129" s="10" t="s">
        <v>353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55</v>
      </c>
      <c r="D130" s="10" t="s">
        <v>66</v>
      </c>
      <c r="E130" s="10" t="s">
        <v>1</v>
      </c>
      <c r="F130" s="10" t="s">
        <v>353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48</v>
      </c>
      <c r="L130" s="2" t="s">
        <v>56</v>
      </c>
      <c r="M130" s="2" t="s">
        <v>6</v>
      </c>
      <c r="N130" s="2" t="s">
        <v>81</v>
      </c>
      <c r="O130" s="2" t="s">
        <v>346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48</v>
      </c>
      <c r="D131" s="2" t="s">
        <v>56</v>
      </c>
      <c r="E131" s="2" t="s">
        <v>6</v>
      </c>
      <c r="F131" s="2" t="s">
        <v>81</v>
      </c>
      <c r="G131" s="2" t="s">
        <v>346</v>
      </c>
      <c r="H131" s="3" t="s">
        <v>10</v>
      </c>
      <c r="I131" s="5">
        <v>6</v>
      </c>
      <c r="J131" s="8">
        <v>4</v>
      </c>
      <c r="K131" s="8" t="s">
        <v>14</v>
      </c>
      <c r="L131" s="8" t="s">
        <v>351</v>
      </c>
      <c r="M131" s="8" t="s">
        <v>352</v>
      </c>
      <c r="N131" s="8" t="s">
        <v>16</v>
      </c>
      <c r="O131" s="8" t="s">
        <v>5</v>
      </c>
      <c r="P131" s="8" t="s">
        <v>340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14</v>
      </c>
      <c r="F132" s="8" t="s">
        <v>20</v>
      </c>
      <c r="G132" s="8" t="s">
        <v>84</v>
      </c>
      <c r="H132" s="8" t="s">
        <v>48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25</v>
      </c>
      <c r="O132" s="10" t="s">
        <v>66</v>
      </c>
      <c r="P132" s="10" t="s">
        <v>19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25</v>
      </c>
      <c r="G133" s="10" t="s">
        <v>66</v>
      </c>
      <c r="H133" s="10" t="s">
        <v>19</v>
      </c>
      <c r="I133" s="11">
        <v>3</v>
      </c>
      <c r="J133" s="2">
        <v>1</v>
      </c>
      <c r="K133" s="2" t="s">
        <v>56</v>
      </c>
      <c r="L133" s="2" t="s">
        <v>55</v>
      </c>
      <c r="M133" s="2" t="s">
        <v>10</v>
      </c>
      <c r="N133" s="2" t="s">
        <v>346</v>
      </c>
      <c r="O133" s="2" t="s">
        <v>2</v>
      </c>
      <c r="P133" s="3" t="s">
        <v>16</v>
      </c>
    </row>
    <row r="134" spans="1:24" x14ac:dyDescent="0.35">
      <c r="A134" s="14">
        <v>45770</v>
      </c>
      <c r="B134" s="5">
        <v>4</v>
      </c>
      <c r="C134" s="2" t="s">
        <v>56</v>
      </c>
      <c r="D134" s="2" t="s">
        <v>55</v>
      </c>
      <c r="E134" s="2" t="s">
        <v>10</v>
      </c>
      <c r="F134" s="2" t="s">
        <v>346</v>
      </c>
      <c r="G134" s="2" t="s">
        <v>2</v>
      </c>
      <c r="H134" s="3" t="s">
        <v>16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14</v>
      </c>
      <c r="N134" s="8" t="s">
        <v>20</v>
      </c>
      <c r="O134" s="8" t="s">
        <v>84</v>
      </c>
      <c r="P134" s="8" t="s">
        <v>48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20</v>
      </c>
      <c r="E135" s="8" t="s">
        <v>9</v>
      </c>
      <c r="F135" s="8" t="s">
        <v>11</v>
      </c>
      <c r="G135" s="8" t="s">
        <v>3</v>
      </c>
      <c r="H135" s="8" t="s">
        <v>22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346</v>
      </c>
      <c r="N135" s="10" t="s">
        <v>21</v>
      </c>
      <c r="O135" s="10" t="s">
        <v>66</v>
      </c>
      <c r="P135" s="10" t="s">
        <v>354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346</v>
      </c>
      <c r="F136" s="10" t="s">
        <v>21</v>
      </c>
      <c r="G136" s="10" t="s">
        <v>66</v>
      </c>
      <c r="H136" s="10" t="s">
        <v>354</v>
      </c>
      <c r="I136" s="11">
        <v>4</v>
      </c>
      <c r="J136" s="2">
        <v>6</v>
      </c>
      <c r="K136" s="2" t="s">
        <v>56</v>
      </c>
      <c r="L136" s="2" t="s">
        <v>19</v>
      </c>
      <c r="M136" s="2" t="s">
        <v>5</v>
      </c>
      <c r="N136" s="2" t="s">
        <v>84</v>
      </c>
      <c r="O136" s="2" t="s">
        <v>55</v>
      </c>
      <c r="P136" s="3" t="s">
        <v>25</v>
      </c>
    </row>
    <row r="137" spans="1:24" x14ac:dyDescent="0.35">
      <c r="A137" s="14">
        <v>45777</v>
      </c>
      <c r="B137" s="5">
        <v>4</v>
      </c>
      <c r="C137" s="2" t="s">
        <v>56</v>
      </c>
      <c r="D137" s="2" t="s">
        <v>19</v>
      </c>
      <c r="E137" s="2" t="s">
        <v>5</v>
      </c>
      <c r="F137" s="2" t="s">
        <v>84</v>
      </c>
      <c r="G137" s="2" t="s">
        <v>55</v>
      </c>
      <c r="H137" s="3" t="s">
        <v>25</v>
      </c>
      <c r="I137" s="5">
        <v>4</v>
      </c>
      <c r="J137" s="8">
        <v>2</v>
      </c>
      <c r="K137" s="8" t="s">
        <v>1</v>
      </c>
      <c r="L137" s="8" t="s">
        <v>20</v>
      </c>
      <c r="M137" s="8" t="s">
        <v>9</v>
      </c>
      <c r="N137" s="8" t="s">
        <v>11</v>
      </c>
      <c r="O137" s="8" t="s">
        <v>3</v>
      </c>
      <c r="P137" s="8" t="s">
        <v>22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84</v>
      </c>
      <c r="F138" s="8" t="s">
        <v>5</v>
      </c>
      <c r="G138" s="8" t="s">
        <v>82</v>
      </c>
      <c r="H138" s="8" t="s">
        <v>66</v>
      </c>
      <c r="I138" s="9">
        <v>5</v>
      </c>
      <c r="J138" s="10">
        <v>2</v>
      </c>
      <c r="K138" s="10" t="s">
        <v>10</v>
      </c>
      <c r="L138" s="10" t="s">
        <v>19</v>
      </c>
      <c r="M138" s="10" t="s">
        <v>1</v>
      </c>
      <c r="N138" s="10" t="s">
        <v>16</v>
      </c>
      <c r="O138" s="10" t="s">
        <v>367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19</v>
      </c>
      <c r="E139" s="10" t="s">
        <v>1</v>
      </c>
      <c r="F139" s="10" t="s">
        <v>16</v>
      </c>
      <c r="G139" s="10" t="s">
        <v>367</v>
      </c>
      <c r="H139" s="10" t="s">
        <v>4</v>
      </c>
      <c r="I139" s="11">
        <v>1</v>
      </c>
      <c r="J139" s="2">
        <v>3</v>
      </c>
      <c r="K139" s="2" t="s">
        <v>14</v>
      </c>
      <c r="L139" s="2" t="s">
        <v>20</v>
      </c>
      <c r="M139" s="2" t="s">
        <v>9</v>
      </c>
      <c r="N139" s="2" t="s">
        <v>55</v>
      </c>
      <c r="O139" s="2" t="s">
        <v>6</v>
      </c>
      <c r="P139" s="3" t="s">
        <v>56</v>
      </c>
    </row>
    <row r="140" spans="1:24" x14ac:dyDescent="0.35">
      <c r="A140" s="14">
        <v>45784</v>
      </c>
      <c r="B140" s="5">
        <v>4</v>
      </c>
      <c r="C140" s="2" t="s">
        <v>14</v>
      </c>
      <c r="D140" s="2" t="s">
        <v>20</v>
      </c>
      <c r="E140" s="2" t="s">
        <v>9</v>
      </c>
      <c r="F140" s="2" t="s">
        <v>55</v>
      </c>
      <c r="G140" s="2" t="s">
        <v>6</v>
      </c>
      <c r="H140" s="3" t="s">
        <v>56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84</v>
      </c>
      <c r="N140" s="8" t="s">
        <v>5</v>
      </c>
      <c r="O140" s="8" t="s">
        <v>82</v>
      </c>
      <c r="P140" s="8" t="s">
        <v>66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55</v>
      </c>
      <c r="E141" s="8" t="s">
        <v>346</v>
      </c>
      <c r="F141" s="8" t="s">
        <v>5</v>
      </c>
      <c r="G141" s="8" t="s">
        <v>68</v>
      </c>
      <c r="H141" s="8" t="s">
        <v>19</v>
      </c>
      <c r="I141" s="9">
        <v>4</v>
      </c>
      <c r="J141" s="10">
        <v>4</v>
      </c>
      <c r="K141" s="10" t="s">
        <v>56</v>
      </c>
      <c r="L141" s="10" t="s">
        <v>367</v>
      </c>
      <c r="M141" s="10" t="s">
        <v>4</v>
      </c>
      <c r="N141" s="10" t="s">
        <v>66</v>
      </c>
      <c r="O141" s="10" t="s">
        <v>339</v>
      </c>
      <c r="P141" s="10" t="s">
        <v>22</v>
      </c>
    </row>
    <row r="142" spans="1:24" x14ac:dyDescent="0.35">
      <c r="A142" s="14">
        <v>45791</v>
      </c>
      <c r="B142" s="3">
        <v>4</v>
      </c>
      <c r="C142" s="10" t="s">
        <v>56</v>
      </c>
      <c r="D142" s="10" t="s">
        <v>367</v>
      </c>
      <c r="E142" s="10" t="s">
        <v>4</v>
      </c>
      <c r="F142" s="10" t="s">
        <v>66</v>
      </c>
      <c r="G142" s="10" t="s">
        <v>339</v>
      </c>
      <c r="H142" s="10" t="s">
        <v>22</v>
      </c>
      <c r="I142" s="11">
        <v>3</v>
      </c>
      <c r="J142" s="2">
        <v>6</v>
      </c>
      <c r="K142" s="2" t="s">
        <v>20</v>
      </c>
      <c r="L142" s="2" t="s">
        <v>361</v>
      </c>
      <c r="M142" s="2" t="s">
        <v>362</v>
      </c>
      <c r="N142" s="2" t="s">
        <v>84</v>
      </c>
      <c r="O142" s="2" t="s">
        <v>10</v>
      </c>
      <c r="P142" s="3" t="s">
        <v>44</v>
      </c>
    </row>
    <row r="143" spans="1:24" x14ac:dyDescent="0.35">
      <c r="A143" s="14">
        <v>45791</v>
      </c>
      <c r="B143" s="5">
        <v>4</v>
      </c>
      <c r="C143" s="2" t="s">
        <v>20</v>
      </c>
      <c r="D143" s="2" t="s">
        <v>361</v>
      </c>
      <c r="E143" s="2" t="s">
        <v>362</v>
      </c>
      <c r="F143" s="2" t="s">
        <v>84</v>
      </c>
      <c r="G143" s="2" t="s">
        <v>10</v>
      </c>
      <c r="H143" s="3" t="s">
        <v>44</v>
      </c>
      <c r="I143" s="5">
        <v>1</v>
      </c>
      <c r="J143" s="8">
        <v>5</v>
      </c>
      <c r="K143" s="8" t="s">
        <v>1</v>
      </c>
      <c r="L143" s="8" t="s">
        <v>55</v>
      </c>
      <c r="M143" s="8" t="s">
        <v>346</v>
      </c>
      <c r="N143" s="8" t="s">
        <v>5</v>
      </c>
      <c r="O143" s="8" t="s">
        <v>68</v>
      </c>
      <c r="P143" s="8" t="s">
        <v>19</v>
      </c>
    </row>
    <row r="144" spans="1:24" x14ac:dyDescent="0.35">
      <c r="A144" s="14">
        <v>45798</v>
      </c>
      <c r="B144" s="3">
        <v>5</v>
      </c>
      <c r="C144" s="8" t="s">
        <v>16</v>
      </c>
      <c r="D144" s="8" t="s">
        <v>5</v>
      </c>
      <c r="E144" s="8" t="s">
        <v>44</v>
      </c>
      <c r="F144" s="8" t="s">
        <v>4</v>
      </c>
      <c r="G144" s="8" t="s">
        <v>66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19</v>
      </c>
      <c r="N144" s="10" t="s">
        <v>25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19</v>
      </c>
      <c r="F145" s="10" t="s">
        <v>25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20</v>
      </c>
      <c r="M145" s="2" t="s">
        <v>367</v>
      </c>
      <c r="N145" s="2" t="s">
        <v>346</v>
      </c>
      <c r="O145" s="2" t="s">
        <v>84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20</v>
      </c>
      <c r="E146" s="2" t="s">
        <v>367</v>
      </c>
      <c r="F146" s="2" t="s">
        <v>346</v>
      </c>
      <c r="G146" s="2" t="s">
        <v>84</v>
      </c>
      <c r="H146" s="3"/>
      <c r="I146" s="5">
        <v>1</v>
      </c>
      <c r="J146" s="8">
        <v>2</v>
      </c>
      <c r="K146" s="8" t="s">
        <v>16</v>
      </c>
      <c r="L146" s="8" t="s">
        <v>5</v>
      </c>
      <c r="M146" s="8" t="s">
        <v>44</v>
      </c>
      <c r="N146" s="8" t="s">
        <v>4</v>
      </c>
      <c r="O146" s="8" t="s">
        <v>66</v>
      </c>
      <c r="P146" s="8"/>
    </row>
    <row r="147" spans="1:21" x14ac:dyDescent="0.35">
      <c r="A147" s="14">
        <v>45805</v>
      </c>
      <c r="B147" s="3">
        <v>3</v>
      </c>
      <c r="C147" s="8" t="s">
        <v>344</v>
      </c>
      <c r="D147" s="8" t="s">
        <v>16</v>
      </c>
      <c r="E147" s="8" t="s">
        <v>82</v>
      </c>
      <c r="F147" s="8" t="s">
        <v>10</v>
      </c>
      <c r="G147" s="8" t="s">
        <v>4</v>
      </c>
      <c r="H147" s="8" t="s">
        <v>367</v>
      </c>
      <c r="I147" s="9">
        <v>3</v>
      </c>
      <c r="J147" s="10">
        <v>2</v>
      </c>
      <c r="K147" s="10" t="s">
        <v>25</v>
      </c>
      <c r="L147" s="10" t="s">
        <v>14</v>
      </c>
      <c r="M147" s="10" t="s">
        <v>11</v>
      </c>
      <c r="N147" s="10" t="s">
        <v>5</v>
      </c>
      <c r="O147" s="10" t="s">
        <v>20</v>
      </c>
      <c r="P147" s="10" t="s">
        <v>44</v>
      </c>
    </row>
    <row r="148" spans="1:21" x14ac:dyDescent="0.35">
      <c r="A148" s="14">
        <v>45805</v>
      </c>
      <c r="B148" s="3">
        <v>3</v>
      </c>
      <c r="C148" s="10" t="s">
        <v>25</v>
      </c>
      <c r="D148" s="10" t="s">
        <v>14</v>
      </c>
      <c r="E148" s="10" t="s">
        <v>11</v>
      </c>
      <c r="F148" s="10" t="s">
        <v>5</v>
      </c>
      <c r="G148" s="10" t="s">
        <v>20</v>
      </c>
      <c r="H148" s="10" t="s">
        <v>44</v>
      </c>
      <c r="I148" s="11">
        <v>2</v>
      </c>
      <c r="J148" s="2">
        <v>6</v>
      </c>
      <c r="K148" s="2" t="s">
        <v>6</v>
      </c>
      <c r="L148" s="2" t="s">
        <v>346</v>
      </c>
      <c r="M148" s="2" t="s">
        <v>66</v>
      </c>
      <c r="N148" s="2" t="s">
        <v>48</v>
      </c>
      <c r="O148" s="2" t="s">
        <v>9</v>
      </c>
      <c r="P148" s="3" t="s">
        <v>63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346</v>
      </c>
      <c r="E149" s="2" t="s">
        <v>66</v>
      </c>
      <c r="F149" s="2" t="s">
        <v>48</v>
      </c>
      <c r="G149" s="2" t="s">
        <v>9</v>
      </c>
      <c r="H149" s="3" t="s">
        <v>63</v>
      </c>
      <c r="I149" s="5">
        <v>3</v>
      </c>
      <c r="J149" s="8">
        <v>5</v>
      </c>
      <c r="K149" s="8" t="s">
        <v>344</v>
      </c>
      <c r="L149" s="8" t="s">
        <v>16</v>
      </c>
      <c r="M149" s="8" t="s">
        <v>82</v>
      </c>
      <c r="N149" s="8" t="s">
        <v>10</v>
      </c>
      <c r="O149" s="8" t="s">
        <v>4</v>
      </c>
      <c r="P149" s="8" t="s">
        <v>367</v>
      </c>
    </row>
    <row r="150" spans="1:21" x14ac:dyDescent="0.35">
      <c r="A150" s="14">
        <v>45812</v>
      </c>
      <c r="B150" s="3">
        <v>5</v>
      </c>
      <c r="C150" s="8" t="s">
        <v>346</v>
      </c>
      <c r="D150" s="8" t="s">
        <v>44</v>
      </c>
      <c r="E150" s="8" t="s">
        <v>20</v>
      </c>
      <c r="F150" s="8" t="s">
        <v>16</v>
      </c>
      <c r="G150" s="8" t="s">
        <v>19</v>
      </c>
      <c r="H150" s="8" t="s">
        <v>84</v>
      </c>
      <c r="I150" s="9">
        <v>4</v>
      </c>
      <c r="J150" s="10">
        <v>5</v>
      </c>
      <c r="K150" s="10" t="s">
        <v>14</v>
      </c>
      <c r="L150" s="10" t="s">
        <v>365</v>
      </c>
      <c r="M150" s="10" t="s">
        <v>5</v>
      </c>
      <c r="N150" s="10" t="s">
        <v>367</v>
      </c>
      <c r="O150" s="10" t="s">
        <v>2</v>
      </c>
      <c r="P150" s="10" t="s">
        <v>66</v>
      </c>
    </row>
    <row r="151" spans="1:21" x14ac:dyDescent="0.35">
      <c r="A151" s="14">
        <v>45812</v>
      </c>
      <c r="B151" s="3">
        <v>3</v>
      </c>
      <c r="C151" s="10" t="s">
        <v>14</v>
      </c>
      <c r="D151" s="10" t="s">
        <v>365</v>
      </c>
      <c r="E151" s="10" t="s">
        <v>5</v>
      </c>
      <c r="F151" s="10" t="s">
        <v>367</v>
      </c>
      <c r="G151" s="10" t="s">
        <v>2</v>
      </c>
      <c r="H151" s="10" t="s">
        <v>66</v>
      </c>
      <c r="I151" s="11">
        <v>3</v>
      </c>
      <c r="J151" s="2">
        <v>5</v>
      </c>
      <c r="K151" s="2" t="s">
        <v>10</v>
      </c>
      <c r="L151" s="2" t="s">
        <v>25</v>
      </c>
      <c r="M151" s="2" t="s">
        <v>9</v>
      </c>
      <c r="N151" s="2" t="s">
        <v>55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25</v>
      </c>
      <c r="E152" s="2" t="s">
        <v>9</v>
      </c>
      <c r="F152" s="2" t="s">
        <v>55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346</v>
      </c>
      <c r="L152" s="8" t="s">
        <v>44</v>
      </c>
      <c r="M152" s="8" t="s">
        <v>20</v>
      </c>
      <c r="N152" s="8" t="s">
        <v>16</v>
      </c>
      <c r="O152" s="8" t="s">
        <v>19</v>
      </c>
      <c r="P152" s="8" t="s">
        <v>84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367</v>
      </c>
      <c r="E153" s="8" t="s">
        <v>10</v>
      </c>
      <c r="F153" s="8" t="s">
        <v>364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66</v>
      </c>
      <c r="L153" s="10" t="s">
        <v>4</v>
      </c>
      <c r="M153" s="10" t="s">
        <v>82</v>
      </c>
      <c r="N153" s="10" t="s">
        <v>68</v>
      </c>
      <c r="O153" s="10" t="s">
        <v>5</v>
      </c>
      <c r="P153" s="10" t="s">
        <v>16</v>
      </c>
    </row>
    <row r="154" spans="1:21" x14ac:dyDescent="0.35">
      <c r="A154" s="14">
        <v>45819</v>
      </c>
      <c r="B154" s="3">
        <v>5</v>
      </c>
      <c r="C154" s="10" t="s">
        <v>66</v>
      </c>
      <c r="D154" s="10" t="s">
        <v>4</v>
      </c>
      <c r="E154" s="10" t="s">
        <v>82</v>
      </c>
      <c r="F154" s="10" t="s">
        <v>68</v>
      </c>
      <c r="G154" s="10" t="s">
        <v>5</v>
      </c>
      <c r="H154" s="10" t="s">
        <v>16</v>
      </c>
      <c r="I154" s="11">
        <v>8</v>
      </c>
      <c r="J154" s="2">
        <v>5</v>
      </c>
      <c r="K154" s="2" t="s">
        <v>19</v>
      </c>
      <c r="L154" s="2" t="s">
        <v>346</v>
      </c>
      <c r="M154" s="2" t="s">
        <v>9</v>
      </c>
      <c r="N154" s="2" t="s">
        <v>84</v>
      </c>
      <c r="O154" s="2" t="s">
        <v>25</v>
      </c>
      <c r="P154" s="3" t="s">
        <v>342</v>
      </c>
    </row>
    <row r="155" spans="1:21" x14ac:dyDescent="0.35">
      <c r="A155" s="14">
        <v>45819</v>
      </c>
      <c r="B155" s="5">
        <v>5</v>
      </c>
      <c r="C155" s="2" t="s">
        <v>19</v>
      </c>
      <c r="D155" s="2" t="s">
        <v>346</v>
      </c>
      <c r="E155" s="2" t="s">
        <v>9</v>
      </c>
      <c r="F155" s="2" t="s">
        <v>84</v>
      </c>
      <c r="G155" s="2" t="s">
        <v>25</v>
      </c>
      <c r="H155" s="3" t="s">
        <v>342</v>
      </c>
      <c r="I155" s="5">
        <v>5</v>
      </c>
      <c r="J155" s="8">
        <v>6</v>
      </c>
      <c r="K155" s="8" t="s">
        <v>1</v>
      </c>
      <c r="L155" s="8" t="s">
        <v>367</v>
      </c>
      <c r="M155" s="8" t="s">
        <v>10</v>
      </c>
      <c r="N155" s="8" t="s">
        <v>364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22</v>
      </c>
      <c r="F156" s="8" t="s">
        <v>84</v>
      </c>
      <c r="G156" s="8" t="s">
        <v>4</v>
      </c>
      <c r="H156" s="8" t="s">
        <v>44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366</v>
      </c>
      <c r="O156" s="10" t="s">
        <v>20</v>
      </c>
      <c r="P156" s="10" t="s">
        <v>15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366</v>
      </c>
      <c r="G157" s="10" t="s">
        <v>20</v>
      </c>
      <c r="H157" s="10" t="s">
        <v>15</v>
      </c>
      <c r="I157" s="11">
        <v>1</v>
      </c>
      <c r="J157" s="2">
        <v>4</v>
      </c>
      <c r="K157" s="2" t="s">
        <v>48</v>
      </c>
      <c r="L157" s="2" t="s">
        <v>14</v>
      </c>
      <c r="M157" s="2" t="s">
        <v>12</v>
      </c>
      <c r="N157" s="2" t="s">
        <v>82</v>
      </c>
      <c r="O157" s="2" t="s">
        <v>16</v>
      </c>
      <c r="P157" s="3" t="s">
        <v>66</v>
      </c>
    </row>
    <row r="158" spans="1:21" x14ac:dyDescent="0.35">
      <c r="A158" s="14">
        <v>45826</v>
      </c>
      <c r="B158" s="5">
        <v>4</v>
      </c>
      <c r="C158" s="2" t="s">
        <v>48</v>
      </c>
      <c r="D158" s="2" t="s">
        <v>14</v>
      </c>
      <c r="E158" s="2" t="s">
        <v>12</v>
      </c>
      <c r="F158" s="2" t="s">
        <v>82</v>
      </c>
      <c r="G158" s="2" t="s">
        <v>16</v>
      </c>
      <c r="H158" s="3" t="s">
        <v>66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22</v>
      </c>
      <c r="N158" s="8" t="s">
        <v>84</v>
      </c>
      <c r="O158" s="8" t="s">
        <v>4</v>
      </c>
      <c r="P158" s="8" t="s">
        <v>44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16</v>
      </c>
      <c r="E159" s="8" t="s">
        <v>14</v>
      </c>
      <c r="F159" s="8" t="s">
        <v>20</v>
      </c>
      <c r="G159" s="8" t="s">
        <v>19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84</v>
      </c>
      <c r="N159" s="10" t="s">
        <v>82</v>
      </c>
      <c r="O159" s="10" t="s">
        <v>44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84</v>
      </c>
      <c r="F160" s="10" t="s">
        <v>82</v>
      </c>
      <c r="G160" s="10" t="s">
        <v>44</v>
      </c>
      <c r="H160" s="10" t="s">
        <v>2</v>
      </c>
      <c r="I160" s="11">
        <v>0</v>
      </c>
      <c r="J160" s="2">
        <v>1</v>
      </c>
      <c r="K160" s="2" t="s">
        <v>55</v>
      </c>
      <c r="L160" s="2" t="s">
        <v>5</v>
      </c>
      <c r="M160" s="2" t="s">
        <v>346</v>
      </c>
      <c r="N160" s="2" t="s">
        <v>15</v>
      </c>
      <c r="O160" s="2" t="s">
        <v>25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55</v>
      </c>
      <c r="D161" s="2" t="s">
        <v>5</v>
      </c>
      <c r="E161" s="2" t="s">
        <v>346</v>
      </c>
      <c r="F161" s="2" t="s">
        <v>15</v>
      </c>
      <c r="G161" s="2" t="s">
        <v>25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16</v>
      </c>
      <c r="M161" s="8" t="s">
        <v>14</v>
      </c>
      <c r="N161" s="8" t="s">
        <v>20</v>
      </c>
      <c r="O161" s="8" t="s">
        <v>19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20</v>
      </c>
      <c r="F162" s="8" t="s">
        <v>82</v>
      </c>
      <c r="G162" s="8" t="s">
        <v>15</v>
      </c>
      <c r="H162" s="8" t="s">
        <v>14</v>
      </c>
      <c r="I162" s="9">
        <v>4</v>
      </c>
      <c r="J162" s="10">
        <v>1</v>
      </c>
      <c r="K162" s="10" t="s">
        <v>14</v>
      </c>
      <c r="L162" s="10" t="s">
        <v>5</v>
      </c>
      <c r="M162" s="10" t="s">
        <v>342</v>
      </c>
      <c r="N162" s="10" t="s">
        <v>63</v>
      </c>
      <c r="O162" s="10" t="s">
        <v>367</v>
      </c>
      <c r="P162" s="10"/>
    </row>
    <row r="163" spans="1:16" x14ac:dyDescent="0.35">
      <c r="A163" s="14">
        <v>45840</v>
      </c>
      <c r="B163" s="3">
        <v>3</v>
      </c>
      <c r="C163" s="10" t="s">
        <v>14</v>
      </c>
      <c r="D163" s="10" t="s">
        <v>5</v>
      </c>
      <c r="E163" s="10" t="s">
        <v>342</v>
      </c>
      <c r="F163" s="10" t="s">
        <v>63</v>
      </c>
      <c r="G163" s="10" t="s">
        <v>367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16</v>
      </c>
      <c r="N163" s="2" t="s">
        <v>15</v>
      </c>
      <c r="O163" s="2" t="s">
        <v>84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16</v>
      </c>
      <c r="F164" s="2" t="s">
        <v>15</v>
      </c>
      <c r="G164" s="2" t="s">
        <v>84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20</v>
      </c>
      <c r="N164" s="8" t="s">
        <v>82</v>
      </c>
      <c r="O164" s="8" t="s">
        <v>15</v>
      </c>
      <c r="P164" s="8" t="s">
        <v>14</v>
      </c>
    </row>
    <row r="165" spans="1:16" x14ac:dyDescent="0.35">
      <c r="A165" s="14">
        <v>45847</v>
      </c>
      <c r="B165" s="3">
        <v>3</v>
      </c>
      <c r="C165" s="8" t="s">
        <v>25</v>
      </c>
      <c r="D165" s="8" t="s">
        <v>55</v>
      </c>
      <c r="E165" s="8" t="s">
        <v>19</v>
      </c>
      <c r="F165" s="8" t="s">
        <v>84</v>
      </c>
      <c r="G165" s="8" t="s">
        <v>20</v>
      </c>
      <c r="H165" s="8" t="s">
        <v>346</v>
      </c>
      <c r="I165" s="9">
        <v>0</v>
      </c>
      <c r="J165" s="10">
        <v>4</v>
      </c>
      <c r="K165" s="10" t="s">
        <v>9</v>
      </c>
      <c r="L165" s="10" t="s">
        <v>44</v>
      </c>
      <c r="M165" s="10" t="s">
        <v>367</v>
      </c>
      <c r="N165" s="10" t="s">
        <v>17</v>
      </c>
      <c r="O165" s="10" t="s">
        <v>16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44</v>
      </c>
      <c r="E166" s="10" t="s">
        <v>367</v>
      </c>
      <c r="F166" s="10" t="s">
        <v>17</v>
      </c>
      <c r="G166" s="10" t="s">
        <v>16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14</v>
      </c>
      <c r="N166" s="2" t="s">
        <v>82</v>
      </c>
      <c r="O166" s="2" t="s">
        <v>15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14</v>
      </c>
      <c r="F167" s="2" t="s">
        <v>82</v>
      </c>
      <c r="G167" s="2" t="s">
        <v>15</v>
      </c>
      <c r="H167" s="3" t="s">
        <v>11</v>
      </c>
      <c r="I167" s="5">
        <v>7</v>
      </c>
      <c r="J167" s="8">
        <v>1</v>
      </c>
      <c r="K167" s="8" t="s">
        <v>25</v>
      </c>
      <c r="L167" s="8" t="s">
        <v>55</v>
      </c>
      <c r="M167" s="8" t="s">
        <v>19</v>
      </c>
      <c r="N167" s="8" t="s">
        <v>84</v>
      </c>
      <c r="O167" s="8" t="s">
        <v>20</v>
      </c>
      <c r="P167" s="8" t="s">
        <v>346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368</v>
      </c>
      <c r="E168" s="8" t="s">
        <v>19</v>
      </c>
      <c r="F168" s="8" t="s">
        <v>84</v>
      </c>
      <c r="G168" s="8" t="s">
        <v>17</v>
      </c>
      <c r="H168" s="8" t="s">
        <v>55</v>
      </c>
      <c r="I168" s="9">
        <v>5</v>
      </c>
      <c r="J168" s="10">
        <v>4</v>
      </c>
      <c r="K168" s="10" t="s">
        <v>14</v>
      </c>
      <c r="L168" s="10" t="s">
        <v>5</v>
      </c>
      <c r="M168" s="10" t="s">
        <v>367</v>
      </c>
      <c r="N168" s="10" t="s">
        <v>44</v>
      </c>
      <c r="O168" s="10" t="s">
        <v>361</v>
      </c>
      <c r="P168" s="10" t="s">
        <v>16</v>
      </c>
    </row>
    <row r="169" spans="1:16" x14ac:dyDescent="0.35">
      <c r="A169" s="14">
        <v>45854</v>
      </c>
      <c r="B169" s="3">
        <v>4</v>
      </c>
      <c r="C169" s="10" t="s">
        <v>14</v>
      </c>
      <c r="D169" s="10" t="s">
        <v>5</v>
      </c>
      <c r="E169" s="10" t="s">
        <v>367</v>
      </c>
      <c r="F169" s="10" t="s">
        <v>44</v>
      </c>
      <c r="G169" s="10" t="s">
        <v>361</v>
      </c>
      <c r="H169" s="10" t="s">
        <v>16</v>
      </c>
      <c r="I169" s="11">
        <v>2</v>
      </c>
      <c r="J169" s="2">
        <v>2</v>
      </c>
      <c r="K169" s="2" t="s">
        <v>1</v>
      </c>
      <c r="L169" s="2" t="s">
        <v>346</v>
      </c>
      <c r="M169" s="2" t="s">
        <v>20</v>
      </c>
      <c r="N169" s="2" t="s">
        <v>6</v>
      </c>
      <c r="O169" s="2" t="s">
        <v>46</v>
      </c>
      <c r="P169" s="3" t="s">
        <v>82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346</v>
      </c>
      <c r="E170" s="2" t="s">
        <v>20</v>
      </c>
      <c r="F170" s="2" t="s">
        <v>6</v>
      </c>
      <c r="G170" s="2" t="s">
        <v>46</v>
      </c>
      <c r="H170" s="3" t="s">
        <v>82</v>
      </c>
      <c r="I170" s="5">
        <v>0</v>
      </c>
      <c r="J170" s="8">
        <v>6</v>
      </c>
      <c r="K170" s="8" t="s">
        <v>9</v>
      </c>
      <c r="L170" s="8" t="s">
        <v>368</v>
      </c>
      <c r="M170" s="8" t="s">
        <v>19</v>
      </c>
      <c r="N170" s="8" t="s">
        <v>84</v>
      </c>
      <c r="O170" s="8" t="s">
        <v>17</v>
      </c>
      <c r="P170" s="8" t="s">
        <v>55</v>
      </c>
    </row>
    <row r="171" spans="1:16" x14ac:dyDescent="0.35">
      <c r="A171" s="14">
        <v>45861</v>
      </c>
      <c r="B171" s="3">
        <v>5</v>
      </c>
      <c r="C171" s="8" t="s">
        <v>20</v>
      </c>
      <c r="D171" s="8" t="s">
        <v>14</v>
      </c>
      <c r="E171" s="8" t="s">
        <v>82</v>
      </c>
      <c r="F171" s="8" t="s">
        <v>16</v>
      </c>
      <c r="G171" s="8" t="s">
        <v>346</v>
      </c>
      <c r="H171" s="8" t="s">
        <v>343</v>
      </c>
      <c r="I171" s="9">
        <v>4</v>
      </c>
      <c r="J171" s="10">
        <v>4</v>
      </c>
      <c r="K171" s="10" t="s">
        <v>1</v>
      </c>
      <c r="L171" s="10" t="s">
        <v>84</v>
      </c>
      <c r="M171" s="10" t="s">
        <v>19</v>
      </c>
      <c r="N171" s="10" t="s">
        <v>367</v>
      </c>
      <c r="O171" s="10" t="s">
        <v>46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84</v>
      </c>
      <c r="E172" s="10" t="s">
        <v>19</v>
      </c>
      <c r="F172" s="10" t="s">
        <v>367</v>
      </c>
      <c r="G172" s="10" t="s">
        <v>46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369</v>
      </c>
      <c r="O172" s="2" t="s">
        <v>44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369</v>
      </c>
      <c r="G173" s="2" t="s">
        <v>44</v>
      </c>
      <c r="H173" s="3" t="s">
        <v>2</v>
      </c>
      <c r="I173" s="5">
        <v>2</v>
      </c>
      <c r="J173" s="8">
        <v>5</v>
      </c>
      <c r="K173" s="8" t="s">
        <v>20</v>
      </c>
      <c r="L173" s="8" t="s">
        <v>14</v>
      </c>
      <c r="M173" s="8" t="s">
        <v>82</v>
      </c>
      <c r="N173" s="8" t="s">
        <v>16</v>
      </c>
      <c r="O173" s="8" t="s">
        <v>346</v>
      </c>
      <c r="P173" s="8" t="s">
        <v>343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14</v>
      </c>
      <c r="E174" s="8" t="s">
        <v>46</v>
      </c>
      <c r="F174" s="8" t="s">
        <v>343</v>
      </c>
      <c r="G174" s="8" t="s">
        <v>55</v>
      </c>
      <c r="H174" s="8" t="s">
        <v>367</v>
      </c>
      <c r="I174" s="9">
        <v>2</v>
      </c>
      <c r="J174" s="10">
        <v>3</v>
      </c>
      <c r="K174" s="10" t="s">
        <v>82</v>
      </c>
      <c r="L174" s="10" t="s">
        <v>44</v>
      </c>
      <c r="M174" s="10" t="s">
        <v>15</v>
      </c>
      <c r="N174" s="10" t="s">
        <v>6</v>
      </c>
      <c r="O174" s="10" t="s">
        <v>369</v>
      </c>
      <c r="P174" s="10" t="s">
        <v>20</v>
      </c>
    </row>
    <row r="175" spans="1:16" x14ac:dyDescent="0.35">
      <c r="A175" s="14">
        <v>45868</v>
      </c>
      <c r="B175" s="3">
        <v>5</v>
      </c>
      <c r="C175" s="10" t="s">
        <v>82</v>
      </c>
      <c r="D175" s="10" t="s">
        <v>44</v>
      </c>
      <c r="E175" s="10" t="s">
        <v>15</v>
      </c>
      <c r="F175" s="10" t="s">
        <v>6</v>
      </c>
      <c r="G175" s="10" t="s">
        <v>369</v>
      </c>
      <c r="H175" s="10" t="s">
        <v>20</v>
      </c>
      <c r="I175" s="11">
        <v>6</v>
      </c>
      <c r="J175" s="2">
        <v>2</v>
      </c>
      <c r="K175" s="2" t="s">
        <v>1</v>
      </c>
      <c r="L175" s="2" t="s">
        <v>19</v>
      </c>
      <c r="M175" s="2" t="s">
        <v>16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19</v>
      </c>
      <c r="E176" s="2" t="s">
        <v>16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14</v>
      </c>
      <c r="M176" s="8" t="s">
        <v>46</v>
      </c>
      <c r="N176" s="8" t="s">
        <v>343</v>
      </c>
      <c r="O176" s="8" t="s">
        <v>55</v>
      </c>
      <c r="P176" s="8" t="s">
        <v>367</v>
      </c>
    </row>
    <row r="177" spans="1:16" x14ac:dyDescent="0.35">
      <c r="A177" s="14">
        <v>45875</v>
      </c>
      <c r="B177" s="3">
        <v>6</v>
      </c>
      <c r="C177" s="8" t="s">
        <v>14</v>
      </c>
      <c r="D177" s="8" t="s">
        <v>16</v>
      </c>
      <c r="E177" s="8" t="s">
        <v>2</v>
      </c>
      <c r="F177" s="8" t="s">
        <v>20</v>
      </c>
      <c r="G177" s="8" t="s">
        <v>63</v>
      </c>
      <c r="H177" s="8"/>
      <c r="I177" s="9">
        <v>6</v>
      </c>
      <c r="J177" s="10">
        <v>9</v>
      </c>
      <c r="K177" s="10" t="s">
        <v>1</v>
      </c>
      <c r="L177" s="10" t="s">
        <v>44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44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19</v>
      </c>
      <c r="L178" s="2" t="s">
        <v>46</v>
      </c>
      <c r="M178" s="2" t="s">
        <v>82</v>
      </c>
      <c r="N178" s="2" t="s">
        <v>343</v>
      </c>
      <c r="O178" s="2" t="s">
        <v>84</v>
      </c>
      <c r="P178" s="3"/>
    </row>
    <row r="179" spans="1:16" x14ac:dyDescent="0.35">
      <c r="A179" s="14">
        <v>45875</v>
      </c>
      <c r="B179" s="5">
        <v>3</v>
      </c>
      <c r="C179" s="2" t="s">
        <v>19</v>
      </c>
      <c r="D179" s="2" t="s">
        <v>46</v>
      </c>
      <c r="E179" s="2" t="s">
        <v>82</v>
      </c>
      <c r="F179" s="2" t="s">
        <v>343</v>
      </c>
      <c r="G179" s="2" t="s">
        <v>84</v>
      </c>
      <c r="H179" s="3"/>
      <c r="I179" s="5">
        <v>1</v>
      </c>
      <c r="J179" s="8">
        <v>2</v>
      </c>
      <c r="K179" s="8" t="s">
        <v>14</v>
      </c>
      <c r="L179" s="8" t="s">
        <v>16</v>
      </c>
      <c r="M179" s="8" t="s">
        <v>2</v>
      </c>
      <c r="N179" s="8" t="s">
        <v>20</v>
      </c>
      <c r="O179" s="8" t="s">
        <v>63</v>
      </c>
      <c r="P179" s="8"/>
    </row>
    <row r="180" spans="1:16" x14ac:dyDescent="0.35">
      <c r="A180" s="14">
        <v>45882</v>
      </c>
      <c r="B180" s="3">
        <v>6</v>
      </c>
      <c r="C180" s="57" t="s">
        <v>6</v>
      </c>
      <c r="D180" s="57" t="s">
        <v>43</v>
      </c>
      <c r="E180" s="57" t="s">
        <v>15</v>
      </c>
      <c r="F180" s="57" t="s">
        <v>364</v>
      </c>
      <c r="G180" s="57" t="s">
        <v>10</v>
      </c>
      <c r="H180" s="57"/>
      <c r="I180" s="58">
        <v>6</v>
      </c>
      <c r="J180" s="10">
        <v>6</v>
      </c>
      <c r="K180" s="10" t="s">
        <v>68</v>
      </c>
      <c r="L180" s="10" t="s">
        <v>16</v>
      </c>
      <c r="M180" s="10" t="s">
        <v>2</v>
      </c>
      <c r="N180" s="10" t="s">
        <v>63</v>
      </c>
      <c r="O180" s="10" t="s">
        <v>55</v>
      </c>
      <c r="P180" s="10"/>
    </row>
    <row r="181" spans="1:16" x14ac:dyDescent="0.35">
      <c r="A181" s="14">
        <v>45882</v>
      </c>
      <c r="B181" s="3">
        <v>3</v>
      </c>
      <c r="C181" s="10" t="s">
        <v>68</v>
      </c>
      <c r="D181" s="10" t="s">
        <v>16</v>
      </c>
      <c r="E181" s="10" t="s">
        <v>2</v>
      </c>
      <c r="F181" s="10" t="s">
        <v>63</v>
      </c>
      <c r="G181" s="10" t="s">
        <v>55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20</v>
      </c>
      <c r="N181" s="2" t="s">
        <v>44</v>
      </c>
      <c r="O181" s="2" t="s">
        <v>46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20</v>
      </c>
      <c r="F182" s="2" t="s">
        <v>44</v>
      </c>
      <c r="G182" s="2" t="s">
        <v>46</v>
      </c>
      <c r="H182" s="3"/>
      <c r="I182" s="5">
        <v>2</v>
      </c>
      <c r="J182" s="57">
        <v>6</v>
      </c>
      <c r="K182" s="57" t="s">
        <v>6</v>
      </c>
      <c r="L182" s="57" t="s">
        <v>43</v>
      </c>
      <c r="M182" s="57" t="s">
        <v>15</v>
      </c>
      <c r="N182" s="57" t="s">
        <v>364</v>
      </c>
      <c r="O182" s="57" t="s">
        <v>10</v>
      </c>
      <c r="P182" s="5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16</v>
      </c>
      <c r="E183" s="8" t="s">
        <v>22</v>
      </c>
      <c r="F183" s="8" t="s">
        <v>10</v>
      </c>
      <c r="G183" s="8" t="s">
        <v>25</v>
      </c>
      <c r="H183" s="8" t="s">
        <v>44</v>
      </c>
      <c r="I183" s="9">
        <v>7</v>
      </c>
      <c r="J183" s="10">
        <v>6</v>
      </c>
      <c r="K183" s="10" t="s">
        <v>15</v>
      </c>
      <c r="L183" s="10" t="s">
        <v>6</v>
      </c>
      <c r="M183" s="10" t="s">
        <v>68</v>
      </c>
      <c r="N183" s="10" t="s">
        <v>11</v>
      </c>
      <c r="O183" s="10" t="s">
        <v>9</v>
      </c>
      <c r="P183" s="10" t="s">
        <v>19</v>
      </c>
    </row>
    <row r="184" spans="1:16" x14ac:dyDescent="0.35">
      <c r="A184" s="14">
        <v>45889</v>
      </c>
      <c r="B184" s="3">
        <v>4</v>
      </c>
      <c r="C184" s="10" t="s">
        <v>15</v>
      </c>
      <c r="D184" s="10" t="s">
        <v>6</v>
      </c>
      <c r="E184" s="10" t="s">
        <v>68</v>
      </c>
      <c r="F184" s="10" t="s">
        <v>11</v>
      </c>
      <c r="G184" s="10" t="s">
        <v>9</v>
      </c>
      <c r="H184" s="10" t="s">
        <v>19</v>
      </c>
      <c r="I184" s="11">
        <v>4</v>
      </c>
      <c r="J184" s="2">
        <v>5</v>
      </c>
      <c r="K184" s="2" t="s">
        <v>4</v>
      </c>
      <c r="L184" s="2" t="s">
        <v>46</v>
      </c>
      <c r="M184" s="2" t="s">
        <v>2</v>
      </c>
      <c r="N184" s="2" t="s">
        <v>14</v>
      </c>
      <c r="O184" s="2" t="s">
        <v>367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46</v>
      </c>
      <c r="E185" s="2" t="s">
        <v>2</v>
      </c>
      <c r="F185" s="2" t="s">
        <v>14</v>
      </c>
      <c r="G185" s="2" t="s">
        <v>367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16</v>
      </c>
      <c r="M185" s="8" t="s">
        <v>22</v>
      </c>
      <c r="N185" s="8" t="s">
        <v>10</v>
      </c>
      <c r="O185" s="8" t="s">
        <v>25</v>
      </c>
      <c r="P185" s="8" t="s">
        <v>44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16</v>
      </c>
      <c r="E186" s="8" t="s">
        <v>14</v>
      </c>
      <c r="F186" s="8" t="s">
        <v>367</v>
      </c>
      <c r="G186" s="8" t="s">
        <v>63</v>
      </c>
      <c r="H186" s="8" t="s">
        <v>84</v>
      </c>
      <c r="I186" s="9">
        <v>2</v>
      </c>
      <c r="J186" s="10">
        <v>3</v>
      </c>
      <c r="K186" s="10" t="s">
        <v>19</v>
      </c>
      <c r="L186" s="10" t="s">
        <v>15</v>
      </c>
      <c r="M186" s="10" t="s">
        <v>6</v>
      </c>
      <c r="N186" s="10" t="s">
        <v>5</v>
      </c>
      <c r="O186" s="10" t="s">
        <v>46</v>
      </c>
      <c r="P186" s="10" t="s">
        <v>44</v>
      </c>
    </row>
    <row r="187" spans="1:16" x14ac:dyDescent="0.35">
      <c r="A187" s="14">
        <v>45896</v>
      </c>
      <c r="B187" s="3">
        <v>4</v>
      </c>
      <c r="C187" s="10" t="s">
        <v>19</v>
      </c>
      <c r="D187" s="10" t="s">
        <v>15</v>
      </c>
      <c r="E187" s="10" t="s">
        <v>6</v>
      </c>
      <c r="F187" s="10" t="s">
        <v>5</v>
      </c>
      <c r="G187" s="10" t="s">
        <v>46</v>
      </c>
      <c r="H187" s="10" t="s">
        <v>44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25</v>
      </c>
      <c r="N187" s="2" t="s">
        <v>82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25</v>
      </c>
      <c r="F188" s="2" t="s">
        <v>82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16</v>
      </c>
      <c r="M188" s="8" t="s">
        <v>14</v>
      </c>
      <c r="N188" s="8" t="s">
        <v>367</v>
      </c>
      <c r="O188" s="8" t="s">
        <v>63</v>
      </c>
      <c r="P188" s="8" t="s">
        <v>84</v>
      </c>
    </row>
    <row r="189" spans="1:16" x14ac:dyDescent="0.35">
      <c r="A189" s="14">
        <v>45903</v>
      </c>
      <c r="B189" s="3">
        <v>4</v>
      </c>
      <c r="C189" s="8" t="s">
        <v>19</v>
      </c>
      <c r="D189" s="8" t="s">
        <v>10</v>
      </c>
      <c r="E189" s="8" t="s">
        <v>15</v>
      </c>
      <c r="F189" s="8" t="s">
        <v>2</v>
      </c>
      <c r="G189" s="8" t="s">
        <v>16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14</v>
      </c>
      <c r="M189" s="10" t="s">
        <v>343</v>
      </c>
      <c r="N189" s="10" t="s">
        <v>367</v>
      </c>
      <c r="O189" s="10" t="s">
        <v>55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14</v>
      </c>
      <c r="E190" s="10" t="s">
        <v>343</v>
      </c>
      <c r="F190" s="10" t="s">
        <v>367</v>
      </c>
      <c r="G190" s="10" t="s">
        <v>55</v>
      </c>
      <c r="H190" s="10" t="s">
        <v>6</v>
      </c>
      <c r="I190" s="11">
        <v>3</v>
      </c>
      <c r="J190" s="2">
        <v>0</v>
      </c>
      <c r="K190" s="2" t="s">
        <v>20</v>
      </c>
      <c r="L190" s="2" t="s">
        <v>9</v>
      </c>
      <c r="M190" s="2" t="s">
        <v>11</v>
      </c>
      <c r="N190" s="2" t="s">
        <v>82</v>
      </c>
      <c r="O190" s="2" t="s">
        <v>25</v>
      </c>
      <c r="P190" s="3" t="s">
        <v>84</v>
      </c>
    </row>
    <row r="191" spans="1:16" x14ac:dyDescent="0.35">
      <c r="A191" s="14">
        <v>45903</v>
      </c>
      <c r="B191" s="5">
        <v>3</v>
      </c>
      <c r="C191" s="2" t="s">
        <v>20</v>
      </c>
      <c r="D191" s="2" t="s">
        <v>9</v>
      </c>
      <c r="E191" s="2" t="s">
        <v>11</v>
      </c>
      <c r="F191" s="2" t="s">
        <v>82</v>
      </c>
      <c r="G191" s="2" t="s">
        <v>25</v>
      </c>
      <c r="H191" s="3" t="s">
        <v>84</v>
      </c>
      <c r="I191" s="5">
        <v>4</v>
      </c>
      <c r="J191" s="8">
        <v>2</v>
      </c>
      <c r="K191" s="8" t="s">
        <v>19</v>
      </c>
      <c r="L191" s="8" t="s">
        <v>10</v>
      </c>
      <c r="M191" s="8" t="s">
        <v>15</v>
      </c>
      <c r="N191" s="8" t="s">
        <v>2</v>
      </c>
      <c r="O191" s="8" t="s">
        <v>16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376</v>
      </c>
      <c r="E192" s="8" t="s">
        <v>367</v>
      </c>
      <c r="F192" s="8" t="s">
        <v>63</v>
      </c>
      <c r="G192" s="8" t="s">
        <v>20</v>
      </c>
      <c r="H192" s="8" t="s">
        <v>16</v>
      </c>
      <c r="I192" s="9">
        <v>4</v>
      </c>
      <c r="J192" s="10">
        <v>5</v>
      </c>
      <c r="K192" s="10" t="s">
        <v>14</v>
      </c>
      <c r="L192" s="10" t="s">
        <v>11</v>
      </c>
      <c r="M192" s="10" t="s">
        <v>82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14</v>
      </c>
      <c r="D193" s="10" t="s">
        <v>11</v>
      </c>
      <c r="E193" s="10" t="s">
        <v>82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15</v>
      </c>
      <c r="L193" s="2" t="s">
        <v>48</v>
      </c>
      <c r="M193" s="2" t="s">
        <v>361</v>
      </c>
      <c r="N193" s="2" t="s">
        <v>84</v>
      </c>
      <c r="O193" s="2" t="s">
        <v>55</v>
      </c>
      <c r="P193" s="3" t="s">
        <v>343</v>
      </c>
    </row>
    <row r="194" spans="1:16" x14ac:dyDescent="0.35">
      <c r="A194" s="14">
        <v>45910</v>
      </c>
      <c r="B194" s="5">
        <v>5</v>
      </c>
      <c r="C194" s="2" t="s">
        <v>15</v>
      </c>
      <c r="D194" s="2" t="s">
        <v>48</v>
      </c>
      <c r="E194" s="2" t="s">
        <v>361</v>
      </c>
      <c r="F194" s="2" t="s">
        <v>84</v>
      </c>
      <c r="G194" s="2" t="s">
        <v>55</v>
      </c>
      <c r="H194" s="3" t="s">
        <v>343</v>
      </c>
      <c r="I194" s="5">
        <v>6</v>
      </c>
      <c r="J194" s="8">
        <v>2</v>
      </c>
      <c r="K194" s="8" t="s">
        <v>10</v>
      </c>
      <c r="L194" s="8" t="s">
        <v>376</v>
      </c>
      <c r="M194" s="8" t="s">
        <v>367</v>
      </c>
      <c r="N194" s="8" t="s">
        <v>63</v>
      </c>
      <c r="O194" s="8" t="s">
        <v>20</v>
      </c>
      <c r="P194" s="8" t="s">
        <v>16</v>
      </c>
    </row>
    <row r="195" spans="1:16" x14ac:dyDescent="0.35">
      <c r="A195" s="14">
        <v>45918</v>
      </c>
      <c r="B195" s="3">
        <v>3</v>
      </c>
      <c r="C195" s="8" t="s">
        <v>25</v>
      </c>
      <c r="D195" s="8" t="s">
        <v>5</v>
      </c>
      <c r="E195" s="8" t="s">
        <v>22</v>
      </c>
      <c r="F195" s="8" t="s">
        <v>44</v>
      </c>
      <c r="G195" s="8" t="s">
        <v>14</v>
      </c>
      <c r="H195" s="8" t="s">
        <v>20</v>
      </c>
      <c r="I195" s="9">
        <v>2</v>
      </c>
      <c r="J195" s="10">
        <v>5</v>
      </c>
      <c r="K195" s="10" t="s">
        <v>19</v>
      </c>
      <c r="L195" s="10" t="s">
        <v>376</v>
      </c>
      <c r="M195" s="10" t="s">
        <v>367</v>
      </c>
      <c r="N195" s="10" t="s">
        <v>84</v>
      </c>
      <c r="O195" s="10" t="s">
        <v>55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19</v>
      </c>
      <c r="D196" s="10" t="s">
        <v>376</v>
      </c>
      <c r="E196" s="10" t="s">
        <v>367</v>
      </c>
      <c r="F196" s="10" t="s">
        <v>84</v>
      </c>
      <c r="G196" s="10" t="s">
        <v>55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82</v>
      </c>
      <c r="N196" s="2" t="s">
        <v>6</v>
      </c>
      <c r="O196" s="2" t="s">
        <v>46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82</v>
      </c>
      <c r="F197" s="2" t="s">
        <v>6</v>
      </c>
      <c r="G197" s="2" t="s">
        <v>46</v>
      </c>
      <c r="H197" s="3" t="s">
        <v>4</v>
      </c>
      <c r="I197" s="5">
        <v>4</v>
      </c>
      <c r="J197" s="8">
        <v>4</v>
      </c>
      <c r="K197" s="8" t="s">
        <v>25</v>
      </c>
      <c r="L197" s="8" t="s">
        <v>5</v>
      </c>
      <c r="M197" s="8" t="s">
        <v>22</v>
      </c>
      <c r="N197" s="8" t="s">
        <v>44</v>
      </c>
      <c r="O197" s="8" t="s">
        <v>14</v>
      </c>
      <c r="P197" s="8" t="s">
        <v>20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375</v>
      </c>
      <c r="F198" s="8" t="s">
        <v>63</v>
      </c>
      <c r="G198" s="8" t="s">
        <v>56</v>
      </c>
      <c r="H198" s="8" t="s">
        <v>20</v>
      </c>
      <c r="I198" s="9">
        <v>4</v>
      </c>
      <c r="J198" s="10">
        <v>6</v>
      </c>
      <c r="K198" s="10" t="s">
        <v>19</v>
      </c>
      <c r="L198" s="10" t="s">
        <v>374</v>
      </c>
      <c r="M198" s="10" t="s">
        <v>44</v>
      </c>
      <c r="N198" s="10" t="s">
        <v>367</v>
      </c>
      <c r="O198" s="10" t="s">
        <v>376</v>
      </c>
      <c r="P198" s="10" t="s">
        <v>16</v>
      </c>
    </row>
    <row r="199" spans="1:16" x14ac:dyDescent="0.35">
      <c r="A199" s="14">
        <v>45924</v>
      </c>
      <c r="B199" s="3">
        <v>4</v>
      </c>
      <c r="C199" s="10" t="s">
        <v>19</v>
      </c>
      <c r="D199" s="10" t="s">
        <v>374</v>
      </c>
      <c r="E199" s="10" t="s">
        <v>44</v>
      </c>
      <c r="F199" s="10" t="s">
        <v>367</v>
      </c>
      <c r="G199" s="10" t="s">
        <v>376</v>
      </c>
      <c r="H199" s="10" t="s">
        <v>16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14</v>
      </c>
      <c r="N199" s="2" t="s">
        <v>82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14</v>
      </c>
      <c r="F200" s="2" t="s">
        <v>82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375</v>
      </c>
      <c r="N200" s="8" t="s">
        <v>63</v>
      </c>
      <c r="O200" s="8" t="s">
        <v>56</v>
      </c>
      <c r="P200" s="8" t="s">
        <v>20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46</v>
      </c>
      <c r="E201" s="8" t="s">
        <v>5</v>
      </c>
      <c r="F201" s="8" t="s">
        <v>84</v>
      </c>
      <c r="G201" s="8" t="s">
        <v>376</v>
      </c>
      <c r="H201" s="8" t="s">
        <v>367</v>
      </c>
      <c r="I201" s="9">
        <v>4</v>
      </c>
      <c r="J201" s="10">
        <v>1</v>
      </c>
      <c r="K201" s="10" t="s">
        <v>4</v>
      </c>
      <c r="L201" s="10" t="s">
        <v>55</v>
      </c>
      <c r="M201" s="10" t="s">
        <v>44</v>
      </c>
      <c r="N201" s="10" t="s">
        <v>82</v>
      </c>
      <c r="O201" s="10" t="s">
        <v>20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55</v>
      </c>
      <c r="E202" s="10" t="s">
        <v>44</v>
      </c>
      <c r="F202" s="10" t="s">
        <v>82</v>
      </c>
      <c r="G202" s="10" t="s">
        <v>20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14</v>
      </c>
      <c r="M202" s="2" t="s">
        <v>10</v>
      </c>
      <c r="N202" s="2" t="s">
        <v>16</v>
      </c>
      <c r="O202" s="2" t="s">
        <v>56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14</v>
      </c>
      <c r="E203" s="2" t="s">
        <v>10</v>
      </c>
      <c r="F203" s="2" t="s">
        <v>16</v>
      </c>
      <c r="G203" s="2" t="s">
        <v>56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46</v>
      </c>
      <c r="M203" s="8" t="s">
        <v>5</v>
      </c>
      <c r="N203" s="8" t="s">
        <v>84</v>
      </c>
      <c r="O203" s="8" t="s">
        <v>376</v>
      </c>
      <c r="P203" s="8" t="s">
        <v>367</v>
      </c>
    </row>
    <row r="204" spans="1:16" x14ac:dyDescent="0.35">
      <c r="A204" s="14">
        <v>45938</v>
      </c>
      <c r="B204" s="3">
        <v>4</v>
      </c>
      <c r="C204" s="8" t="s">
        <v>84</v>
      </c>
      <c r="D204" s="8" t="s">
        <v>4</v>
      </c>
      <c r="E204" s="8" t="s">
        <v>6</v>
      </c>
      <c r="F204" s="8" t="s">
        <v>367</v>
      </c>
      <c r="G204" s="8" t="s">
        <v>14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56</v>
      </c>
      <c r="N204" s="10" t="s">
        <v>11</v>
      </c>
      <c r="O204" s="10" t="s">
        <v>15</v>
      </c>
      <c r="P204" s="10" t="s">
        <v>82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56</v>
      </c>
      <c r="F205" s="10" t="s">
        <v>11</v>
      </c>
      <c r="G205" s="10" t="s">
        <v>15</v>
      </c>
      <c r="H205" s="10" t="s">
        <v>82</v>
      </c>
      <c r="I205" s="11">
        <v>3</v>
      </c>
      <c r="J205" s="2">
        <v>4</v>
      </c>
      <c r="K205" s="2" t="s">
        <v>5</v>
      </c>
      <c r="L205" s="2" t="s">
        <v>25</v>
      </c>
      <c r="M205" s="2" t="s">
        <v>46</v>
      </c>
      <c r="N205" s="2" t="s">
        <v>16</v>
      </c>
      <c r="O205" s="2" t="s">
        <v>55</v>
      </c>
      <c r="P205" s="3" t="s">
        <v>20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25</v>
      </c>
      <c r="E206" s="2" t="s">
        <v>46</v>
      </c>
      <c r="F206" s="2" t="s">
        <v>16</v>
      </c>
      <c r="G206" s="2" t="s">
        <v>55</v>
      </c>
      <c r="H206" s="3" t="s">
        <v>20</v>
      </c>
      <c r="I206" s="5">
        <v>4</v>
      </c>
      <c r="J206" s="8">
        <v>2</v>
      </c>
      <c r="K206" s="8" t="s">
        <v>84</v>
      </c>
      <c r="L206" s="8" t="s">
        <v>4</v>
      </c>
      <c r="M206" s="8" t="s">
        <v>6</v>
      </c>
      <c r="N206" s="8" t="s">
        <v>367</v>
      </c>
      <c r="O206" s="8" t="s">
        <v>14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55</v>
      </c>
      <c r="E207" s="8" t="s">
        <v>82</v>
      </c>
      <c r="F207" s="8" t="s">
        <v>4</v>
      </c>
      <c r="G207" s="8" t="s">
        <v>376</v>
      </c>
      <c r="H207" s="8" t="s">
        <v>50</v>
      </c>
      <c r="I207" s="9">
        <v>3</v>
      </c>
      <c r="J207" s="10">
        <v>4</v>
      </c>
      <c r="K207" s="10" t="s">
        <v>19</v>
      </c>
      <c r="L207" s="10" t="s">
        <v>16</v>
      </c>
      <c r="M207" s="10" t="s">
        <v>367</v>
      </c>
      <c r="N207" s="10" t="s">
        <v>9</v>
      </c>
      <c r="O207" s="10" t="s">
        <v>15</v>
      </c>
      <c r="P207" s="10" t="s">
        <v>377</v>
      </c>
    </row>
    <row r="208" spans="1:16" x14ac:dyDescent="0.35">
      <c r="A208" s="14">
        <v>45945</v>
      </c>
      <c r="B208" s="3">
        <v>3</v>
      </c>
      <c r="C208" s="10" t="s">
        <v>19</v>
      </c>
      <c r="D208" s="10" t="s">
        <v>16</v>
      </c>
      <c r="E208" s="10" t="s">
        <v>367</v>
      </c>
      <c r="F208" s="10" t="s">
        <v>9</v>
      </c>
      <c r="G208" s="10" t="s">
        <v>15</v>
      </c>
      <c r="H208" s="10" t="s">
        <v>377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56</v>
      </c>
      <c r="O208" s="2" t="s">
        <v>44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56</v>
      </c>
      <c r="G209" s="2" t="s">
        <v>44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55</v>
      </c>
      <c r="M209" s="8" t="s">
        <v>82</v>
      </c>
      <c r="N209" s="8" t="s">
        <v>4</v>
      </c>
      <c r="O209" s="8" t="s">
        <v>376</v>
      </c>
      <c r="P209" s="8" t="s">
        <v>50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22</v>
      </c>
      <c r="E210" s="8" t="s">
        <v>48</v>
      </c>
      <c r="F210" s="8" t="s">
        <v>46</v>
      </c>
      <c r="G210" s="8" t="s">
        <v>44</v>
      </c>
      <c r="H210" s="8" t="s">
        <v>20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25</v>
      </c>
      <c r="O210" s="10" t="s">
        <v>68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25</v>
      </c>
      <c r="G211" s="10" t="s">
        <v>68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17</v>
      </c>
      <c r="M211" s="2" t="s">
        <v>66</v>
      </c>
      <c r="N211" s="2" t="s">
        <v>367</v>
      </c>
      <c r="O211" s="2" t="s">
        <v>55</v>
      </c>
      <c r="P211" s="2" t="s">
        <v>43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17</v>
      </c>
      <c r="E212" s="2" t="s">
        <v>66</v>
      </c>
      <c r="F212" s="2" t="s">
        <v>367</v>
      </c>
      <c r="G212" s="2" t="s">
        <v>55</v>
      </c>
      <c r="H212" s="2" t="s">
        <v>43</v>
      </c>
      <c r="I212" s="5">
        <v>5</v>
      </c>
      <c r="J212" s="8">
        <v>5</v>
      </c>
      <c r="K212" s="8" t="s">
        <v>1</v>
      </c>
      <c r="L212" s="8" t="s">
        <v>22</v>
      </c>
      <c r="M212" s="8" t="s">
        <v>48</v>
      </c>
      <c r="N212" s="8" t="s">
        <v>46</v>
      </c>
      <c r="O212" s="8" t="s">
        <v>44</v>
      </c>
      <c r="P212" s="8" t="s">
        <v>20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55</v>
      </c>
      <c r="E213" s="8" t="s">
        <v>22</v>
      </c>
      <c r="F213" s="8" t="s">
        <v>5</v>
      </c>
      <c r="G213" s="8" t="s">
        <v>16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46</v>
      </c>
      <c r="O213" s="10" t="s">
        <v>52</v>
      </c>
      <c r="P213" s="10" t="s">
        <v>368</v>
      </c>
      <c r="Q213" s="10" t="s">
        <v>48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346</v>
      </c>
      <c r="E214" s="8" t="s">
        <v>46</v>
      </c>
      <c r="F214" s="8" t="s">
        <v>5</v>
      </c>
      <c r="G214" s="8" t="s">
        <v>376</v>
      </c>
      <c r="H214" s="8"/>
      <c r="I214" s="9">
        <v>0</v>
      </c>
      <c r="J214" s="10">
        <v>5</v>
      </c>
      <c r="K214" s="10" t="s">
        <v>1</v>
      </c>
      <c r="L214" s="10" t="s">
        <v>19</v>
      </c>
      <c r="M214" s="10" t="s">
        <v>16</v>
      </c>
      <c r="N214" s="10" t="s">
        <v>367</v>
      </c>
      <c r="O214" s="10" t="s">
        <v>63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19</v>
      </c>
      <c r="E215" s="10" t="s">
        <v>16</v>
      </c>
      <c r="F215" s="10" t="s">
        <v>367</v>
      </c>
      <c r="G215" s="10" t="s">
        <v>63</v>
      </c>
      <c r="H215" s="10"/>
      <c r="I215" s="11">
        <v>6</v>
      </c>
      <c r="J215" s="2">
        <v>5</v>
      </c>
      <c r="K215" s="2" t="s">
        <v>10</v>
      </c>
      <c r="L215" s="2" t="s">
        <v>44</v>
      </c>
      <c r="M215" s="2" t="s">
        <v>56</v>
      </c>
      <c r="N215" s="2" t="s">
        <v>6</v>
      </c>
      <c r="O215" s="2" t="s">
        <v>82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44</v>
      </c>
      <c r="E216" s="2" t="s">
        <v>56</v>
      </c>
      <c r="F216" s="2" t="s">
        <v>6</v>
      </c>
      <c r="G216" s="2" t="s">
        <v>82</v>
      </c>
      <c r="H216" s="2"/>
      <c r="I216" s="5">
        <v>3</v>
      </c>
      <c r="J216" s="8">
        <v>5</v>
      </c>
      <c r="K216" s="8" t="s">
        <v>4</v>
      </c>
      <c r="L216" s="8" t="s">
        <v>346</v>
      </c>
      <c r="M216" s="8" t="s">
        <v>46</v>
      </c>
      <c r="N216" s="8" t="s">
        <v>5</v>
      </c>
      <c r="O216" s="8" t="s">
        <v>376</v>
      </c>
      <c r="P216" s="8"/>
    </row>
    <row r="217" spans="1:17" x14ac:dyDescent="0.35">
      <c r="A217" s="14">
        <v>45973</v>
      </c>
      <c r="B217" s="3">
        <v>2</v>
      </c>
      <c r="C217" s="8" t="s">
        <v>5</v>
      </c>
      <c r="D217" s="8" t="s">
        <v>4</v>
      </c>
      <c r="E217" s="8" t="s">
        <v>367</v>
      </c>
      <c r="F217" s="8" t="s">
        <v>56</v>
      </c>
      <c r="G217" s="8" t="s">
        <v>10</v>
      </c>
      <c r="H217" s="8" t="s">
        <v>11</v>
      </c>
      <c r="I217" s="9">
        <v>2</v>
      </c>
      <c r="J217" s="10">
        <v>3</v>
      </c>
      <c r="K217" s="10" t="s">
        <v>1</v>
      </c>
      <c r="L217" s="10" t="s">
        <v>9</v>
      </c>
      <c r="M217" s="10" t="s">
        <v>16</v>
      </c>
      <c r="N217" s="10" t="s">
        <v>15</v>
      </c>
      <c r="O217" s="10" t="s">
        <v>376</v>
      </c>
      <c r="P217" s="10" t="s">
        <v>378</v>
      </c>
    </row>
    <row r="218" spans="1:17" x14ac:dyDescent="0.35">
      <c r="A218" s="14">
        <v>45973</v>
      </c>
      <c r="B218" s="3">
        <v>5</v>
      </c>
      <c r="C218" s="10" t="s">
        <v>1</v>
      </c>
      <c r="D218" s="10" t="s">
        <v>9</v>
      </c>
      <c r="E218" s="10" t="s">
        <v>16</v>
      </c>
      <c r="F218" s="10" t="s">
        <v>15</v>
      </c>
      <c r="G218" s="10" t="s">
        <v>376</v>
      </c>
      <c r="H218" s="10" t="s">
        <v>378</v>
      </c>
      <c r="I218" s="11">
        <v>4</v>
      </c>
      <c r="J218" s="2">
        <v>3</v>
      </c>
      <c r="K218" s="2" t="s">
        <v>19</v>
      </c>
      <c r="L218" s="2" t="s">
        <v>82</v>
      </c>
      <c r="M218" s="2" t="s">
        <v>84</v>
      </c>
      <c r="N218" s="2" t="s">
        <v>6</v>
      </c>
      <c r="O218" s="2" t="s">
        <v>346</v>
      </c>
      <c r="P218" s="2" t="s">
        <v>2</v>
      </c>
    </row>
    <row r="219" spans="1:17" x14ac:dyDescent="0.35">
      <c r="A219" s="14">
        <v>45973</v>
      </c>
      <c r="B219" s="5">
        <v>4</v>
      </c>
      <c r="C219" s="2" t="s">
        <v>19</v>
      </c>
      <c r="D219" s="2" t="s">
        <v>82</v>
      </c>
      <c r="E219" s="2" t="s">
        <v>84</v>
      </c>
      <c r="F219" s="2" t="s">
        <v>6</v>
      </c>
      <c r="G219" s="2" t="s">
        <v>346</v>
      </c>
      <c r="H219" s="2" t="s">
        <v>2</v>
      </c>
      <c r="I219" s="5">
        <v>5</v>
      </c>
      <c r="J219" s="8">
        <v>3</v>
      </c>
      <c r="K219" s="8" t="s">
        <v>5</v>
      </c>
      <c r="L219" s="8" t="s">
        <v>4</v>
      </c>
      <c r="M219" s="8" t="s">
        <v>367</v>
      </c>
      <c r="N219" s="8" t="s">
        <v>56</v>
      </c>
      <c r="O219" s="8" t="s">
        <v>10</v>
      </c>
      <c r="P219" s="8" t="s">
        <v>11</v>
      </c>
    </row>
    <row r="220" spans="1:17" x14ac:dyDescent="0.35">
      <c r="A220" s="14">
        <v>45987</v>
      </c>
      <c r="B220" s="3">
        <v>5</v>
      </c>
      <c r="C220" s="8" t="s">
        <v>63</v>
      </c>
      <c r="D220" s="8" t="s">
        <v>361</v>
      </c>
      <c r="E220" s="8" t="s">
        <v>9</v>
      </c>
      <c r="F220" s="8" t="s">
        <v>378</v>
      </c>
      <c r="G220" s="8" t="s">
        <v>16</v>
      </c>
      <c r="H220" s="8" t="s">
        <v>379</v>
      </c>
      <c r="I220" s="9">
        <v>7</v>
      </c>
      <c r="J220" s="10">
        <v>3</v>
      </c>
      <c r="K220" s="10" t="s">
        <v>82</v>
      </c>
      <c r="L220" s="10" t="s">
        <v>346</v>
      </c>
      <c r="M220" s="10" t="s">
        <v>46</v>
      </c>
      <c r="N220" s="10" t="s">
        <v>367</v>
      </c>
      <c r="O220" s="10" t="s">
        <v>60</v>
      </c>
      <c r="P220" s="10" t="s">
        <v>56</v>
      </c>
    </row>
    <row r="221" spans="1:17" x14ac:dyDescent="0.35">
      <c r="A221" s="14">
        <v>45987</v>
      </c>
      <c r="B221" s="3">
        <v>3</v>
      </c>
      <c r="C221" s="10" t="s">
        <v>82</v>
      </c>
      <c r="D221" s="10" t="s">
        <v>346</v>
      </c>
      <c r="E221" s="10" t="s">
        <v>46</v>
      </c>
      <c r="F221" s="10" t="s">
        <v>367</v>
      </c>
      <c r="G221" s="10" t="s">
        <v>60</v>
      </c>
      <c r="H221" s="10" t="s">
        <v>56</v>
      </c>
      <c r="I221" s="11">
        <v>5</v>
      </c>
      <c r="J221" s="2">
        <v>2</v>
      </c>
      <c r="K221" s="2" t="s">
        <v>4</v>
      </c>
      <c r="L221" s="2" t="s">
        <v>1</v>
      </c>
      <c r="M221" s="2" t="s">
        <v>2</v>
      </c>
      <c r="N221" s="2" t="s">
        <v>15</v>
      </c>
      <c r="O221" s="2" t="s">
        <v>6</v>
      </c>
      <c r="P221" s="2" t="s">
        <v>11</v>
      </c>
    </row>
    <row r="222" spans="1:17" x14ac:dyDescent="0.35">
      <c r="A222" s="14">
        <v>45987</v>
      </c>
      <c r="B222" s="5">
        <v>3</v>
      </c>
      <c r="C222" s="2" t="s">
        <v>4</v>
      </c>
      <c r="D222" s="2" t="s">
        <v>1</v>
      </c>
      <c r="E222" s="2" t="s">
        <v>2</v>
      </c>
      <c r="F222" s="2" t="s">
        <v>15</v>
      </c>
      <c r="G222" s="2" t="s">
        <v>6</v>
      </c>
      <c r="H222" s="2" t="s">
        <v>11</v>
      </c>
      <c r="I222" s="5">
        <v>3</v>
      </c>
      <c r="J222" s="8">
        <v>3</v>
      </c>
      <c r="K222" s="8" t="s">
        <v>63</v>
      </c>
      <c r="L222" s="8" t="s">
        <v>361</v>
      </c>
      <c r="M222" s="8" t="s">
        <v>9</v>
      </c>
      <c r="N222" s="8" t="s">
        <v>378</v>
      </c>
      <c r="O222" s="8" t="s">
        <v>16</v>
      </c>
      <c r="P222" s="8" t="s">
        <v>379</v>
      </c>
    </row>
    <row r="223" spans="1:17" x14ac:dyDescent="0.35">
      <c r="A223" s="14">
        <v>45994</v>
      </c>
      <c r="B223" s="3">
        <v>2</v>
      </c>
      <c r="C223" s="8" t="s">
        <v>1</v>
      </c>
      <c r="D223" s="8" t="s">
        <v>9</v>
      </c>
      <c r="E223" s="8" t="s">
        <v>81</v>
      </c>
      <c r="F223" s="8" t="s">
        <v>378</v>
      </c>
      <c r="G223" s="8" t="s">
        <v>379</v>
      </c>
      <c r="H223" s="8" t="s">
        <v>4</v>
      </c>
      <c r="I223" s="9">
        <v>3</v>
      </c>
      <c r="J223" s="10">
        <v>1</v>
      </c>
      <c r="K223" s="10" t="s">
        <v>20</v>
      </c>
      <c r="L223" s="10" t="s">
        <v>55</v>
      </c>
      <c r="M223" s="10" t="s">
        <v>10</v>
      </c>
      <c r="N223" s="10" t="s">
        <v>6</v>
      </c>
      <c r="O223" s="10" t="s">
        <v>11</v>
      </c>
      <c r="P223" s="10" t="s">
        <v>66</v>
      </c>
    </row>
    <row r="224" spans="1:17" x14ac:dyDescent="0.35">
      <c r="A224" s="14">
        <v>45994</v>
      </c>
      <c r="B224" s="3">
        <v>3</v>
      </c>
      <c r="C224" s="10" t="s">
        <v>20</v>
      </c>
      <c r="D224" s="10" t="s">
        <v>55</v>
      </c>
      <c r="E224" s="10" t="s">
        <v>10</v>
      </c>
      <c r="F224" s="10" t="s">
        <v>6</v>
      </c>
      <c r="G224" s="10" t="s">
        <v>11</v>
      </c>
      <c r="H224" s="10" t="s">
        <v>66</v>
      </c>
      <c r="I224" s="11">
        <v>2</v>
      </c>
      <c r="J224" s="2">
        <v>2</v>
      </c>
      <c r="K224" s="2" t="s">
        <v>16</v>
      </c>
      <c r="L224" s="2" t="s">
        <v>2</v>
      </c>
      <c r="M224" s="2" t="s">
        <v>5</v>
      </c>
      <c r="N224" s="2" t="s">
        <v>48</v>
      </c>
      <c r="O224" s="2" t="s">
        <v>381</v>
      </c>
      <c r="P224" s="2" t="s">
        <v>382</v>
      </c>
    </row>
    <row r="225" spans="1:16" x14ac:dyDescent="0.35">
      <c r="A225" s="14">
        <v>45994</v>
      </c>
      <c r="B225" s="5">
        <v>5</v>
      </c>
      <c r="C225" s="2" t="s">
        <v>16</v>
      </c>
      <c r="D225" s="2" t="s">
        <v>2</v>
      </c>
      <c r="E225" s="2" t="s">
        <v>5</v>
      </c>
      <c r="F225" s="2" t="s">
        <v>48</v>
      </c>
      <c r="G225" s="2" t="s">
        <v>381</v>
      </c>
      <c r="H225" s="2" t="s">
        <v>382</v>
      </c>
      <c r="I225" s="5">
        <v>8</v>
      </c>
      <c r="J225" s="8">
        <v>7</v>
      </c>
      <c r="K225" s="8" t="s">
        <v>1</v>
      </c>
      <c r="L225" s="8" t="s">
        <v>9</v>
      </c>
      <c r="M225" s="8" t="s">
        <v>81</v>
      </c>
      <c r="N225" s="8" t="s">
        <v>378</v>
      </c>
      <c r="O225" s="8" t="s">
        <v>379</v>
      </c>
      <c r="P225" s="8" t="s">
        <v>4</v>
      </c>
    </row>
    <row r="226" spans="1:16" x14ac:dyDescent="0.35">
      <c r="A226" s="14">
        <v>46001</v>
      </c>
      <c r="B226" s="3">
        <v>4</v>
      </c>
      <c r="C226" s="8" t="s">
        <v>5</v>
      </c>
      <c r="D226" s="8" t="s">
        <v>11</v>
      </c>
      <c r="E226" s="8" t="s">
        <v>46</v>
      </c>
      <c r="F226" s="8" t="s">
        <v>6</v>
      </c>
      <c r="G226" s="8" t="s">
        <v>10</v>
      </c>
      <c r="H226" s="8" t="s">
        <v>20</v>
      </c>
      <c r="I226" s="9">
        <v>5</v>
      </c>
      <c r="J226" s="10">
        <v>5</v>
      </c>
      <c r="K226" s="10" t="s">
        <v>16</v>
      </c>
      <c r="L226" s="10" t="s">
        <v>9</v>
      </c>
      <c r="M226" s="10" t="s">
        <v>4</v>
      </c>
      <c r="N226" s="10" t="s">
        <v>15</v>
      </c>
      <c r="O226" s="10" t="s">
        <v>25</v>
      </c>
      <c r="P226" s="10" t="s">
        <v>56</v>
      </c>
    </row>
    <row r="227" spans="1:16" x14ac:dyDescent="0.35">
      <c r="A227" s="14">
        <v>46001</v>
      </c>
      <c r="B227" s="3">
        <v>5</v>
      </c>
      <c r="C227" s="10" t="s">
        <v>16</v>
      </c>
      <c r="D227" s="10" t="s">
        <v>9</v>
      </c>
      <c r="E227" s="10" t="s">
        <v>4</v>
      </c>
      <c r="F227" s="10" t="s">
        <v>15</v>
      </c>
      <c r="G227" s="10" t="s">
        <v>25</v>
      </c>
      <c r="H227" s="10" t="s">
        <v>56</v>
      </c>
      <c r="I227" s="11">
        <v>5</v>
      </c>
      <c r="J227" s="2">
        <v>4</v>
      </c>
      <c r="K227" s="2" t="s">
        <v>1</v>
      </c>
      <c r="L227" s="2" t="s">
        <v>7</v>
      </c>
      <c r="M227" s="2" t="s">
        <v>2</v>
      </c>
      <c r="N227" s="2" t="s">
        <v>84</v>
      </c>
      <c r="O227" s="2" t="s">
        <v>55</v>
      </c>
      <c r="P227" s="2" t="s">
        <v>82</v>
      </c>
    </row>
    <row r="228" spans="1:16" x14ac:dyDescent="0.35">
      <c r="A228" s="14">
        <v>46001</v>
      </c>
      <c r="B228" s="5">
        <v>5</v>
      </c>
      <c r="C228" s="2" t="s">
        <v>1</v>
      </c>
      <c r="D228" s="2" t="s">
        <v>7</v>
      </c>
      <c r="E228" s="2" t="s">
        <v>2</v>
      </c>
      <c r="F228" s="2" t="s">
        <v>84</v>
      </c>
      <c r="G228" s="2" t="s">
        <v>55</v>
      </c>
      <c r="H228" s="2" t="s">
        <v>82</v>
      </c>
      <c r="I228" s="5">
        <v>5</v>
      </c>
      <c r="J228" s="8">
        <v>5</v>
      </c>
      <c r="K228" s="8" t="s">
        <v>5</v>
      </c>
      <c r="L228" s="8" t="s">
        <v>11</v>
      </c>
      <c r="M228" s="8" t="s">
        <v>46</v>
      </c>
      <c r="N228" s="8" t="s">
        <v>6</v>
      </c>
      <c r="O228" s="8" t="s">
        <v>10</v>
      </c>
      <c r="P228" s="8" t="s">
        <v>20</v>
      </c>
    </row>
    <row r="229" spans="1:16" x14ac:dyDescent="0.35">
      <c r="A229" s="14">
        <v>46008</v>
      </c>
      <c r="B229" s="3">
        <v>4</v>
      </c>
      <c r="C229" s="8" t="s">
        <v>4</v>
      </c>
      <c r="D229" s="8" t="s">
        <v>10</v>
      </c>
      <c r="E229" s="8" t="s">
        <v>2</v>
      </c>
      <c r="F229" s="8" t="s">
        <v>82</v>
      </c>
      <c r="G229" s="8" t="s">
        <v>11</v>
      </c>
      <c r="H229" s="8" t="s">
        <v>19</v>
      </c>
      <c r="I229" s="9">
        <v>3</v>
      </c>
      <c r="J229" s="10">
        <v>4</v>
      </c>
      <c r="K229" s="10" t="s">
        <v>56</v>
      </c>
      <c r="L229" s="10" t="s">
        <v>9</v>
      </c>
      <c r="M229" s="10" t="s">
        <v>84</v>
      </c>
      <c r="N229" s="10" t="s">
        <v>48</v>
      </c>
      <c r="O229" s="10" t="s">
        <v>367</v>
      </c>
      <c r="P229" s="10" t="s">
        <v>44</v>
      </c>
    </row>
    <row r="230" spans="1:16" x14ac:dyDescent="0.35">
      <c r="A230" s="14">
        <v>46008</v>
      </c>
      <c r="B230" s="3">
        <v>5</v>
      </c>
      <c r="C230" s="10" t="s">
        <v>56</v>
      </c>
      <c r="D230" s="10" t="s">
        <v>9</v>
      </c>
      <c r="E230" s="10" t="s">
        <v>84</v>
      </c>
      <c r="F230" s="10" t="s">
        <v>48</v>
      </c>
      <c r="G230" s="10" t="s">
        <v>367</v>
      </c>
      <c r="H230" s="10" t="s">
        <v>44</v>
      </c>
      <c r="I230" s="11">
        <v>5</v>
      </c>
      <c r="J230" s="2">
        <v>4</v>
      </c>
      <c r="K230" s="2" t="s">
        <v>1</v>
      </c>
      <c r="L230" s="2" t="s">
        <v>7</v>
      </c>
      <c r="M230" s="2" t="s">
        <v>15</v>
      </c>
      <c r="N230" s="2" t="s">
        <v>5</v>
      </c>
      <c r="O230" s="2" t="s">
        <v>46</v>
      </c>
      <c r="P230" s="2" t="s">
        <v>6</v>
      </c>
    </row>
    <row r="231" spans="1:16" x14ac:dyDescent="0.35">
      <c r="A231" s="14">
        <v>46008</v>
      </c>
      <c r="B231" s="5">
        <v>4</v>
      </c>
      <c r="C231" s="2" t="s">
        <v>1</v>
      </c>
      <c r="D231" s="2" t="s">
        <v>7</v>
      </c>
      <c r="E231" s="2" t="s">
        <v>15</v>
      </c>
      <c r="F231" s="2" t="s">
        <v>5</v>
      </c>
      <c r="G231" s="2" t="s">
        <v>46</v>
      </c>
      <c r="H231" s="2" t="s">
        <v>6</v>
      </c>
      <c r="I231" s="5">
        <v>7</v>
      </c>
      <c r="J231" s="8">
        <v>0</v>
      </c>
      <c r="K231" s="8" t="s">
        <v>4</v>
      </c>
      <c r="L231" s="8" t="s">
        <v>10</v>
      </c>
      <c r="M231" s="8" t="s">
        <v>2</v>
      </c>
      <c r="N231" s="8" t="s">
        <v>82</v>
      </c>
      <c r="O231" s="8" t="s">
        <v>11</v>
      </c>
      <c r="P231" s="8" t="s">
        <v>19</v>
      </c>
    </row>
    <row r="232" spans="1:16" x14ac:dyDescent="0.35">
      <c r="A232" s="14">
        <v>46029</v>
      </c>
      <c r="B232" s="3">
        <v>2</v>
      </c>
      <c r="C232" s="8" t="s">
        <v>1</v>
      </c>
      <c r="D232" s="8" t="s">
        <v>45</v>
      </c>
      <c r="E232" s="8" t="s">
        <v>15</v>
      </c>
      <c r="F232" s="8" t="s">
        <v>46</v>
      </c>
      <c r="G232" s="8" t="s">
        <v>25</v>
      </c>
      <c r="H232" s="8" t="s">
        <v>6</v>
      </c>
      <c r="I232" s="9">
        <v>0</v>
      </c>
      <c r="J232" s="10">
        <v>2</v>
      </c>
      <c r="K232" s="10" t="s">
        <v>9</v>
      </c>
      <c r="L232" s="10" t="s">
        <v>56</v>
      </c>
      <c r="M232" s="10" t="s">
        <v>4</v>
      </c>
      <c r="N232" s="10" t="s">
        <v>19</v>
      </c>
      <c r="O232" s="10" t="s">
        <v>84</v>
      </c>
      <c r="P232" s="10" t="s">
        <v>44</v>
      </c>
    </row>
    <row r="233" spans="1:16" x14ac:dyDescent="0.35">
      <c r="A233" s="14">
        <v>46029</v>
      </c>
      <c r="B233" s="3">
        <v>5</v>
      </c>
      <c r="C233" s="10" t="s">
        <v>9</v>
      </c>
      <c r="D233" s="10" t="s">
        <v>56</v>
      </c>
      <c r="E233" s="10" t="s">
        <v>4</v>
      </c>
      <c r="F233" s="10" t="s">
        <v>19</v>
      </c>
      <c r="G233" s="10" t="s">
        <v>84</v>
      </c>
      <c r="H233" s="10" t="s">
        <v>44</v>
      </c>
      <c r="I233" s="11">
        <v>3</v>
      </c>
      <c r="J233" s="2">
        <v>7</v>
      </c>
      <c r="K233" s="2" t="s">
        <v>82</v>
      </c>
      <c r="L233" s="2" t="s">
        <v>10</v>
      </c>
      <c r="M233" s="2" t="s">
        <v>11</v>
      </c>
      <c r="N233" s="2" t="s">
        <v>2</v>
      </c>
      <c r="O233" s="2" t="s">
        <v>16</v>
      </c>
      <c r="P233" s="2" t="s">
        <v>20</v>
      </c>
    </row>
    <row r="234" spans="1:16" x14ac:dyDescent="0.35">
      <c r="A234" s="14">
        <v>46029</v>
      </c>
      <c r="B234" s="5">
        <v>5</v>
      </c>
      <c r="C234" s="2" t="s">
        <v>82</v>
      </c>
      <c r="D234" s="2" t="s">
        <v>10</v>
      </c>
      <c r="E234" s="2" t="s">
        <v>11</v>
      </c>
      <c r="F234" s="2" t="s">
        <v>2</v>
      </c>
      <c r="G234" s="2" t="s">
        <v>16</v>
      </c>
      <c r="H234" s="2" t="s">
        <v>20</v>
      </c>
      <c r="I234" s="5">
        <v>6</v>
      </c>
      <c r="J234" s="8">
        <v>3</v>
      </c>
      <c r="K234" s="8" t="s">
        <v>1</v>
      </c>
      <c r="L234" s="8" t="s">
        <v>45</v>
      </c>
      <c r="M234" s="8" t="s">
        <v>15</v>
      </c>
      <c r="N234" s="8" t="s">
        <v>46</v>
      </c>
      <c r="O234" s="8" t="s">
        <v>25</v>
      </c>
      <c r="P234" s="8" t="s">
        <v>6</v>
      </c>
    </row>
    <row r="235" spans="1:16" x14ac:dyDescent="0.35">
      <c r="A235" s="14">
        <v>46036</v>
      </c>
      <c r="B235" s="3">
        <v>3</v>
      </c>
      <c r="C235" s="8" t="s">
        <v>9</v>
      </c>
      <c r="D235" s="8" t="s">
        <v>11</v>
      </c>
      <c r="E235" s="8" t="s">
        <v>16</v>
      </c>
      <c r="F235" s="8" t="s">
        <v>84</v>
      </c>
      <c r="G235" s="8" t="s">
        <v>66</v>
      </c>
      <c r="H235" s="8" t="s">
        <v>362</v>
      </c>
      <c r="I235" s="9">
        <v>3</v>
      </c>
      <c r="J235" s="10">
        <v>0</v>
      </c>
      <c r="K235" s="10" t="s">
        <v>1</v>
      </c>
      <c r="L235" s="10" t="s">
        <v>2</v>
      </c>
      <c r="M235" s="10" t="s">
        <v>4</v>
      </c>
      <c r="N235" s="10" t="s">
        <v>6</v>
      </c>
      <c r="O235" s="10" t="s">
        <v>44</v>
      </c>
      <c r="P235" s="10" t="s">
        <v>5</v>
      </c>
    </row>
    <row r="236" spans="1:16" x14ac:dyDescent="0.35">
      <c r="A236" s="14">
        <v>46036</v>
      </c>
      <c r="B236" s="3">
        <v>5</v>
      </c>
      <c r="C236" s="10" t="s">
        <v>1</v>
      </c>
      <c r="D236" s="10" t="s">
        <v>2</v>
      </c>
      <c r="E236" s="10" t="s">
        <v>4</v>
      </c>
      <c r="F236" s="10" t="s">
        <v>6</v>
      </c>
      <c r="G236" s="10" t="s">
        <v>44</v>
      </c>
      <c r="H236" s="10" t="s">
        <v>5</v>
      </c>
      <c r="I236" s="11">
        <v>3</v>
      </c>
      <c r="J236" s="2">
        <v>7</v>
      </c>
      <c r="K236" s="2" t="s">
        <v>82</v>
      </c>
      <c r="L236" s="2" t="s">
        <v>10</v>
      </c>
      <c r="M236" s="2" t="s">
        <v>20</v>
      </c>
      <c r="N236" s="2" t="s">
        <v>19</v>
      </c>
      <c r="O236" s="2" t="s">
        <v>56</v>
      </c>
      <c r="P236" s="2" t="s">
        <v>46</v>
      </c>
    </row>
    <row r="237" spans="1:16" x14ac:dyDescent="0.35">
      <c r="A237" s="14">
        <v>46036</v>
      </c>
      <c r="B237" s="5">
        <v>5</v>
      </c>
      <c r="C237" s="2" t="s">
        <v>82</v>
      </c>
      <c r="D237" s="2" t="s">
        <v>10</v>
      </c>
      <c r="E237" s="2" t="s">
        <v>20</v>
      </c>
      <c r="F237" s="2" t="s">
        <v>19</v>
      </c>
      <c r="G237" s="2" t="s">
        <v>56</v>
      </c>
      <c r="H237" s="2" t="s">
        <v>46</v>
      </c>
      <c r="I237" s="5">
        <v>7</v>
      </c>
      <c r="J237" s="8">
        <v>3</v>
      </c>
      <c r="K237" s="8" t="s">
        <v>9</v>
      </c>
      <c r="L237" s="8" t="s">
        <v>11</v>
      </c>
      <c r="M237" s="8" t="s">
        <v>16</v>
      </c>
      <c r="N237" s="8" t="s">
        <v>84</v>
      </c>
      <c r="O237" s="8" t="s">
        <v>66</v>
      </c>
      <c r="P237" s="8" t="s">
        <v>362</v>
      </c>
    </row>
    <row r="238" spans="1:16" x14ac:dyDescent="0.35">
      <c r="A238" s="14">
        <v>46043</v>
      </c>
      <c r="B238" s="3">
        <v>3</v>
      </c>
      <c r="C238" s="8" t="s">
        <v>16</v>
      </c>
      <c r="D238" s="8" t="s">
        <v>44</v>
      </c>
      <c r="E238" s="8" t="s">
        <v>378</v>
      </c>
      <c r="F238" s="8" t="s">
        <v>81</v>
      </c>
      <c r="G238" s="8" t="s">
        <v>385</v>
      </c>
      <c r="H238" s="8"/>
      <c r="I238" s="9">
        <v>4</v>
      </c>
      <c r="J238" s="10">
        <v>2</v>
      </c>
      <c r="K238" s="10" t="s">
        <v>9</v>
      </c>
      <c r="L238" s="10" t="s">
        <v>19</v>
      </c>
      <c r="M238" s="10" t="s">
        <v>6</v>
      </c>
      <c r="N238" s="10" t="s">
        <v>25</v>
      </c>
      <c r="O238" s="10" t="s">
        <v>10</v>
      </c>
      <c r="P238" s="10"/>
    </row>
    <row r="239" spans="1:16" x14ac:dyDescent="0.35">
      <c r="A239" s="14">
        <v>46043</v>
      </c>
      <c r="B239" s="3">
        <v>5</v>
      </c>
      <c r="C239" s="10" t="s">
        <v>9</v>
      </c>
      <c r="D239" s="10" t="s">
        <v>19</v>
      </c>
      <c r="E239" s="10" t="s">
        <v>6</v>
      </c>
      <c r="F239" s="10" t="s">
        <v>25</v>
      </c>
      <c r="G239" s="10" t="s">
        <v>10</v>
      </c>
      <c r="H239" s="10"/>
      <c r="I239" s="11">
        <v>4</v>
      </c>
      <c r="J239" s="2">
        <v>7</v>
      </c>
      <c r="K239" s="2" t="s">
        <v>5</v>
      </c>
      <c r="L239" s="2" t="s">
        <v>56</v>
      </c>
      <c r="M239" s="2" t="s">
        <v>2</v>
      </c>
      <c r="N239" s="2" t="s">
        <v>46</v>
      </c>
      <c r="O239" s="2" t="s">
        <v>4</v>
      </c>
      <c r="P239" s="2"/>
    </row>
    <row r="240" spans="1:16" x14ac:dyDescent="0.35">
      <c r="A240" s="14">
        <v>46043</v>
      </c>
      <c r="B240" s="5">
        <v>6</v>
      </c>
      <c r="C240" s="2" t="s">
        <v>5</v>
      </c>
      <c r="D240" s="2" t="s">
        <v>56</v>
      </c>
      <c r="E240" s="2" t="s">
        <v>2</v>
      </c>
      <c r="F240" s="2" t="s">
        <v>46</v>
      </c>
      <c r="G240" s="2" t="s">
        <v>4</v>
      </c>
      <c r="H240" s="2"/>
      <c r="I240" s="5">
        <v>6</v>
      </c>
      <c r="J240" s="8">
        <v>3</v>
      </c>
      <c r="K240" s="8" t="s">
        <v>16</v>
      </c>
      <c r="L240" s="8" t="s">
        <v>44</v>
      </c>
      <c r="M240" s="8" t="s">
        <v>378</v>
      </c>
      <c r="N240" s="8" t="s">
        <v>81</v>
      </c>
      <c r="O240" s="8" t="s">
        <v>385</v>
      </c>
      <c r="P240" s="8"/>
    </row>
    <row r="241" spans="1:16" x14ac:dyDescent="0.35">
      <c r="A241" s="14">
        <v>46050</v>
      </c>
      <c r="B241" s="3">
        <v>5</v>
      </c>
      <c r="C241" s="8" t="s">
        <v>1</v>
      </c>
      <c r="D241" s="8" t="s">
        <v>9</v>
      </c>
      <c r="E241" s="8" t="s">
        <v>56</v>
      </c>
      <c r="F241" s="8" t="s">
        <v>25</v>
      </c>
      <c r="G241" s="8" t="s">
        <v>19</v>
      </c>
      <c r="H241" s="8"/>
      <c r="I241" s="9">
        <v>5</v>
      </c>
      <c r="J241" s="10">
        <v>4</v>
      </c>
      <c r="K241" s="10" t="s">
        <v>16</v>
      </c>
      <c r="L241" s="10" t="s">
        <v>10</v>
      </c>
      <c r="M241" s="10" t="s">
        <v>82</v>
      </c>
      <c r="N241" s="10" t="s">
        <v>63</v>
      </c>
      <c r="O241" s="10" t="s">
        <v>4</v>
      </c>
      <c r="P241" s="10"/>
    </row>
    <row r="242" spans="1:16" x14ac:dyDescent="0.35">
      <c r="A242" s="14">
        <v>46050</v>
      </c>
      <c r="B242" s="3">
        <v>4</v>
      </c>
      <c r="C242" s="10" t="s">
        <v>16</v>
      </c>
      <c r="D242" s="10" t="s">
        <v>10</v>
      </c>
      <c r="E242" s="10" t="s">
        <v>82</v>
      </c>
      <c r="F242" s="10" t="s">
        <v>63</v>
      </c>
      <c r="G242" s="10" t="s">
        <v>4</v>
      </c>
      <c r="H242" s="10"/>
      <c r="I242" s="11">
        <v>3</v>
      </c>
      <c r="J242" s="2">
        <v>1</v>
      </c>
      <c r="K242" s="2" t="s">
        <v>5</v>
      </c>
      <c r="L242" s="2" t="s">
        <v>46</v>
      </c>
      <c r="M242" s="2" t="s">
        <v>14</v>
      </c>
      <c r="N242" s="2" t="s">
        <v>20</v>
      </c>
      <c r="O242" s="2" t="s">
        <v>2</v>
      </c>
      <c r="P242" s="2"/>
    </row>
    <row r="243" spans="1:16" x14ac:dyDescent="0.35">
      <c r="A243" s="14">
        <v>46050</v>
      </c>
      <c r="B243" s="5">
        <v>4</v>
      </c>
      <c r="C243" s="2" t="s">
        <v>5</v>
      </c>
      <c r="D243" s="2" t="s">
        <v>46</v>
      </c>
      <c r="E243" s="2" t="s">
        <v>14</v>
      </c>
      <c r="F243" s="2" t="s">
        <v>20</v>
      </c>
      <c r="G243" s="2" t="s">
        <v>2</v>
      </c>
      <c r="H243" s="2"/>
      <c r="I243" s="5">
        <v>3</v>
      </c>
      <c r="J243" s="8">
        <v>8</v>
      </c>
      <c r="K243" s="8" t="s">
        <v>1</v>
      </c>
      <c r="L243" s="8" t="s">
        <v>9</v>
      </c>
      <c r="M243" s="8" t="s">
        <v>56</v>
      </c>
      <c r="N243" s="8" t="s">
        <v>25</v>
      </c>
      <c r="O243" s="8" t="s">
        <v>19</v>
      </c>
      <c r="P243" s="8"/>
    </row>
    <row r="244" spans="1:16" x14ac:dyDescent="0.35">
      <c r="A244" s="14">
        <v>46057</v>
      </c>
      <c r="B244" s="3">
        <v>6</v>
      </c>
      <c r="C244" s="8" t="s">
        <v>16</v>
      </c>
      <c r="D244" s="8" t="s">
        <v>81</v>
      </c>
      <c r="E244" s="8" t="s">
        <v>9</v>
      </c>
      <c r="F244" s="8" t="s">
        <v>10</v>
      </c>
      <c r="G244" s="8" t="s">
        <v>2</v>
      </c>
      <c r="H244" s="8"/>
      <c r="I244" s="9">
        <v>4</v>
      </c>
      <c r="J244" s="10">
        <v>9</v>
      </c>
      <c r="K244" s="10" t="s">
        <v>56</v>
      </c>
      <c r="L244" s="10" t="s">
        <v>5</v>
      </c>
      <c r="M244" s="10" t="s">
        <v>82</v>
      </c>
      <c r="N244" s="10" t="s">
        <v>44</v>
      </c>
      <c r="O244" s="10" t="s">
        <v>388</v>
      </c>
      <c r="P244" s="10"/>
    </row>
    <row r="245" spans="1:16" x14ac:dyDescent="0.35">
      <c r="A245" s="14">
        <v>46057</v>
      </c>
      <c r="B245" s="3">
        <v>5</v>
      </c>
      <c r="C245" s="10" t="s">
        <v>56</v>
      </c>
      <c r="D245" s="10" t="s">
        <v>5</v>
      </c>
      <c r="E245" s="10" t="s">
        <v>82</v>
      </c>
      <c r="F245" s="10" t="s">
        <v>44</v>
      </c>
      <c r="G245" s="10" t="s">
        <v>388</v>
      </c>
      <c r="H245" s="10"/>
      <c r="I245" s="11">
        <v>7</v>
      </c>
      <c r="J245" s="2">
        <v>4</v>
      </c>
      <c r="K245" s="2" t="s">
        <v>1</v>
      </c>
      <c r="L245" s="2" t="s">
        <v>4</v>
      </c>
      <c r="M245" s="2" t="s">
        <v>378</v>
      </c>
      <c r="N245" s="2" t="s">
        <v>368</v>
      </c>
      <c r="O245" s="2" t="s">
        <v>52</v>
      </c>
      <c r="P245" s="2"/>
    </row>
    <row r="246" spans="1:16" x14ac:dyDescent="0.35">
      <c r="A246" s="14">
        <v>46057</v>
      </c>
      <c r="B246" s="5">
        <v>2</v>
      </c>
      <c r="C246" s="2" t="s">
        <v>1</v>
      </c>
      <c r="D246" s="2" t="s">
        <v>4</v>
      </c>
      <c r="E246" s="2" t="s">
        <v>378</v>
      </c>
      <c r="F246" s="2" t="s">
        <v>368</v>
      </c>
      <c r="G246" s="2" t="s">
        <v>52</v>
      </c>
      <c r="H246" s="2"/>
      <c r="I246" s="5">
        <v>1</v>
      </c>
      <c r="J246" s="8">
        <v>4</v>
      </c>
      <c r="K246" s="8" t="s">
        <v>16</v>
      </c>
      <c r="L246" s="8" t="s">
        <v>81</v>
      </c>
      <c r="M246" s="8" t="s">
        <v>9</v>
      </c>
      <c r="N246" s="8" t="s">
        <v>10</v>
      </c>
      <c r="O246" s="8" t="s">
        <v>2</v>
      </c>
      <c r="P246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BN81"/>
  <sheetViews>
    <sheetView tabSelected="1" topLeftCell="A35" zoomScaleNormal="100" workbookViewId="0">
      <pane xSplit="1" topLeftCell="AZ1" activePane="topRight" state="frozen"/>
      <selection pane="topRight" activeCell="BN52" sqref="BN52"/>
    </sheetView>
  </sheetViews>
  <sheetFormatPr defaultRowHeight="14.5" x14ac:dyDescent="0.35"/>
  <cols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66" width="10.453125" bestFit="1" customWidth="1"/>
  </cols>
  <sheetData>
    <row r="1" spans="1:66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59">
        <v>45854</v>
      </c>
      <c r="AN1" s="59">
        <v>45861</v>
      </c>
      <c r="AO1" s="59">
        <v>45868</v>
      </c>
      <c r="AP1" s="59">
        <v>45875</v>
      </c>
      <c r="AQ1" s="59">
        <v>45882</v>
      </c>
      <c r="AR1" s="59">
        <v>45889</v>
      </c>
      <c r="AS1" s="59">
        <v>45896</v>
      </c>
      <c r="AT1" s="59">
        <v>45903</v>
      </c>
      <c r="AU1" s="59">
        <v>45910</v>
      </c>
      <c r="AV1" s="59">
        <v>45917</v>
      </c>
      <c r="AW1" s="59">
        <v>45924</v>
      </c>
      <c r="AX1" s="59">
        <v>45931</v>
      </c>
      <c r="AY1" s="59">
        <v>45938</v>
      </c>
      <c r="AZ1" s="59">
        <v>45945</v>
      </c>
      <c r="BA1" s="1">
        <v>45952</v>
      </c>
      <c r="BB1" s="1">
        <v>45960</v>
      </c>
      <c r="BC1" s="1">
        <v>45966</v>
      </c>
      <c r="BD1" s="1">
        <v>45973</v>
      </c>
      <c r="BE1" s="1">
        <v>45980</v>
      </c>
      <c r="BF1" s="1">
        <v>45987</v>
      </c>
      <c r="BG1" s="1">
        <v>45994</v>
      </c>
      <c r="BH1" s="1">
        <v>46001</v>
      </c>
      <c r="BI1" s="1">
        <v>46008</v>
      </c>
      <c r="BJ1" s="1">
        <v>46029</v>
      </c>
      <c r="BK1" s="1">
        <v>46036</v>
      </c>
      <c r="BL1" s="1">
        <v>46043</v>
      </c>
      <c r="BM1" s="1">
        <v>46050</v>
      </c>
      <c r="BN1" s="1">
        <v>46057</v>
      </c>
    </row>
    <row r="2" spans="1:66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  <c r="BH2">
        <v>1</v>
      </c>
      <c r="BJ2">
        <v>2</v>
      </c>
      <c r="BL2">
        <v>1</v>
      </c>
    </row>
    <row r="3" spans="1:66" hidden="1" x14ac:dyDescent="0.35">
      <c r="A3" t="s">
        <v>24</v>
      </c>
    </row>
    <row r="4" spans="1:66" x14ac:dyDescent="0.35">
      <c r="A4" t="s">
        <v>346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  <c r="BD4">
        <v>2</v>
      </c>
    </row>
    <row r="5" spans="1:66" hidden="1" x14ac:dyDescent="0.35">
      <c r="A5" t="s">
        <v>365</v>
      </c>
    </row>
    <row r="6" spans="1:66" x14ac:dyDescent="0.35">
      <c r="A6" t="s">
        <v>77</v>
      </c>
      <c r="G6">
        <v>3</v>
      </c>
    </row>
    <row r="7" spans="1:66" x14ac:dyDescent="0.35">
      <c r="A7" t="s">
        <v>364</v>
      </c>
      <c r="AH7">
        <v>3</v>
      </c>
      <c r="AQ7">
        <v>2</v>
      </c>
    </row>
    <row r="8" spans="1:66" x14ac:dyDescent="0.35">
      <c r="A8" t="s">
        <v>7</v>
      </c>
      <c r="K8">
        <v>1</v>
      </c>
    </row>
    <row r="9" spans="1:66" x14ac:dyDescent="0.35">
      <c r="A9" t="s">
        <v>353</v>
      </c>
      <c r="G9">
        <v>1</v>
      </c>
    </row>
    <row r="10" spans="1:66" hidden="1" x14ac:dyDescent="0.35">
      <c r="A10" t="s">
        <v>347</v>
      </c>
    </row>
    <row r="11" spans="1:66" x14ac:dyDescent="0.35">
      <c r="A11" t="s">
        <v>48</v>
      </c>
    </row>
    <row r="12" spans="1:66" x14ac:dyDescent="0.35">
      <c r="A12" t="s">
        <v>382</v>
      </c>
    </row>
    <row r="13" spans="1:66" x14ac:dyDescent="0.35">
      <c r="A13" t="s">
        <v>362</v>
      </c>
      <c r="BK13">
        <v>1</v>
      </c>
    </row>
    <row r="14" spans="1:66" hidden="1" x14ac:dyDescent="0.35">
      <c r="A14" t="s">
        <v>18</v>
      </c>
    </row>
    <row r="15" spans="1:66" x14ac:dyDescent="0.35">
      <c r="A15" t="s">
        <v>25</v>
      </c>
      <c r="C15">
        <v>1</v>
      </c>
      <c r="E15">
        <v>1</v>
      </c>
      <c r="G15">
        <v>1</v>
      </c>
      <c r="J15">
        <v>3</v>
      </c>
      <c r="K15">
        <v>3</v>
      </c>
      <c r="M15">
        <v>1</v>
      </c>
      <c r="R15">
        <v>1</v>
      </c>
      <c r="V15">
        <v>1</v>
      </c>
      <c r="AE15">
        <v>1</v>
      </c>
      <c r="AF15">
        <v>1</v>
      </c>
      <c r="AH15">
        <v>2</v>
      </c>
      <c r="AT15">
        <v>1</v>
      </c>
      <c r="BA15">
        <v>1</v>
      </c>
      <c r="BH15">
        <v>1</v>
      </c>
      <c r="BM15">
        <v>1</v>
      </c>
    </row>
    <row r="16" spans="1:66" x14ac:dyDescent="0.35">
      <c r="A16" t="s">
        <v>14</v>
      </c>
      <c r="E16">
        <v>1</v>
      </c>
      <c r="F16">
        <v>1</v>
      </c>
      <c r="J16">
        <v>1</v>
      </c>
      <c r="P16">
        <v>1</v>
      </c>
      <c r="S16">
        <v>1</v>
      </c>
      <c r="W16">
        <v>1</v>
      </c>
      <c r="Z16">
        <v>2</v>
      </c>
      <c r="AA16">
        <v>0.5</v>
      </c>
      <c r="AK16">
        <v>1</v>
      </c>
      <c r="AR16">
        <v>2</v>
      </c>
      <c r="AX16">
        <v>1</v>
      </c>
    </row>
    <row r="17" spans="1:66" x14ac:dyDescent="0.35">
      <c r="A17" t="s">
        <v>378</v>
      </c>
      <c r="BL17">
        <v>1</v>
      </c>
    </row>
    <row r="18" spans="1:66" x14ac:dyDescent="0.35">
      <c r="A18" t="s">
        <v>54</v>
      </c>
      <c r="C18">
        <v>2</v>
      </c>
      <c r="D18">
        <v>3</v>
      </c>
      <c r="V18">
        <v>2</v>
      </c>
    </row>
    <row r="19" spans="1:66" x14ac:dyDescent="0.35">
      <c r="A19" t="s">
        <v>66</v>
      </c>
      <c r="D19">
        <v>2</v>
      </c>
      <c r="I19">
        <v>3</v>
      </c>
      <c r="J19">
        <v>1</v>
      </c>
      <c r="T19">
        <v>1</v>
      </c>
      <c r="W19">
        <v>1</v>
      </c>
      <c r="X19">
        <v>1</v>
      </c>
      <c r="Y19">
        <v>1</v>
      </c>
      <c r="Z19">
        <v>1</v>
      </c>
      <c r="AA19">
        <v>1</v>
      </c>
      <c r="AC19">
        <v>1</v>
      </c>
      <c r="AD19">
        <v>1</v>
      </c>
      <c r="AH19">
        <v>1</v>
      </c>
      <c r="AI19">
        <v>1</v>
      </c>
      <c r="BA19">
        <v>3</v>
      </c>
      <c r="BG19">
        <v>1</v>
      </c>
    </row>
    <row r="20" spans="1:66" x14ac:dyDescent="0.35">
      <c r="A20" t="s">
        <v>84</v>
      </c>
      <c r="I20">
        <v>2</v>
      </c>
      <c r="J20">
        <v>1</v>
      </c>
      <c r="L20">
        <v>3</v>
      </c>
      <c r="N20">
        <v>2</v>
      </c>
      <c r="O20">
        <v>2</v>
      </c>
      <c r="P20">
        <v>1</v>
      </c>
      <c r="S20">
        <v>2</v>
      </c>
      <c r="V20">
        <v>4</v>
      </c>
      <c r="W20">
        <v>6</v>
      </c>
      <c r="X20">
        <v>3</v>
      </c>
      <c r="AB20">
        <v>1</v>
      </c>
      <c r="AC20">
        <v>2</v>
      </c>
      <c r="AD20">
        <v>3</v>
      </c>
      <c r="AE20">
        <v>1</v>
      </c>
      <c r="AH20">
        <v>4</v>
      </c>
      <c r="AI20">
        <v>5</v>
      </c>
      <c r="AK20">
        <v>1</v>
      </c>
      <c r="AL20">
        <v>1</v>
      </c>
      <c r="AN20">
        <v>2</v>
      </c>
      <c r="AU20">
        <v>4</v>
      </c>
      <c r="AV20">
        <v>1</v>
      </c>
      <c r="AX20">
        <v>1</v>
      </c>
      <c r="BH20">
        <v>1</v>
      </c>
      <c r="BI20">
        <v>2</v>
      </c>
      <c r="BK20">
        <v>2</v>
      </c>
    </row>
    <row r="21" spans="1:66" x14ac:dyDescent="0.35">
      <c r="A21" t="s">
        <v>15</v>
      </c>
      <c r="F21">
        <v>1</v>
      </c>
      <c r="H21">
        <v>2</v>
      </c>
      <c r="I21">
        <v>1</v>
      </c>
      <c r="AK21">
        <v>1</v>
      </c>
      <c r="AL21">
        <v>4</v>
      </c>
      <c r="AO21">
        <v>2</v>
      </c>
      <c r="AR21">
        <v>3</v>
      </c>
      <c r="AS21">
        <v>2</v>
      </c>
      <c r="AT21">
        <v>1</v>
      </c>
      <c r="AY21">
        <v>1</v>
      </c>
      <c r="BE21">
        <v>2</v>
      </c>
      <c r="BF21">
        <v>1</v>
      </c>
      <c r="BI21">
        <v>2</v>
      </c>
    </row>
    <row r="22" spans="1:66" x14ac:dyDescent="0.35">
      <c r="A22" t="s">
        <v>375</v>
      </c>
      <c r="AW22">
        <v>1</v>
      </c>
    </row>
    <row r="23" spans="1:66" x14ac:dyDescent="0.35">
      <c r="A23" t="s">
        <v>6</v>
      </c>
      <c r="B23">
        <v>3</v>
      </c>
      <c r="E23">
        <v>2</v>
      </c>
      <c r="H23">
        <v>1</v>
      </c>
      <c r="L23">
        <v>2</v>
      </c>
      <c r="M23">
        <v>2</v>
      </c>
      <c r="N23">
        <v>6</v>
      </c>
      <c r="O23">
        <v>1</v>
      </c>
      <c r="Q23">
        <v>3</v>
      </c>
      <c r="R23">
        <v>1</v>
      </c>
      <c r="S23">
        <v>1</v>
      </c>
      <c r="T23">
        <v>3</v>
      </c>
      <c r="U23">
        <v>3</v>
      </c>
      <c r="V23">
        <v>6</v>
      </c>
      <c r="W23">
        <v>2</v>
      </c>
      <c r="X23">
        <v>3</v>
      </c>
      <c r="Y23">
        <v>1</v>
      </c>
      <c r="Z23">
        <v>3.5</v>
      </c>
      <c r="AA23">
        <v>3.5</v>
      </c>
      <c r="AB23">
        <v>3</v>
      </c>
      <c r="AC23">
        <v>1</v>
      </c>
      <c r="AE23">
        <v>10</v>
      </c>
      <c r="AF23">
        <v>3</v>
      </c>
      <c r="AG23">
        <v>3</v>
      </c>
      <c r="AH23">
        <v>2</v>
      </c>
      <c r="AJ23">
        <v>3</v>
      </c>
      <c r="AK23">
        <v>3</v>
      </c>
      <c r="AL23">
        <v>5</v>
      </c>
      <c r="AN23">
        <v>1</v>
      </c>
      <c r="AO23">
        <v>6</v>
      </c>
      <c r="AP23">
        <v>4</v>
      </c>
      <c r="AQ23">
        <v>3</v>
      </c>
      <c r="AR23">
        <v>4</v>
      </c>
      <c r="AS23">
        <v>2</v>
      </c>
      <c r="AT23">
        <v>4</v>
      </c>
      <c r="AU23">
        <v>4</v>
      </c>
      <c r="AV23">
        <v>6</v>
      </c>
      <c r="AW23">
        <v>1</v>
      </c>
      <c r="AY23">
        <v>4</v>
      </c>
      <c r="AZ23">
        <v>1</v>
      </c>
      <c r="BA23">
        <v>3</v>
      </c>
      <c r="BC23">
        <v>5</v>
      </c>
      <c r="BD23">
        <v>2</v>
      </c>
      <c r="BE23">
        <v>3</v>
      </c>
      <c r="BF23">
        <v>3</v>
      </c>
      <c r="BG23">
        <v>3</v>
      </c>
      <c r="BH23">
        <v>1</v>
      </c>
      <c r="BI23">
        <v>5</v>
      </c>
      <c r="BJ23">
        <v>1</v>
      </c>
      <c r="BK23">
        <v>1</v>
      </c>
      <c r="BL23">
        <v>2</v>
      </c>
    </row>
    <row r="24" spans="1:66" x14ac:dyDescent="0.35">
      <c r="A24" t="s">
        <v>342</v>
      </c>
      <c r="T24">
        <v>4</v>
      </c>
      <c r="AH24">
        <v>1</v>
      </c>
      <c r="AK24">
        <v>1</v>
      </c>
    </row>
    <row r="25" spans="1:66" hidden="1" x14ac:dyDescent="0.35">
      <c r="A25" t="s">
        <v>52</v>
      </c>
    </row>
    <row r="26" spans="1:66" x14ac:dyDescent="0.35">
      <c r="A26" t="s">
        <v>78</v>
      </c>
    </row>
    <row r="27" spans="1:66" x14ac:dyDescent="0.35">
      <c r="A27" t="s">
        <v>12</v>
      </c>
      <c r="N27">
        <v>2</v>
      </c>
      <c r="U27">
        <v>1</v>
      </c>
      <c r="AI27">
        <v>1</v>
      </c>
    </row>
    <row r="28" spans="1:66" x14ac:dyDescent="0.35">
      <c r="A28" t="s">
        <v>4</v>
      </c>
      <c r="E28">
        <v>1</v>
      </c>
      <c r="F28">
        <v>3</v>
      </c>
      <c r="H28">
        <v>1</v>
      </c>
      <c r="J28">
        <v>1</v>
      </c>
      <c r="K28">
        <v>3</v>
      </c>
      <c r="P28">
        <v>3</v>
      </c>
      <c r="U28">
        <v>3</v>
      </c>
      <c r="W28">
        <v>1</v>
      </c>
      <c r="AD28">
        <v>1</v>
      </c>
      <c r="AF28">
        <v>1</v>
      </c>
      <c r="AH28">
        <v>1</v>
      </c>
      <c r="AI28">
        <v>1</v>
      </c>
      <c r="AJ28">
        <v>2</v>
      </c>
      <c r="AO28">
        <v>2</v>
      </c>
      <c r="AP28">
        <v>2</v>
      </c>
      <c r="AQ28">
        <v>4</v>
      </c>
      <c r="AR28">
        <v>2</v>
      </c>
      <c r="AT28">
        <v>1</v>
      </c>
      <c r="AU28">
        <v>2</v>
      </c>
      <c r="AV28">
        <v>1</v>
      </c>
      <c r="AW28">
        <v>1</v>
      </c>
      <c r="AX28">
        <v>1</v>
      </c>
      <c r="AZ28">
        <v>2</v>
      </c>
      <c r="BA28">
        <v>2</v>
      </c>
      <c r="BB28">
        <v>1</v>
      </c>
      <c r="BD28">
        <v>2</v>
      </c>
      <c r="BE28">
        <v>3</v>
      </c>
      <c r="BF28">
        <v>1</v>
      </c>
      <c r="BG28">
        <v>1</v>
      </c>
      <c r="BJ28">
        <v>1</v>
      </c>
      <c r="BK28">
        <v>1</v>
      </c>
      <c r="BL28">
        <v>1</v>
      </c>
      <c r="BM28">
        <v>2</v>
      </c>
    </row>
    <row r="29" spans="1:66" x14ac:dyDescent="0.35">
      <c r="A29" t="s">
        <v>361</v>
      </c>
      <c r="AD29">
        <v>2</v>
      </c>
      <c r="AM29">
        <v>1</v>
      </c>
      <c r="AU29">
        <v>1</v>
      </c>
      <c r="BF29">
        <v>3</v>
      </c>
    </row>
    <row r="30" spans="1:66" x14ac:dyDescent="0.35">
      <c r="A30" t="s">
        <v>1</v>
      </c>
      <c r="B30">
        <v>1</v>
      </c>
      <c r="C30">
        <v>1</v>
      </c>
      <c r="D30">
        <v>1</v>
      </c>
      <c r="E30">
        <v>1</v>
      </c>
      <c r="F30">
        <v>2</v>
      </c>
      <c r="I30">
        <v>2</v>
      </c>
      <c r="J30">
        <v>1</v>
      </c>
      <c r="K30">
        <v>2</v>
      </c>
      <c r="L30">
        <v>1</v>
      </c>
      <c r="M30">
        <v>2</v>
      </c>
      <c r="N30">
        <v>1</v>
      </c>
      <c r="O30">
        <v>1</v>
      </c>
      <c r="P30">
        <v>2</v>
      </c>
      <c r="R30">
        <v>1</v>
      </c>
      <c r="T30">
        <v>1</v>
      </c>
      <c r="U30">
        <v>2</v>
      </c>
      <c r="Y30">
        <v>2</v>
      </c>
      <c r="AB30">
        <v>2</v>
      </c>
      <c r="AD30">
        <v>1</v>
      </c>
      <c r="AH30">
        <v>1</v>
      </c>
      <c r="AJ30">
        <v>1</v>
      </c>
      <c r="AN30">
        <v>2</v>
      </c>
      <c r="AO30">
        <v>1</v>
      </c>
      <c r="AP30">
        <v>2</v>
      </c>
      <c r="AQ30">
        <v>1</v>
      </c>
      <c r="AS30">
        <v>2</v>
      </c>
      <c r="AW30">
        <v>1</v>
      </c>
      <c r="AX30">
        <v>1</v>
      </c>
      <c r="AY30">
        <v>2</v>
      </c>
      <c r="AZ30">
        <v>2</v>
      </c>
      <c r="BA30">
        <v>1</v>
      </c>
      <c r="BB30">
        <v>2</v>
      </c>
      <c r="BC30">
        <v>4</v>
      </c>
      <c r="BD30">
        <v>1</v>
      </c>
      <c r="BE30">
        <v>1</v>
      </c>
      <c r="BG30">
        <v>2</v>
      </c>
      <c r="BH30">
        <v>3</v>
      </c>
      <c r="BJ30">
        <v>1</v>
      </c>
      <c r="BM30">
        <v>3</v>
      </c>
      <c r="BN30">
        <v>1</v>
      </c>
    </row>
    <row r="31" spans="1:66" hidden="1" x14ac:dyDescent="0.35">
      <c r="A31" t="s">
        <v>351</v>
      </c>
      <c r="Z31">
        <v>1</v>
      </c>
    </row>
    <row r="32" spans="1:66" x14ac:dyDescent="0.35">
      <c r="A32" t="s">
        <v>9</v>
      </c>
      <c r="C32">
        <v>1</v>
      </c>
      <c r="D32">
        <v>1</v>
      </c>
      <c r="G32">
        <v>2</v>
      </c>
      <c r="H32">
        <v>2</v>
      </c>
      <c r="I32">
        <v>1</v>
      </c>
      <c r="J32">
        <v>1</v>
      </c>
      <c r="K32">
        <v>2</v>
      </c>
      <c r="L32">
        <v>5</v>
      </c>
      <c r="M32">
        <v>1</v>
      </c>
      <c r="O32">
        <v>4</v>
      </c>
      <c r="P32">
        <v>1</v>
      </c>
      <c r="Q32">
        <v>2</v>
      </c>
      <c r="T32">
        <v>6</v>
      </c>
      <c r="X32">
        <v>2</v>
      </c>
      <c r="Y32">
        <v>2</v>
      </c>
      <c r="Z32">
        <v>1</v>
      </c>
      <c r="AA32">
        <v>1</v>
      </c>
      <c r="AB32">
        <v>1</v>
      </c>
      <c r="AC32">
        <v>3</v>
      </c>
      <c r="AF32">
        <v>4</v>
      </c>
      <c r="AI32">
        <v>1</v>
      </c>
      <c r="AL32">
        <v>1</v>
      </c>
      <c r="AN32">
        <v>1</v>
      </c>
      <c r="AR32">
        <v>2</v>
      </c>
      <c r="AS32">
        <v>3</v>
      </c>
      <c r="AT32">
        <v>1</v>
      </c>
      <c r="AW32">
        <v>2</v>
      </c>
      <c r="AX32">
        <v>5</v>
      </c>
      <c r="AY32">
        <v>3</v>
      </c>
      <c r="AZ32">
        <v>1</v>
      </c>
      <c r="BA32">
        <v>3</v>
      </c>
      <c r="BB32">
        <v>2</v>
      </c>
      <c r="BD32">
        <v>3</v>
      </c>
      <c r="BF32">
        <v>3</v>
      </c>
      <c r="BG32">
        <v>4</v>
      </c>
      <c r="BH32">
        <v>3</v>
      </c>
      <c r="BI32">
        <v>2</v>
      </c>
      <c r="BJ32">
        <v>1</v>
      </c>
      <c r="BL32">
        <v>1</v>
      </c>
      <c r="BM32">
        <v>2</v>
      </c>
      <c r="BN32">
        <v>1</v>
      </c>
    </row>
    <row r="33" spans="1:66" x14ac:dyDescent="0.35">
      <c r="A33" t="s">
        <v>381</v>
      </c>
      <c r="BG33">
        <v>2</v>
      </c>
    </row>
    <row r="34" spans="1:66" x14ac:dyDescent="0.35">
      <c r="A34" t="s">
        <v>20</v>
      </c>
      <c r="B34">
        <v>1</v>
      </c>
      <c r="D34">
        <v>1</v>
      </c>
      <c r="F34">
        <v>2</v>
      </c>
      <c r="G34">
        <v>2</v>
      </c>
      <c r="H34">
        <v>4</v>
      </c>
      <c r="J34">
        <v>2</v>
      </c>
      <c r="K34">
        <v>2</v>
      </c>
      <c r="L34">
        <v>1</v>
      </c>
      <c r="M34">
        <v>1</v>
      </c>
      <c r="P34">
        <v>1</v>
      </c>
      <c r="Q34">
        <v>1</v>
      </c>
      <c r="R34">
        <v>3</v>
      </c>
      <c r="S34">
        <v>2</v>
      </c>
      <c r="T34">
        <v>2</v>
      </c>
      <c r="U34">
        <v>2</v>
      </c>
      <c r="W34">
        <v>3</v>
      </c>
      <c r="X34">
        <v>3</v>
      </c>
      <c r="Y34">
        <v>2</v>
      </c>
      <c r="AA34">
        <v>2</v>
      </c>
      <c r="AB34">
        <v>2</v>
      </c>
      <c r="AC34">
        <v>2</v>
      </c>
      <c r="AE34">
        <v>2</v>
      </c>
      <c r="AF34">
        <v>1</v>
      </c>
      <c r="AG34">
        <v>2</v>
      </c>
      <c r="AJ34">
        <v>4</v>
      </c>
      <c r="AK34">
        <v>2</v>
      </c>
      <c r="AM34">
        <v>1</v>
      </c>
      <c r="AN34">
        <v>1</v>
      </c>
      <c r="AO34">
        <v>1</v>
      </c>
      <c r="AP34">
        <v>1</v>
      </c>
      <c r="AU34">
        <v>1</v>
      </c>
      <c r="AV34">
        <v>1</v>
      </c>
      <c r="AW34">
        <v>2</v>
      </c>
      <c r="BA34">
        <v>1</v>
      </c>
      <c r="BH34">
        <v>2</v>
      </c>
      <c r="BJ34">
        <v>2</v>
      </c>
      <c r="BK34">
        <v>3</v>
      </c>
    </row>
    <row r="35" spans="1:66" x14ac:dyDescent="0.35">
      <c r="A35" t="s">
        <v>80</v>
      </c>
      <c r="F35">
        <v>1</v>
      </c>
    </row>
    <row r="36" spans="1:66" hidden="1" x14ac:dyDescent="0.35">
      <c r="A36" t="s">
        <v>61</v>
      </c>
      <c r="D36">
        <v>1</v>
      </c>
    </row>
    <row r="37" spans="1:66" x14ac:dyDescent="0.35">
      <c r="A37" t="s">
        <v>374</v>
      </c>
      <c r="AW37">
        <v>2</v>
      </c>
    </row>
    <row r="38" spans="1:66" x14ac:dyDescent="0.35">
      <c r="A38" t="s">
        <v>19</v>
      </c>
      <c r="B38">
        <v>2</v>
      </c>
      <c r="C38">
        <v>1</v>
      </c>
      <c r="D38">
        <v>1</v>
      </c>
      <c r="F38">
        <v>4</v>
      </c>
      <c r="G38">
        <v>3</v>
      </c>
      <c r="H38">
        <v>1</v>
      </c>
      <c r="I38">
        <v>1</v>
      </c>
      <c r="M38">
        <v>2</v>
      </c>
      <c r="N38">
        <v>3</v>
      </c>
      <c r="T38">
        <v>1</v>
      </c>
      <c r="X38">
        <v>1</v>
      </c>
      <c r="AA38">
        <v>2</v>
      </c>
      <c r="AB38">
        <v>2</v>
      </c>
      <c r="AC38">
        <v>1</v>
      </c>
      <c r="AD38">
        <v>2</v>
      </c>
      <c r="AE38">
        <v>1</v>
      </c>
      <c r="AG38">
        <v>1</v>
      </c>
      <c r="AH38">
        <v>2</v>
      </c>
      <c r="AJ38">
        <v>1</v>
      </c>
      <c r="AM38">
        <v>4</v>
      </c>
      <c r="AN38">
        <v>1</v>
      </c>
      <c r="AP38">
        <v>1</v>
      </c>
      <c r="AR38">
        <v>1</v>
      </c>
      <c r="AS38">
        <v>1</v>
      </c>
      <c r="AT38">
        <v>1</v>
      </c>
      <c r="AV38">
        <v>1</v>
      </c>
      <c r="AZ38">
        <v>2</v>
      </c>
      <c r="BA38">
        <v>1</v>
      </c>
      <c r="BC38">
        <v>3</v>
      </c>
      <c r="BD38">
        <v>1</v>
      </c>
      <c r="BI38">
        <v>1</v>
      </c>
      <c r="BJ38">
        <v>1</v>
      </c>
      <c r="BK38">
        <v>3</v>
      </c>
      <c r="BL38">
        <v>2</v>
      </c>
      <c r="BM38">
        <v>5</v>
      </c>
    </row>
    <row r="39" spans="1:66" x14ac:dyDescent="0.35">
      <c r="A39" t="s">
        <v>43</v>
      </c>
      <c r="AQ39">
        <v>2</v>
      </c>
    </row>
    <row r="40" spans="1:66" x14ac:dyDescent="0.35">
      <c r="A40" t="s">
        <v>68</v>
      </c>
      <c r="E40">
        <v>1</v>
      </c>
      <c r="I40">
        <v>1</v>
      </c>
      <c r="N40">
        <v>1</v>
      </c>
      <c r="W40">
        <v>2</v>
      </c>
      <c r="AQ40">
        <v>1</v>
      </c>
    </row>
    <row r="41" spans="1:66" hidden="1" x14ac:dyDescent="0.35">
      <c r="A41" t="s">
        <v>53</v>
      </c>
      <c r="N41">
        <v>1</v>
      </c>
    </row>
    <row r="42" spans="1:66" x14ac:dyDescent="0.35">
      <c r="A42" t="s">
        <v>368</v>
      </c>
      <c r="AM42">
        <v>5</v>
      </c>
      <c r="BB42">
        <v>9</v>
      </c>
      <c r="BN42">
        <v>2</v>
      </c>
    </row>
    <row r="43" spans="1:66" x14ac:dyDescent="0.35">
      <c r="A43" t="s">
        <v>345</v>
      </c>
      <c r="U43">
        <v>1</v>
      </c>
    </row>
    <row r="44" spans="1:66" x14ac:dyDescent="0.35">
      <c r="A44" t="s">
        <v>343</v>
      </c>
      <c r="AN44">
        <v>1</v>
      </c>
    </row>
    <row r="45" spans="1:66" x14ac:dyDescent="0.35">
      <c r="A45" t="s">
        <v>344</v>
      </c>
      <c r="X45">
        <v>1</v>
      </c>
      <c r="Y45">
        <v>2</v>
      </c>
      <c r="AF45">
        <v>2</v>
      </c>
    </row>
    <row r="46" spans="1:66" x14ac:dyDescent="0.35">
      <c r="A46" t="s">
        <v>10</v>
      </c>
      <c r="B46">
        <v>2</v>
      </c>
      <c r="C46">
        <v>3</v>
      </c>
      <c r="F46">
        <v>2</v>
      </c>
      <c r="I46">
        <v>2</v>
      </c>
      <c r="J46">
        <v>2</v>
      </c>
      <c r="K46">
        <v>1</v>
      </c>
      <c r="L46">
        <v>1</v>
      </c>
      <c r="M46">
        <v>1</v>
      </c>
      <c r="O46">
        <v>2</v>
      </c>
      <c r="R46">
        <v>3</v>
      </c>
      <c r="S46">
        <v>1</v>
      </c>
      <c r="T46">
        <v>1</v>
      </c>
      <c r="V46">
        <v>1</v>
      </c>
      <c r="W46">
        <v>3</v>
      </c>
      <c r="X46">
        <v>1</v>
      </c>
      <c r="Y46">
        <v>1</v>
      </c>
      <c r="Z46">
        <v>1.5</v>
      </c>
      <c r="AC46">
        <v>1</v>
      </c>
      <c r="AD46">
        <v>2</v>
      </c>
      <c r="AE46">
        <v>1</v>
      </c>
      <c r="AF46">
        <v>2</v>
      </c>
      <c r="AH46">
        <v>2</v>
      </c>
      <c r="AL46">
        <v>3</v>
      </c>
      <c r="AP46">
        <v>2</v>
      </c>
      <c r="AQ46">
        <v>4</v>
      </c>
      <c r="AR46">
        <v>3</v>
      </c>
      <c r="AS46">
        <v>0.5</v>
      </c>
      <c r="AU46">
        <v>2</v>
      </c>
      <c r="AV46">
        <v>1</v>
      </c>
      <c r="BC46">
        <v>1</v>
      </c>
      <c r="BD46">
        <v>1</v>
      </c>
      <c r="BE46">
        <v>7</v>
      </c>
      <c r="BH46">
        <v>1</v>
      </c>
      <c r="BI46">
        <v>1</v>
      </c>
      <c r="BJ46">
        <v>3</v>
      </c>
      <c r="BK46">
        <v>3</v>
      </c>
      <c r="BL46">
        <v>1</v>
      </c>
      <c r="BM46">
        <v>1</v>
      </c>
      <c r="BN46">
        <v>4</v>
      </c>
    </row>
    <row r="47" spans="1:66" x14ac:dyDescent="0.35">
      <c r="A47" t="s">
        <v>46</v>
      </c>
      <c r="B47">
        <v>1</v>
      </c>
      <c r="O47">
        <v>3</v>
      </c>
      <c r="P47">
        <v>1</v>
      </c>
      <c r="Q47">
        <v>2</v>
      </c>
      <c r="AM47">
        <v>1</v>
      </c>
      <c r="AN47">
        <v>1</v>
      </c>
      <c r="AP47">
        <v>1</v>
      </c>
      <c r="AS47">
        <v>1</v>
      </c>
      <c r="AV47">
        <v>1</v>
      </c>
      <c r="AX47">
        <v>5</v>
      </c>
      <c r="AY47">
        <v>1</v>
      </c>
      <c r="BA47">
        <v>2</v>
      </c>
      <c r="BB47">
        <v>4</v>
      </c>
      <c r="BE47">
        <v>3</v>
      </c>
      <c r="BF47">
        <v>2</v>
      </c>
      <c r="BH47">
        <v>3</v>
      </c>
      <c r="BK47">
        <v>1</v>
      </c>
    </row>
    <row r="48" spans="1:66" x14ac:dyDescent="0.35">
      <c r="A48" t="s">
        <v>377</v>
      </c>
    </row>
    <row r="49" spans="1:66" x14ac:dyDescent="0.35">
      <c r="A49" t="s">
        <v>3</v>
      </c>
      <c r="F49">
        <v>3</v>
      </c>
      <c r="L49">
        <v>1</v>
      </c>
      <c r="S49">
        <v>3</v>
      </c>
      <c r="AH49">
        <v>1</v>
      </c>
    </row>
    <row r="50" spans="1:66" hidden="1" x14ac:dyDescent="0.35">
      <c r="A50" t="s">
        <v>350</v>
      </c>
    </row>
    <row r="51" spans="1:66" x14ac:dyDescent="0.35">
      <c r="A51" t="s">
        <v>56</v>
      </c>
      <c r="C51">
        <v>3</v>
      </c>
      <c r="E51">
        <v>2</v>
      </c>
      <c r="F51">
        <v>1</v>
      </c>
      <c r="G51">
        <v>2</v>
      </c>
      <c r="I51">
        <v>1</v>
      </c>
      <c r="J51">
        <v>1</v>
      </c>
      <c r="K51">
        <v>1</v>
      </c>
      <c r="L51">
        <v>1</v>
      </c>
      <c r="M51">
        <v>1</v>
      </c>
      <c r="P51">
        <v>1</v>
      </c>
      <c r="R51">
        <v>1</v>
      </c>
      <c r="S51">
        <v>4</v>
      </c>
      <c r="T51">
        <v>1</v>
      </c>
      <c r="V51">
        <v>1</v>
      </c>
      <c r="W51">
        <v>2</v>
      </c>
      <c r="Z51">
        <v>2</v>
      </c>
      <c r="AA51">
        <v>1</v>
      </c>
      <c r="AB51">
        <v>4</v>
      </c>
      <c r="AC51">
        <v>1</v>
      </c>
      <c r="AD51">
        <v>1</v>
      </c>
      <c r="AX51">
        <v>1</v>
      </c>
      <c r="AY51">
        <v>1</v>
      </c>
      <c r="AZ51">
        <v>2</v>
      </c>
      <c r="BD51">
        <v>1</v>
      </c>
      <c r="BF51">
        <v>1</v>
      </c>
      <c r="BH51">
        <v>1</v>
      </c>
      <c r="BI51">
        <v>1</v>
      </c>
      <c r="BJ51">
        <v>2</v>
      </c>
      <c r="BK51">
        <v>1</v>
      </c>
      <c r="BL51">
        <v>2</v>
      </c>
      <c r="BM51">
        <v>2</v>
      </c>
      <c r="BN51">
        <v>2</v>
      </c>
    </row>
    <row r="52" spans="1:66" x14ac:dyDescent="0.35">
      <c r="A52" t="s">
        <v>369</v>
      </c>
      <c r="AN52">
        <v>3</v>
      </c>
    </row>
    <row r="53" spans="1:66" x14ac:dyDescent="0.35">
      <c r="A53" t="s">
        <v>388</v>
      </c>
      <c r="BN53">
        <v>3</v>
      </c>
    </row>
    <row r="54" spans="1:66" x14ac:dyDescent="0.35">
      <c r="A54" t="s">
        <v>60</v>
      </c>
      <c r="B54">
        <v>2</v>
      </c>
      <c r="BF54">
        <v>1</v>
      </c>
    </row>
    <row r="55" spans="1:66" x14ac:dyDescent="0.35">
      <c r="A55" t="s">
        <v>340</v>
      </c>
      <c r="Q55">
        <v>1</v>
      </c>
      <c r="U55">
        <v>1</v>
      </c>
      <c r="W55">
        <v>1</v>
      </c>
      <c r="X55">
        <v>3</v>
      </c>
      <c r="Y55">
        <v>1</v>
      </c>
      <c r="Z55">
        <v>1</v>
      </c>
    </row>
    <row r="56" spans="1:66" x14ac:dyDescent="0.35">
      <c r="A56" t="s">
        <v>339</v>
      </c>
    </row>
    <row r="57" spans="1:66" x14ac:dyDescent="0.35">
      <c r="A57" t="s">
        <v>11</v>
      </c>
    </row>
    <row r="58" spans="1:66" x14ac:dyDescent="0.35">
      <c r="A58" t="s">
        <v>55</v>
      </c>
      <c r="B58">
        <v>2</v>
      </c>
      <c r="C58">
        <v>1</v>
      </c>
      <c r="D58">
        <v>1</v>
      </c>
      <c r="E58">
        <v>1</v>
      </c>
      <c r="F58">
        <v>3</v>
      </c>
      <c r="G58">
        <v>2</v>
      </c>
      <c r="H58">
        <v>3</v>
      </c>
      <c r="J58">
        <v>1</v>
      </c>
      <c r="K58">
        <v>1</v>
      </c>
      <c r="M58">
        <v>3</v>
      </c>
      <c r="N58">
        <v>4</v>
      </c>
      <c r="X58">
        <v>6</v>
      </c>
      <c r="Y58">
        <v>5</v>
      </c>
      <c r="Z58">
        <v>1</v>
      </c>
      <c r="AD58">
        <v>2</v>
      </c>
      <c r="AG58">
        <v>3</v>
      </c>
      <c r="AJ58">
        <v>2</v>
      </c>
      <c r="AM58">
        <v>2</v>
      </c>
      <c r="AO58">
        <v>3</v>
      </c>
      <c r="AQ58">
        <v>2</v>
      </c>
      <c r="AT58">
        <v>1</v>
      </c>
      <c r="AU58">
        <v>4</v>
      </c>
      <c r="AV58">
        <v>2</v>
      </c>
      <c r="AX58">
        <v>1</v>
      </c>
      <c r="AY58">
        <v>2</v>
      </c>
      <c r="AZ58">
        <v>1</v>
      </c>
      <c r="BA58">
        <v>4</v>
      </c>
      <c r="BB58">
        <v>2</v>
      </c>
      <c r="BH58">
        <v>1</v>
      </c>
    </row>
    <row r="59" spans="1:66" x14ac:dyDescent="0.35">
      <c r="A59" t="s">
        <v>21</v>
      </c>
    </row>
    <row r="60" spans="1:66" x14ac:dyDescent="0.35">
      <c r="A60" t="s">
        <v>81</v>
      </c>
      <c r="G60">
        <v>3</v>
      </c>
      <c r="K60">
        <v>1</v>
      </c>
      <c r="BG60">
        <v>2</v>
      </c>
      <c r="BN60">
        <v>4</v>
      </c>
    </row>
    <row r="61" spans="1:66" x14ac:dyDescent="0.35">
      <c r="A61" t="s">
        <v>63</v>
      </c>
      <c r="B61">
        <v>2</v>
      </c>
      <c r="D61">
        <v>1</v>
      </c>
      <c r="AF61">
        <v>2</v>
      </c>
      <c r="AQ61">
        <v>3</v>
      </c>
      <c r="BF61">
        <v>1</v>
      </c>
      <c r="BM61">
        <v>1</v>
      </c>
    </row>
    <row r="62" spans="1:66" hidden="1" x14ac:dyDescent="0.35">
      <c r="A62" t="s">
        <v>83</v>
      </c>
    </row>
    <row r="63" spans="1:66" x14ac:dyDescent="0.35">
      <c r="A63" t="s">
        <v>22</v>
      </c>
      <c r="Y63">
        <v>1</v>
      </c>
      <c r="AB63">
        <v>2</v>
      </c>
      <c r="AD63">
        <v>3</v>
      </c>
      <c r="AI63">
        <v>1</v>
      </c>
      <c r="AR63">
        <v>4</v>
      </c>
      <c r="AV63">
        <v>3</v>
      </c>
      <c r="BA63">
        <v>2</v>
      </c>
      <c r="BB63">
        <v>5</v>
      </c>
      <c r="BE63">
        <v>6</v>
      </c>
    </row>
    <row r="64" spans="1:66" x14ac:dyDescent="0.35">
      <c r="A64" t="s">
        <v>376</v>
      </c>
      <c r="AU64">
        <v>1</v>
      </c>
      <c r="AV64">
        <v>1</v>
      </c>
      <c r="AW64">
        <v>3</v>
      </c>
      <c r="AX64">
        <v>1</v>
      </c>
      <c r="AZ64">
        <v>1</v>
      </c>
      <c r="BC64">
        <v>2</v>
      </c>
    </row>
    <row r="65" spans="1:66" x14ac:dyDescent="0.35">
      <c r="A65" t="s">
        <v>44</v>
      </c>
      <c r="N65">
        <v>3</v>
      </c>
      <c r="S65">
        <v>2</v>
      </c>
      <c r="AG65">
        <v>2</v>
      </c>
      <c r="AI65">
        <v>1</v>
      </c>
      <c r="AP65">
        <v>2</v>
      </c>
      <c r="AQ65">
        <v>1</v>
      </c>
      <c r="AR65">
        <v>3</v>
      </c>
      <c r="AW65">
        <v>1</v>
      </c>
      <c r="BA65">
        <v>1</v>
      </c>
      <c r="BE65">
        <v>1</v>
      </c>
      <c r="BI65">
        <v>2</v>
      </c>
      <c r="BL65">
        <v>2</v>
      </c>
      <c r="BN65">
        <v>2</v>
      </c>
    </row>
    <row r="66" spans="1:66" x14ac:dyDescent="0.35">
      <c r="A66" t="s">
        <v>379</v>
      </c>
      <c r="BF66">
        <v>1</v>
      </c>
      <c r="BG66">
        <v>1</v>
      </c>
    </row>
    <row r="67" spans="1:66" x14ac:dyDescent="0.35">
      <c r="A67" t="s">
        <v>8</v>
      </c>
      <c r="B67">
        <v>1</v>
      </c>
      <c r="H67">
        <v>1</v>
      </c>
      <c r="J67">
        <v>2</v>
      </c>
      <c r="Q67">
        <v>2</v>
      </c>
    </row>
    <row r="68" spans="1:66" hidden="1" x14ac:dyDescent="0.35">
      <c r="A68" t="s">
        <v>354</v>
      </c>
    </row>
    <row r="69" spans="1:66" x14ac:dyDescent="0.35">
      <c r="A69" t="s">
        <v>82</v>
      </c>
      <c r="B69">
        <v>2</v>
      </c>
      <c r="C69">
        <v>2</v>
      </c>
      <c r="D69">
        <v>1</v>
      </c>
      <c r="E69">
        <v>2</v>
      </c>
      <c r="F69">
        <v>1</v>
      </c>
      <c r="G69">
        <v>2</v>
      </c>
      <c r="H69">
        <v>2</v>
      </c>
      <c r="I69">
        <v>3</v>
      </c>
      <c r="J69">
        <v>4</v>
      </c>
      <c r="L69">
        <v>4</v>
      </c>
      <c r="M69">
        <v>1</v>
      </c>
      <c r="N69">
        <v>2</v>
      </c>
      <c r="O69">
        <v>1</v>
      </c>
      <c r="P69">
        <v>1</v>
      </c>
      <c r="Q69">
        <v>1</v>
      </c>
      <c r="R69">
        <v>3</v>
      </c>
      <c r="S69">
        <v>3</v>
      </c>
      <c r="U69">
        <v>3</v>
      </c>
      <c r="V69">
        <v>1</v>
      </c>
      <c r="W69">
        <v>3</v>
      </c>
      <c r="AC69">
        <v>1</v>
      </c>
      <c r="AF69">
        <v>1</v>
      </c>
      <c r="AH69">
        <v>2</v>
      </c>
      <c r="AI69">
        <v>3</v>
      </c>
      <c r="AJ69">
        <v>1</v>
      </c>
      <c r="AK69">
        <v>4</v>
      </c>
      <c r="AL69">
        <v>3</v>
      </c>
      <c r="AN69">
        <v>1</v>
      </c>
      <c r="AP69">
        <v>2</v>
      </c>
      <c r="AT69">
        <v>2</v>
      </c>
      <c r="AU69">
        <v>3</v>
      </c>
      <c r="AV69">
        <v>1</v>
      </c>
      <c r="AW69">
        <v>1</v>
      </c>
      <c r="AX69">
        <v>1</v>
      </c>
      <c r="AY69">
        <v>1</v>
      </c>
      <c r="AZ69">
        <v>2</v>
      </c>
      <c r="BC69">
        <v>2</v>
      </c>
      <c r="BD69">
        <v>1</v>
      </c>
      <c r="BF69">
        <v>2</v>
      </c>
      <c r="BH69">
        <v>3</v>
      </c>
      <c r="BI69">
        <v>1</v>
      </c>
      <c r="BJ69">
        <v>2</v>
      </c>
      <c r="BK69">
        <v>3</v>
      </c>
      <c r="BM69">
        <v>2</v>
      </c>
      <c r="BN69">
        <v>3</v>
      </c>
    </row>
    <row r="70" spans="1:66" x14ac:dyDescent="0.35">
      <c r="A70" t="s">
        <v>49</v>
      </c>
      <c r="G70">
        <v>2</v>
      </c>
    </row>
    <row r="71" spans="1:66" x14ac:dyDescent="0.35">
      <c r="A71" t="s">
        <v>385</v>
      </c>
    </row>
    <row r="72" spans="1:66" x14ac:dyDescent="0.35">
      <c r="A72" t="s">
        <v>85</v>
      </c>
      <c r="K72">
        <v>4</v>
      </c>
      <c r="L72">
        <v>2</v>
      </c>
      <c r="M72">
        <v>5</v>
      </c>
    </row>
    <row r="73" spans="1:66" x14ac:dyDescent="0.35">
      <c r="A73" t="s">
        <v>5</v>
      </c>
      <c r="B73">
        <v>1</v>
      </c>
      <c r="C73">
        <v>2</v>
      </c>
      <c r="D73">
        <v>2</v>
      </c>
      <c r="E73">
        <v>3</v>
      </c>
      <c r="F73">
        <v>2</v>
      </c>
      <c r="G73">
        <v>3</v>
      </c>
      <c r="H73">
        <v>1</v>
      </c>
      <c r="M73">
        <v>4</v>
      </c>
      <c r="N73">
        <v>6</v>
      </c>
      <c r="P73">
        <v>2</v>
      </c>
      <c r="Q73">
        <v>1</v>
      </c>
      <c r="R73">
        <v>2</v>
      </c>
      <c r="S73">
        <v>3</v>
      </c>
      <c r="V73">
        <v>2</v>
      </c>
      <c r="W73">
        <v>1</v>
      </c>
      <c r="X73">
        <v>1</v>
      </c>
      <c r="Y73">
        <v>4</v>
      </c>
      <c r="Z73">
        <v>5</v>
      </c>
      <c r="AA73">
        <v>1</v>
      </c>
      <c r="AB73">
        <v>3</v>
      </c>
      <c r="AC73">
        <v>4</v>
      </c>
      <c r="AD73">
        <v>3</v>
      </c>
      <c r="AE73">
        <v>3</v>
      </c>
      <c r="AF73">
        <v>2</v>
      </c>
      <c r="AG73">
        <v>5</v>
      </c>
      <c r="AH73">
        <v>7</v>
      </c>
      <c r="AI73">
        <v>3</v>
      </c>
      <c r="AJ73">
        <v>1</v>
      </c>
      <c r="AK73">
        <v>1</v>
      </c>
      <c r="AL73">
        <v>6</v>
      </c>
      <c r="AR73">
        <v>3</v>
      </c>
      <c r="AS73">
        <v>2</v>
      </c>
      <c r="AV73">
        <v>2</v>
      </c>
      <c r="AW73">
        <v>1</v>
      </c>
      <c r="AX73">
        <v>4</v>
      </c>
      <c r="AY73">
        <v>3</v>
      </c>
      <c r="AZ73">
        <v>4</v>
      </c>
      <c r="BA73">
        <v>5</v>
      </c>
      <c r="BB73">
        <v>6</v>
      </c>
      <c r="BC73">
        <v>2</v>
      </c>
      <c r="BD73">
        <v>2</v>
      </c>
      <c r="BE73">
        <v>7</v>
      </c>
      <c r="BG73">
        <v>4</v>
      </c>
      <c r="BH73">
        <v>3</v>
      </c>
      <c r="BI73">
        <v>4</v>
      </c>
      <c r="BK73">
        <v>1</v>
      </c>
      <c r="BL73">
        <v>8</v>
      </c>
      <c r="BM73">
        <v>4</v>
      </c>
      <c r="BN73">
        <v>5</v>
      </c>
    </row>
    <row r="74" spans="1:66" x14ac:dyDescent="0.35">
      <c r="A74" t="s">
        <v>45</v>
      </c>
      <c r="K74">
        <v>1</v>
      </c>
      <c r="BJ74">
        <v>1</v>
      </c>
    </row>
    <row r="75" spans="1:66" x14ac:dyDescent="0.35">
      <c r="A75" t="s">
        <v>367</v>
      </c>
      <c r="B75">
        <v>1</v>
      </c>
      <c r="D75">
        <v>1</v>
      </c>
      <c r="E75">
        <v>3</v>
      </c>
      <c r="O75">
        <v>2</v>
      </c>
      <c r="P75">
        <v>2</v>
      </c>
      <c r="Q75">
        <v>1</v>
      </c>
      <c r="R75">
        <v>1</v>
      </c>
      <c r="AD75">
        <v>1</v>
      </c>
      <c r="AE75">
        <v>1</v>
      </c>
      <c r="AG75">
        <v>1</v>
      </c>
      <c r="AH75">
        <v>2</v>
      </c>
      <c r="AL75">
        <v>3</v>
      </c>
      <c r="AM75">
        <v>2</v>
      </c>
      <c r="AN75">
        <v>1</v>
      </c>
      <c r="AO75">
        <v>1</v>
      </c>
      <c r="AR75">
        <v>1</v>
      </c>
      <c r="AS75">
        <v>1</v>
      </c>
      <c r="AT75">
        <v>1</v>
      </c>
      <c r="AV75">
        <v>1</v>
      </c>
      <c r="AW75">
        <v>2</v>
      </c>
      <c r="BD75">
        <v>1</v>
      </c>
      <c r="BF75">
        <v>1</v>
      </c>
      <c r="BI75">
        <v>1</v>
      </c>
    </row>
    <row r="76" spans="1:66" hidden="1" x14ac:dyDescent="0.35">
      <c r="A76" t="s">
        <v>352</v>
      </c>
      <c r="Z76">
        <v>1</v>
      </c>
    </row>
    <row r="77" spans="1:66" hidden="1" x14ac:dyDescent="0.35">
      <c r="A77" t="s">
        <v>366</v>
      </c>
    </row>
    <row r="78" spans="1:66" x14ac:dyDescent="0.35">
      <c r="A78" t="s">
        <v>17</v>
      </c>
      <c r="F78">
        <v>2</v>
      </c>
      <c r="J78">
        <v>1</v>
      </c>
      <c r="K78">
        <v>1</v>
      </c>
    </row>
    <row r="79" spans="1:66" hidden="1" x14ac:dyDescent="0.35">
      <c r="A79" t="s">
        <v>86</v>
      </c>
      <c r="K79">
        <v>5</v>
      </c>
    </row>
    <row r="80" spans="1:66" x14ac:dyDescent="0.35">
      <c r="A80" t="s">
        <v>16</v>
      </c>
      <c r="C80">
        <v>4</v>
      </c>
      <c r="D80">
        <v>3</v>
      </c>
      <c r="F80">
        <v>2</v>
      </c>
      <c r="G80">
        <v>5</v>
      </c>
      <c r="H80">
        <v>3</v>
      </c>
      <c r="I80">
        <v>2</v>
      </c>
      <c r="J80">
        <v>5</v>
      </c>
      <c r="K80">
        <v>3</v>
      </c>
      <c r="L80">
        <v>2</v>
      </c>
      <c r="M80">
        <v>3</v>
      </c>
      <c r="O80">
        <v>5</v>
      </c>
      <c r="P80">
        <v>5</v>
      </c>
      <c r="Q80">
        <v>3</v>
      </c>
      <c r="R80">
        <v>2</v>
      </c>
      <c r="S80">
        <v>3</v>
      </c>
      <c r="T80">
        <v>1</v>
      </c>
      <c r="U80">
        <v>1</v>
      </c>
      <c r="V80">
        <v>3</v>
      </c>
      <c r="W80">
        <v>3</v>
      </c>
      <c r="X80">
        <v>5</v>
      </c>
      <c r="Y80">
        <v>4</v>
      </c>
      <c r="Z80">
        <v>1</v>
      </c>
      <c r="AA80">
        <v>3</v>
      </c>
      <c r="AC80">
        <v>1</v>
      </c>
      <c r="AE80">
        <v>4</v>
      </c>
      <c r="AF80">
        <v>2</v>
      </c>
      <c r="AG80">
        <v>3</v>
      </c>
      <c r="AH80">
        <v>2</v>
      </c>
      <c r="AI80">
        <v>2</v>
      </c>
      <c r="AJ80">
        <v>7</v>
      </c>
      <c r="AK80">
        <v>3</v>
      </c>
      <c r="AL80">
        <v>5</v>
      </c>
      <c r="AM80">
        <v>1</v>
      </c>
      <c r="AN80">
        <v>4</v>
      </c>
      <c r="AO80">
        <v>3</v>
      </c>
      <c r="AP80">
        <v>6</v>
      </c>
      <c r="AQ80">
        <v>4</v>
      </c>
      <c r="AR80">
        <v>5</v>
      </c>
      <c r="AS80">
        <v>3</v>
      </c>
      <c r="AT80">
        <v>2</v>
      </c>
      <c r="AU80">
        <v>2</v>
      </c>
      <c r="AW80">
        <v>3</v>
      </c>
      <c r="AY80">
        <v>1</v>
      </c>
      <c r="AZ80">
        <v>3</v>
      </c>
      <c r="BB80">
        <v>4</v>
      </c>
      <c r="BC80">
        <v>4</v>
      </c>
      <c r="BD80">
        <v>3</v>
      </c>
      <c r="BF80">
        <v>2</v>
      </c>
      <c r="BG80">
        <v>4</v>
      </c>
      <c r="BH80">
        <v>5</v>
      </c>
      <c r="BJ80">
        <v>4</v>
      </c>
      <c r="BK80">
        <v>2</v>
      </c>
      <c r="BL80">
        <v>4</v>
      </c>
      <c r="BM80">
        <v>1</v>
      </c>
      <c r="BN80">
        <v>2</v>
      </c>
    </row>
    <row r="81" spans="1:1" hidden="1" x14ac:dyDescent="0.35">
      <c r="A81" t="s">
        <v>47</v>
      </c>
    </row>
  </sheetData>
  <autoFilter ref="A1:AB81" xr:uid="{130C2564-D265-4C41-A3E0-02A62EDAC91D}">
    <sortState ref="A2:AB81">
      <sortCondition ref="A1:A81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B22D2-FF6F-4C3C-9852-D41E078C625C}">
  <dimension ref="A1:C187"/>
  <sheetViews>
    <sheetView topLeftCell="A7" workbookViewId="0">
      <selection activeCell="B170" sqref="B170"/>
    </sheetView>
  </sheetViews>
  <sheetFormatPr defaultRowHeight="14.5" x14ac:dyDescent="0.35"/>
  <cols>
    <col min="2" max="2" width="32.36328125" bestFit="1" customWidth="1"/>
  </cols>
  <sheetData>
    <row r="1" spans="1:3" ht="15.5" x14ac:dyDescent="0.35">
      <c r="A1" s="25" t="s">
        <v>87</v>
      </c>
      <c r="B1" s="26" t="s">
        <v>88</v>
      </c>
      <c r="C1" s="27" t="s">
        <v>89</v>
      </c>
    </row>
    <row r="2" spans="1:3" x14ac:dyDescent="0.35">
      <c r="A2" s="28" t="s">
        <v>90</v>
      </c>
      <c r="B2" s="28" t="s">
        <v>91</v>
      </c>
      <c r="C2" s="29">
        <v>50</v>
      </c>
    </row>
    <row r="3" spans="1:3" x14ac:dyDescent="0.35">
      <c r="A3" s="28" t="s">
        <v>90</v>
      </c>
      <c r="B3" s="28" t="s">
        <v>92</v>
      </c>
      <c r="C3" s="29">
        <v>65</v>
      </c>
    </row>
    <row r="4" spans="1:3" x14ac:dyDescent="0.35">
      <c r="A4" s="28" t="s">
        <v>93</v>
      </c>
      <c r="B4" s="28" t="s">
        <v>94</v>
      </c>
      <c r="C4" s="29">
        <v>25.01</v>
      </c>
    </row>
    <row r="5" spans="1:3" x14ac:dyDescent="0.35">
      <c r="A5" s="28" t="s">
        <v>93</v>
      </c>
      <c r="B5" s="28" t="s">
        <v>95</v>
      </c>
      <c r="C5" s="29">
        <v>25</v>
      </c>
    </row>
    <row r="6" spans="1:3" x14ac:dyDescent="0.35">
      <c r="A6" s="28" t="s">
        <v>96</v>
      </c>
      <c r="B6" s="28" t="s">
        <v>97</v>
      </c>
      <c r="C6" s="29">
        <v>25</v>
      </c>
    </row>
    <row r="7" spans="1:3" x14ac:dyDescent="0.35">
      <c r="A7" s="28" t="s">
        <v>98</v>
      </c>
      <c r="B7" s="28" t="s">
        <v>99</v>
      </c>
      <c r="C7" s="29">
        <v>25</v>
      </c>
    </row>
    <row r="8" spans="1:3" x14ac:dyDescent="0.35">
      <c r="A8" s="28" t="s">
        <v>100</v>
      </c>
      <c r="B8" s="28" t="s">
        <v>101</v>
      </c>
      <c r="C8" s="29">
        <v>25</v>
      </c>
    </row>
    <row r="9" spans="1:3" x14ac:dyDescent="0.35">
      <c r="A9" s="28" t="s">
        <v>100</v>
      </c>
      <c r="B9" s="28" t="s">
        <v>102</v>
      </c>
      <c r="C9" s="29">
        <v>25</v>
      </c>
    </row>
    <row r="10" spans="1:3" x14ac:dyDescent="0.35">
      <c r="A10" s="28" t="s">
        <v>103</v>
      </c>
      <c r="B10" s="28" t="s">
        <v>104</v>
      </c>
      <c r="C10" s="29">
        <v>83.34</v>
      </c>
    </row>
    <row r="11" spans="1:3" x14ac:dyDescent="0.35">
      <c r="A11" s="28" t="s">
        <v>103</v>
      </c>
      <c r="B11" s="28" t="s">
        <v>105</v>
      </c>
      <c r="C11" s="29">
        <v>83.34</v>
      </c>
    </row>
    <row r="12" spans="1:3" x14ac:dyDescent="0.35">
      <c r="A12" s="28" t="s">
        <v>103</v>
      </c>
      <c r="B12" s="28" t="s">
        <v>106</v>
      </c>
      <c r="C12" s="29">
        <v>83.34</v>
      </c>
    </row>
    <row r="13" spans="1:3" x14ac:dyDescent="0.35">
      <c r="A13" s="28" t="s">
        <v>103</v>
      </c>
      <c r="B13" s="28" t="s">
        <v>107</v>
      </c>
      <c r="C13" s="29">
        <v>83.34</v>
      </c>
    </row>
    <row r="14" spans="1:3" x14ac:dyDescent="0.35">
      <c r="A14" s="28" t="s">
        <v>103</v>
      </c>
      <c r="B14" s="28" t="s">
        <v>108</v>
      </c>
      <c r="C14" s="29">
        <v>83.23</v>
      </c>
    </row>
    <row r="15" spans="1:3" x14ac:dyDescent="0.35">
      <c r="A15" s="28" t="s">
        <v>103</v>
      </c>
      <c r="B15" s="28" t="s">
        <v>109</v>
      </c>
      <c r="C15" s="29">
        <v>83.34</v>
      </c>
    </row>
    <row r="16" spans="1:3" x14ac:dyDescent="0.35">
      <c r="A16" s="28" t="s">
        <v>103</v>
      </c>
      <c r="B16" s="28" t="s">
        <v>110</v>
      </c>
      <c r="C16" s="29">
        <v>83.34</v>
      </c>
    </row>
    <row r="17" spans="1:3" x14ac:dyDescent="0.35">
      <c r="A17" s="28" t="s">
        <v>103</v>
      </c>
      <c r="B17" s="28" t="s">
        <v>111</v>
      </c>
      <c r="C17" s="29">
        <v>83.34</v>
      </c>
    </row>
    <row r="18" spans="1:3" x14ac:dyDescent="0.35">
      <c r="A18" s="28" t="s">
        <v>103</v>
      </c>
      <c r="B18" s="28" t="s">
        <v>109</v>
      </c>
      <c r="C18" s="29">
        <v>25</v>
      </c>
    </row>
    <row r="19" spans="1:3" x14ac:dyDescent="0.35">
      <c r="A19" s="28" t="s">
        <v>103</v>
      </c>
      <c r="B19" s="28" t="s">
        <v>112</v>
      </c>
      <c r="C19" s="29">
        <v>83.34</v>
      </c>
    </row>
    <row r="20" spans="1:3" x14ac:dyDescent="0.35">
      <c r="A20" s="28" t="s">
        <v>103</v>
      </c>
      <c r="B20" s="28" t="s">
        <v>113</v>
      </c>
      <c r="C20" s="29">
        <v>83.34</v>
      </c>
    </row>
    <row r="21" spans="1:3" x14ac:dyDescent="0.35">
      <c r="A21" s="28" t="s">
        <v>103</v>
      </c>
      <c r="B21" s="28" t="s">
        <v>114</v>
      </c>
      <c r="C21" s="29">
        <v>83.34</v>
      </c>
    </row>
    <row r="22" spans="1:3" x14ac:dyDescent="0.35">
      <c r="A22" s="28" t="s">
        <v>115</v>
      </c>
      <c r="B22" s="28" t="s">
        <v>116</v>
      </c>
      <c r="C22" s="29">
        <v>83.34</v>
      </c>
    </row>
    <row r="23" spans="1:3" x14ac:dyDescent="0.35">
      <c r="A23" s="28" t="s">
        <v>115</v>
      </c>
      <c r="B23" s="28" t="s">
        <v>117</v>
      </c>
      <c r="C23" s="29">
        <v>83.34</v>
      </c>
    </row>
    <row r="24" spans="1:3" x14ac:dyDescent="0.35">
      <c r="A24" s="28" t="s">
        <v>115</v>
      </c>
      <c r="B24" s="28" t="s">
        <v>118</v>
      </c>
      <c r="C24" s="29">
        <v>83.34</v>
      </c>
    </row>
    <row r="25" spans="1:3" x14ac:dyDescent="0.35">
      <c r="A25" s="28" t="s">
        <v>119</v>
      </c>
      <c r="B25" s="28" t="s">
        <v>120</v>
      </c>
      <c r="C25" s="29">
        <v>83</v>
      </c>
    </row>
    <row r="26" spans="1:3" x14ac:dyDescent="0.35">
      <c r="A26" s="28" t="s">
        <v>121</v>
      </c>
      <c r="B26" s="28" t="s">
        <v>122</v>
      </c>
      <c r="C26" s="29">
        <v>25</v>
      </c>
    </row>
    <row r="27" spans="1:3" x14ac:dyDescent="0.35">
      <c r="A27" s="28" t="s">
        <v>121</v>
      </c>
      <c r="B27" s="28" t="s">
        <v>123</v>
      </c>
      <c r="C27" s="29">
        <v>75</v>
      </c>
    </row>
    <row r="28" spans="1:3" x14ac:dyDescent="0.35">
      <c r="A28" s="28" t="s">
        <v>124</v>
      </c>
      <c r="B28" s="28" t="s">
        <v>125</v>
      </c>
      <c r="C28" s="29">
        <v>50</v>
      </c>
    </row>
    <row r="29" spans="1:3" x14ac:dyDescent="0.35">
      <c r="A29" s="28" t="s">
        <v>126</v>
      </c>
      <c r="B29" s="28" t="s">
        <v>127</v>
      </c>
      <c r="C29" s="29">
        <v>25</v>
      </c>
    </row>
    <row r="30" spans="1:3" x14ac:dyDescent="0.35">
      <c r="A30" s="28" t="s">
        <v>128</v>
      </c>
      <c r="B30" s="28" t="s">
        <v>129</v>
      </c>
      <c r="C30" s="29">
        <v>25</v>
      </c>
    </row>
    <row r="31" spans="1:3" x14ac:dyDescent="0.35">
      <c r="A31" s="28" t="s">
        <v>130</v>
      </c>
      <c r="B31" s="28" t="s">
        <v>131</v>
      </c>
      <c r="C31" s="29">
        <v>25</v>
      </c>
    </row>
    <row r="32" spans="1:3" x14ac:dyDescent="0.35">
      <c r="A32" s="28" t="s">
        <v>132</v>
      </c>
      <c r="B32" s="28" t="s">
        <v>133</v>
      </c>
      <c r="C32" s="29">
        <v>50</v>
      </c>
    </row>
    <row r="33" spans="1:3" x14ac:dyDescent="0.35">
      <c r="A33" s="28" t="s">
        <v>134</v>
      </c>
      <c r="B33" s="28" t="s">
        <v>135</v>
      </c>
      <c r="C33" s="29">
        <v>100</v>
      </c>
    </row>
    <row r="34" spans="1:3" x14ac:dyDescent="0.35">
      <c r="A34" s="28" t="s">
        <v>136</v>
      </c>
      <c r="B34" s="28" t="s">
        <v>137</v>
      </c>
      <c r="C34" s="29">
        <v>25</v>
      </c>
    </row>
    <row r="35" spans="1:3" x14ac:dyDescent="0.35">
      <c r="A35" s="28" t="s">
        <v>138</v>
      </c>
      <c r="B35" s="28" t="s">
        <v>139</v>
      </c>
      <c r="C35" s="29">
        <v>25</v>
      </c>
    </row>
    <row r="36" spans="1:3" x14ac:dyDescent="0.35">
      <c r="A36" s="28" t="s">
        <v>140</v>
      </c>
      <c r="B36" s="28" t="s">
        <v>141</v>
      </c>
      <c r="C36" s="29">
        <v>25</v>
      </c>
    </row>
    <row r="37" spans="1:3" x14ac:dyDescent="0.35">
      <c r="A37" s="28" t="s">
        <v>142</v>
      </c>
      <c r="B37" s="28" t="s">
        <v>143</v>
      </c>
      <c r="C37" s="29">
        <v>141.68</v>
      </c>
    </row>
    <row r="38" spans="1:3" x14ac:dyDescent="0.35">
      <c r="A38" s="28" t="s">
        <v>142</v>
      </c>
      <c r="B38" s="28" t="s">
        <v>144</v>
      </c>
      <c r="C38" s="29">
        <v>70.84</v>
      </c>
    </row>
    <row r="39" spans="1:3" x14ac:dyDescent="0.35">
      <c r="A39" s="28" t="s">
        <v>142</v>
      </c>
      <c r="B39" s="28" t="s">
        <v>145</v>
      </c>
      <c r="C39" s="29">
        <v>70.84</v>
      </c>
    </row>
    <row r="40" spans="1:3" x14ac:dyDescent="0.35">
      <c r="A40" s="28" t="s">
        <v>142</v>
      </c>
      <c r="B40" s="28" t="s">
        <v>145</v>
      </c>
      <c r="C40" s="29">
        <v>25</v>
      </c>
    </row>
    <row r="41" spans="1:3" x14ac:dyDescent="0.35">
      <c r="A41" s="28" t="s">
        <v>142</v>
      </c>
      <c r="B41" s="28" t="s">
        <v>146</v>
      </c>
      <c r="C41" s="29">
        <v>70.84</v>
      </c>
    </row>
    <row r="42" spans="1:3" x14ac:dyDescent="0.35">
      <c r="A42" s="28" t="s">
        <v>142</v>
      </c>
      <c r="B42" s="28" t="s">
        <v>147</v>
      </c>
      <c r="C42" s="29">
        <v>154.16999999999999</v>
      </c>
    </row>
    <row r="43" spans="1:3" x14ac:dyDescent="0.35">
      <c r="A43" s="28" t="s">
        <v>142</v>
      </c>
      <c r="B43" s="28" t="s">
        <v>148</v>
      </c>
      <c r="C43" s="29">
        <v>25</v>
      </c>
    </row>
    <row r="44" spans="1:3" x14ac:dyDescent="0.35">
      <c r="A44" s="28" t="s">
        <v>142</v>
      </c>
      <c r="B44" s="28" t="s">
        <v>149</v>
      </c>
      <c r="C44" s="29">
        <v>70.84</v>
      </c>
    </row>
    <row r="45" spans="1:3" x14ac:dyDescent="0.35">
      <c r="A45" s="28" t="s">
        <v>142</v>
      </c>
      <c r="B45" s="28" t="s">
        <v>150</v>
      </c>
      <c r="C45" s="29">
        <v>25</v>
      </c>
    </row>
    <row r="46" spans="1:3" x14ac:dyDescent="0.35">
      <c r="A46" s="28" t="s">
        <v>142</v>
      </c>
      <c r="B46" s="28" t="s">
        <v>151</v>
      </c>
      <c r="C46" s="29">
        <v>70.84</v>
      </c>
    </row>
    <row r="47" spans="1:3" x14ac:dyDescent="0.35">
      <c r="A47" s="28" t="s">
        <v>142</v>
      </c>
      <c r="B47" s="28" t="s">
        <v>152</v>
      </c>
      <c r="C47" s="29">
        <v>75</v>
      </c>
    </row>
    <row r="48" spans="1:3" x14ac:dyDescent="0.35">
      <c r="A48" s="28" t="s">
        <v>153</v>
      </c>
      <c r="B48" s="28" t="s">
        <v>154</v>
      </c>
      <c r="C48" s="29">
        <v>500</v>
      </c>
    </row>
    <row r="49" spans="1:3" x14ac:dyDescent="0.35">
      <c r="A49" s="28" t="s">
        <v>153</v>
      </c>
      <c r="B49" s="28" t="s">
        <v>155</v>
      </c>
      <c r="C49" s="29">
        <v>25</v>
      </c>
    </row>
    <row r="50" spans="1:3" x14ac:dyDescent="0.35">
      <c r="A50" s="28" t="s">
        <v>156</v>
      </c>
      <c r="B50" s="28" t="s">
        <v>157</v>
      </c>
      <c r="C50" s="29">
        <v>12.49</v>
      </c>
    </row>
    <row r="51" spans="1:3" x14ac:dyDescent="0.35">
      <c r="A51" s="28" t="s">
        <v>156</v>
      </c>
      <c r="B51" s="28" t="s">
        <v>158</v>
      </c>
      <c r="C51" s="29">
        <v>70.84</v>
      </c>
    </row>
    <row r="52" spans="1:3" x14ac:dyDescent="0.35">
      <c r="A52" s="28" t="s">
        <v>156</v>
      </c>
      <c r="B52" s="28" t="s">
        <v>159</v>
      </c>
      <c r="C52" s="29">
        <v>70.84</v>
      </c>
    </row>
    <row r="53" spans="1:3" x14ac:dyDescent="0.35">
      <c r="A53" s="28" t="s">
        <v>156</v>
      </c>
      <c r="B53" s="28" t="s">
        <v>160</v>
      </c>
      <c r="C53" s="29">
        <v>70.84</v>
      </c>
    </row>
    <row r="54" spans="1:3" x14ac:dyDescent="0.35">
      <c r="A54" s="28" t="s">
        <v>161</v>
      </c>
      <c r="B54" s="28" t="s">
        <v>162</v>
      </c>
      <c r="C54" s="29">
        <v>75</v>
      </c>
    </row>
    <row r="55" spans="1:3" x14ac:dyDescent="0.35">
      <c r="A55" s="28" t="s">
        <v>161</v>
      </c>
      <c r="B55" s="28" t="s">
        <v>163</v>
      </c>
      <c r="C55" s="29">
        <v>70.84</v>
      </c>
    </row>
    <row r="56" spans="1:3" x14ac:dyDescent="0.35">
      <c r="A56" s="28" t="s">
        <v>161</v>
      </c>
      <c r="B56" s="28" t="s">
        <v>164</v>
      </c>
      <c r="C56" s="29">
        <v>70.84</v>
      </c>
    </row>
    <row r="57" spans="1:3" x14ac:dyDescent="0.35">
      <c r="A57" s="28" t="s">
        <v>165</v>
      </c>
      <c r="B57" s="28" t="s">
        <v>166</v>
      </c>
      <c r="C57" s="29">
        <v>25</v>
      </c>
    </row>
    <row r="58" spans="1:3" x14ac:dyDescent="0.35">
      <c r="A58" s="28" t="s">
        <v>165</v>
      </c>
      <c r="B58" s="28" t="s">
        <v>167</v>
      </c>
      <c r="C58" s="29">
        <v>25</v>
      </c>
    </row>
    <row r="59" spans="1:3" x14ac:dyDescent="0.35">
      <c r="A59" s="28" t="s">
        <v>168</v>
      </c>
      <c r="B59" s="28" t="s">
        <v>169</v>
      </c>
      <c r="C59" s="29">
        <v>70.84</v>
      </c>
    </row>
    <row r="60" spans="1:3" x14ac:dyDescent="0.35">
      <c r="A60" s="28" t="s">
        <v>168</v>
      </c>
      <c r="B60" s="28" t="s">
        <v>170</v>
      </c>
      <c r="C60" s="29">
        <v>70.84</v>
      </c>
    </row>
    <row r="61" spans="1:3" x14ac:dyDescent="0.35">
      <c r="A61" s="28" t="s">
        <v>171</v>
      </c>
      <c r="B61" s="28" t="s">
        <v>172</v>
      </c>
      <c r="C61" s="29">
        <v>25</v>
      </c>
    </row>
    <row r="62" spans="1:3" x14ac:dyDescent="0.35">
      <c r="A62" s="28" t="s">
        <v>173</v>
      </c>
      <c r="B62" s="28" t="s">
        <v>174</v>
      </c>
      <c r="C62" s="29">
        <v>50</v>
      </c>
    </row>
    <row r="63" spans="1:3" x14ac:dyDescent="0.35">
      <c r="A63" s="28" t="s">
        <v>173</v>
      </c>
      <c r="B63" s="28" t="s">
        <v>175</v>
      </c>
      <c r="C63" s="29">
        <v>25</v>
      </c>
    </row>
    <row r="64" spans="1:3" x14ac:dyDescent="0.35">
      <c r="A64" s="28" t="s">
        <v>176</v>
      </c>
      <c r="B64" s="28" t="s">
        <v>177</v>
      </c>
      <c r="C64" s="29">
        <v>70.84</v>
      </c>
    </row>
    <row r="65" spans="1:3" x14ac:dyDescent="0.35">
      <c r="A65" s="28" t="s">
        <v>176</v>
      </c>
      <c r="B65" s="28" t="s">
        <v>178</v>
      </c>
      <c r="C65" s="29">
        <v>70.84</v>
      </c>
    </row>
    <row r="66" spans="1:3" x14ac:dyDescent="0.35">
      <c r="A66" s="28" t="s">
        <v>176</v>
      </c>
      <c r="B66" s="28" t="s">
        <v>179</v>
      </c>
      <c r="C66" s="29">
        <v>70.84</v>
      </c>
    </row>
    <row r="67" spans="1:3" x14ac:dyDescent="0.35">
      <c r="A67" s="28" t="s">
        <v>176</v>
      </c>
      <c r="B67" s="28" t="s">
        <v>180</v>
      </c>
      <c r="C67" s="29">
        <v>10</v>
      </c>
    </row>
    <row r="68" spans="1:3" x14ac:dyDescent="0.35">
      <c r="A68" s="28" t="s">
        <v>181</v>
      </c>
      <c r="B68" s="28" t="s">
        <v>182</v>
      </c>
      <c r="C68" s="29">
        <v>50</v>
      </c>
    </row>
    <row r="69" spans="1:3" x14ac:dyDescent="0.35">
      <c r="A69" s="28" t="s">
        <v>181</v>
      </c>
      <c r="B69" s="28" t="s">
        <v>183</v>
      </c>
      <c r="C69" s="29">
        <v>25</v>
      </c>
    </row>
    <row r="70" spans="1:3" x14ac:dyDescent="0.35">
      <c r="A70" s="28" t="s">
        <v>184</v>
      </c>
      <c r="B70" s="28" t="s">
        <v>185</v>
      </c>
      <c r="C70" s="29">
        <v>70.84</v>
      </c>
    </row>
    <row r="71" spans="1:3" x14ac:dyDescent="0.35">
      <c r="A71" s="28" t="s">
        <v>184</v>
      </c>
      <c r="B71" s="28" t="s">
        <v>186</v>
      </c>
      <c r="C71" s="29">
        <v>70.84</v>
      </c>
    </row>
    <row r="72" spans="1:3" x14ac:dyDescent="0.35">
      <c r="A72" s="28" t="s">
        <v>184</v>
      </c>
      <c r="B72" s="28" t="s">
        <v>187</v>
      </c>
      <c r="C72" s="29">
        <v>70.84</v>
      </c>
    </row>
    <row r="73" spans="1:3" x14ac:dyDescent="0.35">
      <c r="A73" s="28" t="s">
        <v>184</v>
      </c>
      <c r="B73" s="28" t="s">
        <v>188</v>
      </c>
      <c r="C73" s="29">
        <v>70.84</v>
      </c>
    </row>
    <row r="74" spans="1:3" x14ac:dyDescent="0.35">
      <c r="A74" s="28" t="s">
        <v>184</v>
      </c>
      <c r="B74" s="28" t="s">
        <v>189</v>
      </c>
      <c r="C74" s="29">
        <v>70.84</v>
      </c>
    </row>
    <row r="75" spans="1:3" x14ac:dyDescent="0.35">
      <c r="A75" s="28" t="s">
        <v>184</v>
      </c>
      <c r="B75" s="28" t="s">
        <v>190</v>
      </c>
      <c r="C75" s="29">
        <v>25</v>
      </c>
    </row>
    <row r="76" spans="1:3" x14ac:dyDescent="0.35">
      <c r="A76" s="28" t="s">
        <v>184</v>
      </c>
      <c r="B76" s="28" t="s">
        <v>191</v>
      </c>
      <c r="C76" s="29">
        <v>70.84</v>
      </c>
    </row>
    <row r="77" spans="1:3" x14ac:dyDescent="0.35">
      <c r="A77" s="28" t="s">
        <v>184</v>
      </c>
      <c r="B77" s="28" t="s">
        <v>192</v>
      </c>
      <c r="C77" s="29">
        <v>70.84</v>
      </c>
    </row>
    <row r="78" spans="1:3" x14ac:dyDescent="0.35">
      <c r="A78" s="28" t="s">
        <v>184</v>
      </c>
      <c r="B78" s="28" t="s">
        <v>193</v>
      </c>
      <c r="C78" s="29">
        <v>70.84</v>
      </c>
    </row>
    <row r="79" spans="1:3" x14ac:dyDescent="0.35">
      <c r="A79" s="28" t="s">
        <v>184</v>
      </c>
      <c r="B79" s="28" t="s">
        <v>194</v>
      </c>
      <c r="C79" s="29">
        <v>70.84</v>
      </c>
    </row>
    <row r="80" spans="1:3" x14ac:dyDescent="0.35">
      <c r="A80" s="28" t="s">
        <v>184</v>
      </c>
      <c r="B80" s="28" t="s">
        <v>195</v>
      </c>
      <c r="C80" s="29">
        <v>70.84</v>
      </c>
    </row>
    <row r="81" spans="1:3" x14ac:dyDescent="0.35">
      <c r="A81" s="28" t="s">
        <v>196</v>
      </c>
      <c r="B81" s="28" t="s">
        <v>197</v>
      </c>
      <c r="C81" s="29">
        <v>70.84</v>
      </c>
    </row>
    <row r="82" spans="1:3" x14ac:dyDescent="0.35">
      <c r="A82" s="28" t="s">
        <v>196</v>
      </c>
      <c r="B82" s="28" t="s">
        <v>198</v>
      </c>
      <c r="C82" s="29">
        <v>70.84</v>
      </c>
    </row>
    <row r="83" spans="1:3" x14ac:dyDescent="0.35">
      <c r="A83" s="28" t="s">
        <v>196</v>
      </c>
      <c r="B83" s="28" t="s">
        <v>197</v>
      </c>
      <c r="C83" s="29">
        <v>25</v>
      </c>
    </row>
    <row r="84" spans="1:3" x14ac:dyDescent="0.35">
      <c r="A84" s="28" t="s">
        <v>199</v>
      </c>
      <c r="B84" s="28" t="s">
        <v>200</v>
      </c>
      <c r="C84" s="29">
        <v>70.84</v>
      </c>
    </row>
    <row r="85" spans="1:3" x14ac:dyDescent="0.35">
      <c r="A85" s="28" t="s">
        <v>199</v>
      </c>
      <c r="B85" s="28" t="s">
        <v>201</v>
      </c>
      <c r="C85" s="29">
        <v>70.84</v>
      </c>
    </row>
    <row r="86" spans="1:3" x14ac:dyDescent="0.35">
      <c r="A86" s="28" t="s">
        <v>199</v>
      </c>
      <c r="B86" s="28" t="s">
        <v>202</v>
      </c>
      <c r="C86" s="29">
        <v>74.8</v>
      </c>
    </row>
    <row r="87" spans="1:3" x14ac:dyDescent="0.35">
      <c r="A87" s="28" t="s">
        <v>203</v>
      </c>
      <c r="B87" s="28" t="s">
        <v>204</v>
      </c>
      <c r="C87" s="29">
        <v>75</v>
      </c>
    </row>
    <row r="88" spans="1:3" x14ac:dyDescent="0.35">
      <c r="A88" s="28" t="s">
        <v>205</v>
      </c>
      <c r="B88" s="28" t="s">
        <v>206</v>
      </c>
      <c r="C88" s="29">
        <v>70.84</v>
      </c>
    </row>
    <row r="89" spans="1:3" x14ac:dyDescent="0.35">
      <c r="A89" s="28" t="s">
        <v>205</v>
      </c>
      <c r="B89" s="28" t="s">
        <v>207</v>
      </c>
      <c r="C89" s="29">
        <v>70.84</v>
      </c>
    </row>
    <row r="90" spans="1:3" x14ac:dyDescent="0.35">
      <c r="A90" s="28" t="s">
        <v>208</v>
      </c>
      <c r="B90" s="28" t="s">
        <v>209</v>
      </c>
      <c r="C90" s="29">
        <v>25</v>
      </c>
    </row>
    <row r="91" spans="1:3" x14ac:dyDescent="0.35">
      <c r="A91" s="28" t="s">
        <v>210</v>
      </c>
      <c r="B91" s="28" t="s">
        <v>211</v>
      </c>
      <c r="C91" s="29">
        <v>25</v>
      </c>
    </row>
    <row r="92" spans="1:3" x14ac:dyDescent="0.35">
      <c r="A92" s="28" t="s">
        <v>212</v>
      </c>
      <c r="B92" s="28" t="s">
        <v>213</v>
      </c>
      <c r="C92" s="29">
        <v>15</v>
      </c>
    </row>
    <row r="93" spans="1:3" x14ac:dyDescent="0.35">
      <c r="A93" s="28" t="s">
        <v>214</v>
      </c>
      <c r="B93" s="28" t="s">
        <v>215</v>
      </c>
      <c r="C93" s="29">
        <v>25</v>
      </c>
    </row>
    <row r="94" spans="1:3" x14ac:dyDescent="0.35">
      <c r="A94" s="28" t="s">
        <v>214</v>
      </c>
      <c r="B94" s="28" t="s">
        <v>215</v>
      </c>
      <c r="C94" s="29">
        <v>25</v>
      </c>
    </row>
    <row r="95" spans="1:3" x14ac:dyDescent="0.35">
      <c r="A95" s="28" t="s">
        <v>216</v>
      </c>
      <c r="B95" s="28" t="s">
        <v>217</v>
      </c>
      <c r="C95" s="29">
        <v>25</v>
      </c>
    </row>
    <row r="96" spans="1:3" x14ac:dyDescent="0.35">
      <c r="A96" s="28" t="s">
        <v>218</v>
      </c>
      <c r="B96" s="28" t="s">
        <v>219</v>
      </c>
      <c r="C96" s="29">
        <v>77.78</v>
      </c>
    </row>
    <row r="97" spans="1:3" x14ac:dyDescent="0.35">
      <c r="A97" s="28" t="s">
        <v>218</v>
      </c>
      <c r="B97" s="28" t="s">
        <v>220</v>
      </c>
      <c r="C97" s="29">
        <v>77.78</v>
      </c>
    </row>
    <row r="98" spans="1:3" x14ac:dyDescent="0.35">
      <c r="A98" s="28" t="s">
        <v>218</v>
      </c>
      <c r="B98" s="28" t="s">
        <v>221</v>
      </c>
      <c r="C98" s="29">
        <v>77.78</v>
      </c>
    </row>
    <row r="99" spans="1:3" x14ac:dyDescent="0.35">
      <c r="A99" s="28" t="s">
        <v>218</v>
      </c>
      <c r="B99" s="28" t="s">
        <v>222</v>
      </c>
      <c r="C99" s="29">
        <v>77.78</v>
      </c>
    </row>
    <row r="100" spans="1:3" x14ac:dyDescent="0.35">
      <c r="A100" s="28" t="s">
        <v>218</v>
      </c>
      <c r="B100" s="28" t="s">
        <v>223</v>
      </c>
      <c r="C100" s="29">
        <v>25</v>
      </c>
    </row>
    <row r="101" spans="1:3" x14ac:dyDescent="0.35">
      <c r="A101" s="28" t="s">
        <v>218</v>
      </c>
      <c r="B101" s="28" t="s">
        <v>224</v>
      </c>
      <c r="C101" s="29">
        <v>25</v>
      </c>
    </row>
    <row r="102" spans="1:3" x14ac:dyDescent="0.35">
      <c r="A102" s="28" t="s">
        <v>218</v>
      </c>
      <c r="B102" s="28" t="s">
        <v>225</v>
      </c>
      <c r="C102" s="29">
        <v>25</v>
      </c>
    </row>
    <row r="103" spans="1:3" x14ac:dyDescent="0.35">
      <c r="A103" s="28" t="s">
        <v>218</v>
      </c>
      <c r="B103" s="28" t="s">
        <v>226</v>
      </c>
      <c r="C103" s="29">
        <v>77.78</v>
      </c>
    </row>
    <row r="104" spans="1:3" x14ac:dyDescent="0.35">
      <c r="A104" s="28" t="s">
        <v>218</v>
      </c>
      <c r="B104" s="28" t="s">
        <v>227</v>
      </c>
      <c r="C104" s="29">
        <v>25</v>
      </c>
    </row>
    <row r="105" spans="1:3" x14ac:dyDescent="0.35">
      <c r="A105" s="28" t="s">
        <v>218</v>
      </c>
      <c r="B105" s="28" t="s">
        <v>221</v>
      </c>
      <c r="C105" s="29">
        <v>25</v>
      </c>
    </row>
    <row r="106" spans="1:3" x14ac:dyDescent="0.35">
      <c r="A106" s="28" t="s">
        <v>218</v>
      </c>
      <c r="B106" s="28" t="s">
        <v>220</v>
      </c>
      <c r="C106" s="29">
        <v>77.78</v>
      </c>
    </row>
    <row r="107" spans="1:3" x14ac:dyDescent="0.35">
      <c r="A107" s="28" t="s">
        <v>228</v>
      </c>
      <c r="B107" s="28" t="s">
        <v>229</v>
      </c>
      <c r="C107" s="29">
        <v>75</v>
      </c>
    </row>
    <row r="108" spans="1:3" x14ac:dyDescent="0.35">
      <c r="A108" s="28" t="s">
        <v>230</v>
      </c>
      <c r="B108" s="28" t="s">
        <v>231</v>
      </c>
      <c r="C108" s="29">
        <v>38.89</v>
      </c>
    </row>
    <row r="109" spans="1:3" x14ac:dyDescent="0.35">
      <c r="A109" s="28" t="s">
        <v>230</v>
      </c>
      <c r="B109" s="28" t="s">
        <v>232</v>
      </c>
      <c r="C109" s="29">
        <v>77.78</v>
      </c>
    </row>
    <row r="110" spans="1:3" x14ac:dyDescent="0.35">
      <c r="A110" s="28" t="s">
        <v>230</v>
      </c>
      <c r="B110" s="28" t="s">
        <v>233</v>
      </c>
      <c r="C110" s="29">
        <v>77.78</v>
      </c>
    </row>
    <row r="111" spans="1:3" x14ac:dyDescent="0.35">
      <c r="A111" s="28" t="s">
        <v>230</v>
      </c>
      <c r="B111" s="28" t="s">
        <v>234</v>
      </c>
      <c r="C111" s="29">
        <v>77.78</v>
      </c>
    </row>
    <row r="112" spans="1:3" x14ac:dyDescent="0.35">
      <c r="A112" s="28" t="s">
        <v>230</v>
      </c>
      <c r="B112" s="28" t="s">
        <v>235</v>
      </c>
      <c r="C112" s="29">
        <v>77.78</v>
      </c>
    </row>
    <row r="113" spans="1:3" x14ac:dyDescent="0.35">
      <c r="A113" s="28" t="s">
        <v>230</v>
      </c>
      <c r="B113" s="28" t="s">
        <v>236</v>
      </c>
      <c r="C113" s="29">
        <v>25</v>
      </c>
    </row>
    <row r="114" spans="1:3" x14ac:dyDescent="0.35">
      <c r="A114" s="28" t="s">
        <v>230</v>
      </c>
      <c r="B114" s="28" t="s">
        <v>237</v>
      </c>
      <c r="C114" s="29">
        <v>77.78</v>
      </c>
    </row>
    <row r="115" spans="1:3" x14ac:dyDescent="0.35">
      <c r="A115" s="28" t="s">
        <v>238</v>
      </c>
      <c r="B115" s="28" t="s">
        <v>239</v>
      </c>
      <c r="C115" s="29">
        <v>25</v>
      </c>
    </row>
    <row r="116" spans="1:3" x14ac:dyDescent="0.35">
      <c r="A116" s="28" t="s">
        <v>238</v>
      </c>
      <c r="B116" s="28" t="s">
        <v>240</v>
      </c>
      <c r="C116" s="29">
        <v>25</v>
      </c>
    </row>
    <row r="117" spans="1:3" x14ac:dyDescent="0.35">
      <c r="A117" s="28" t="s">
        <v>238</v>
      </c>
      <c r="B117" s="28" t="s">
        <v>241</v>
      </c>
      <c r="C117" s="29">
        <v>25</v>
      </c>
    </row>
    <row r="118" spans="1:3" x14ac:dyDescent="0.35">
      <c r="A118" s="28" t="s">
        <v>242</v>
      </c>
      <c r="B118" s="28" t="s">
        <v>243</v>
      </c>
      <c r="C118" s="29">
        <v>77.78</v>
      </c>
    </row>
    <row r="119" spans="1:3" x14ac:dyDescent="0.35">
      <c r="A119" s="28" t="s">
        <v>242</v>
      </c>
      <c r="B119" s="28" t="s">
        <v>244</v>
      </c>
      <c r="C119" s="29">
        <v>77.78</v>
      </c>
    </row>
    <row r="120" spans="1:3" x14ac:dyDescent="0.35">
      <c r="A120" s="28" t="s">
        <v>242</v>
      </c>
      <c r="B120" s="28" t="s">
        <v>245</v>
      </c>
      <c r="C120" s="29">
        <v>77.78</v>
      </c>
    </row>
    <row r="121" spans="1:3" x14ac:dyDescent="0.35">
      <c r="A121" s="28" t="s">
        <v>246</v>
      </c>
      <c r="B121" s="28" t="s">
        <v>247</v>
      </c>
      <c r="C121" s="29">
        <v>38.39</v>
      </c>
    </row>
    <row r="122" spans="1:3" x14ac:dyDescent="0.35">
      <c r="A122" s="28" t="s">
        <v>246</v>
      </c>
      <c r="B122" s="28" t="s">
        <v>248</v>
      </c>
      <c r="C122" s="29">
        <v>77.78</v>
      </c>
    </row>
    <row r="123" spans="1:3" x14ac:dyDescent="0.35">
      <c r="A123" s="28" t="s">
        <v>246</v>
      </c>
      <c r="B123" s="28" t="s">
        <v>249</v>
      </c>
      <c r="C123" s="29">
        <v>77.78</v>
      </c>
    </row>
    <row r="124" spans="1:3" x14ac:dyDescent="0.35">
      <c r="A124" s="28" t="s">
        <v>250</v>
      </c>
      <c r="B124" s="28" t="s">
        <v>251</v>
      </c>
      <c r="C124" s="29">
        <v>50</v>
      </c>
    </row>
    <row r="125" spans="1:3" x14ac:dyDescent="0.35">
      <c r="A125" s="28" t="s">
        <v>252</v>
      </c>
      <c r="B125" s="28" t="s">
        <v>253</v>
      </c>
      <c r="C125" s="29">
        <v>25</v>
      </c>
    </row>
    <row r="126" spans="1:3" x14ac:dyDescent="0.35">
      <c r="A126" s="28" t="s">
        <v>254</v>
      </c>
      <c r="B126" s="28" t="s">
        <v>255</v>
      </c>
      <c r="C126" s="29">
        <v>200</v>
      </c>
    </row>
    <row r="127" spans="1:3" x14ac:dyDescent="0.35">
      <c r="A127" s="28" t="s">
        <v>256</v>
      </c>
      <c r="B127" s="28" t="s">
        <v>257</v>
      </c>
      <c r="C127" s="29">
        <v>52.78</v>
      </c>
    </row>
    <row r="128" spans="1:3" x14ac:dyDescent="0.35">
      <c r="A128" s="28" t="s">
        <v>256</v>
      </c>
      <c r="B128" s="28" t="s">
        <v>258</v>
      </c>
      <c r="C128" s="29">
        <v>77.78</v>
      </c>
    </row>
    <row r="129" spans="1:3" x14ac:dyDescent="0.35">
      <c r="A129" s="28" t="s">
        <v>256</v>
      </c>
      <c r="B129" s="28" t="s">
        <v>259</v>
      </c>
      <c r="C129" s="29">
        <v>50</v>
      </c>
    </row>
    <row r="130" spans="1:3" x14ac:dyDescent="0.35">
      <c r="A130" s="28" t="s">
        <v>256</v>
      </c>
      <c r="B130" s="28" t="s">
        <v>257</v>
      </c>
      <c r="C130" s="29">
        <v>25</v>
      </c>
    </row>
    <row r="131" spans="1:3" x14ac:dyDescent="0.35">
      <c r="A131" s="28" t="s">
        <v>256</v>
      </c>
      <c r="B131" s="28" t="s">
        <v>260</v>
      </c>
      <c r="C131" s="29">
        <v>77.78</v>
      </c>
    </row>
    <row r="132" spans="1:3" x14ac:dyDescent="0.35">
      <c r="A132" s="28" t="s">
        <v>256</v>
      </c>
      <c r="B132" s="28" t="s">
        <v>261</v>
      </c>
      <c r="C132" s="29">
        <v>77.78</v>
      </c>
    </row>
    <row r="133" spans="1:3" x14ac:dyDescent="0.35">
      <c r="A133" s="28" t="s">
        <v>256</v>
      </c>
      <c r="B133" s="28" t="s">
        <v>262</v>
      </c>
      <c r="C133" s="29">
        <v>77.78</v>
      </c>
    </row>
    <row r="134" spans="1:3" x14ac:dyDescent="0.35">
      <c r="A134" s="28" t="s">
        <v>256</v>
      </c>
      <c r="B134" s="28" t="s">
        <v>263</v>
      </c>
      <c r="C134" s="29">
        <v>77.78</v>
      </c>
    </row>
    <row r="135" spans="1:3" x14ac:dyDescent="0.35">
      <c r="A135" s="28" t="s">
        <v>256</v>
      </c>
      <c r="B135" s="28" t="s">
        <v>264</v>
      </c>
      <c r="C135" s="29">
        <v>77.78</v>
      </c>
    </row>
    <row r="136" spans="1:3" x14ac:dyDescent="0.35">
      <c r="A136" s="28" t="s">
        <v>265</v>
      </c>
      <c r="B136" s="28" t="s">
        <v>266</v>
      </c>
      <c r="C136" s="29">
        <v>25</v>
      </c>
    </row>
    <row r="137" spans="1:3" x14ac:dyDescent="0.35">
      <c r="A137" s="28" t="s">
        <v>265</v>
      </c>
      <c r="B137" s="28" t="s">
        <v>267</v>
      </c>
      <c r="C137" s="29">
        <v>77.78</v>
      </c>
    </row>
    <row r="138" spans="1:3" x14ac:dyDescent="0.35">
      <c r="A138" s="28" t="s">
        <v>265</v>
      </c>
      <c r="B138" s="28" t="s">
        <v>268</v>
      </c>
      <c r="C138" s="29">
        <v>77.78</v>
      </c>
    </row>
    <row r="139" spans="1:3" x14ac:dyDescent="0.35">
      <c r="A139" s="28" t="s">
        <v>269</v>
      </c>
      <c r="B139" s="28" t="s">
        <v>270</v>
      </c>
      <c r="C139" s="29">
        <v>38.89</v>
      </c>
    </row>
    <row r="140" spans="1:3" x14ac:dyDescent="0.35">
      <c r="A140" s="28" t="s">
        <v>269</v>
      </c>
      <c r="B140" s="28" t="s">
        <v>271</v>
      </c>
      <c r="C140" s="29">
        <v>25</v>
      </c>
    </row>
    <row r="141" spans="1:3" x14ac:dyDescent="0.35">
      <c r="A141" s="28" t="s">
        <v>269</v>
      </c>
      <c r="B141" s="28" t="s">
        <v>272</v>
      </c>
      <c r="C141" s="29">
        <v>200</v>
      </c>
    </row>
    <row r="142" spans="1:3" x14ac:dyDescent="0.35">
      <c r="A142" s="28" t="s">
        <v>269</v>
      </c>
      <c r="B142" s="28" t="s">
        <v>273</v>
      </c>
      <c r="C142" s="29">
        <v>50</v>
      </c>
    </row>
    <row r="143" spans="1:3" x14ac:dyDescent="0.35">
      <c r="A143" s="28" t="s">
        <v>274</v>
      </c>
      <c r="B143" s="28" t="s">
        <v>275</v>
      </c>
      <c r="C143" s="29">
        <v>38.89</v>
      </c>
    </row>
    <row r="144" spans="1:3" x14ac:dyDescent="0.35">
      <c r="A144" s="28" t="s">
        <v>274</v>
      </c>
      <c r="B144" s="28" t="s">
        <v>276</v>
      </c>
      <c r="C144" s="29">
        <v>77.78</v>
      </c>
    </row>
    <row r="145" spans="1:3" x14ac:dyDescent="0.35">
      <c r="A145" s="28" t="s">
        <v>274</v>
      </c>
      <c r="B145" s="28" t="s">
        <v>277</v>
      </c>
      <c r="C145" s="29">
        <v>77.78</v>
      </c>
    </row>
    <row r="146" spans="1:3" x14ac:dyDescent="0.35">
      <c r="A146" s="28" t="s">
        <v>274</v>
      </c>
      <c r="B146" s="28" t="s">
        <v>278</v>
      </c>
      <c r="C146" s="29">
        <v>77.78</v>
      </c>
    </row>
    <row r="147" spans="1:3" x14ac:dyDescent="0.35">
      <c r="A147" s="28" t="s">
        <v>274</v>
      </c>
      <c r="B147" s="28" t="s">
        <v>279</v>
      </c>
      <c r="C147" s="29">
        <v>77.78</v>
      </c>
    </row>
    <row r="148" spans="1:3" x14ac:dyDescent="0.35">
      <c r="A148" s="28" t="s">
        <v>274</v>
      </c>
      <c r="B148" s="28" t="s">
        <v>280</v>
      </c>
      <c r="C148" s="29">
        <v>25</v>
      </c>
    </row>
    <row r="149" spans="1:3" x14ac:dyDescent="0.35">
      <c r="A149" s="28" t="s">
        <v>281</v>
      </c>
      <c r="B149" s="28" t="s">
        <v>282</v>
      </c>
      <c r="C149" s="29">
        <v>77.78</v>
      </c>
    </row>
    <row r="150" spans="1:3" x14ac:dyDescent="0.35">
      <c r="A150" s="28" t="s">
        <v>281</v>
      </c>
      <c r="B150" s="28" t="s">
        <v>283</v>
      </c>
      <c r="C150" s="29">
        <v>77.78</v>
      </c>
    </row>
    <row r="151" spans="1:3" x14ac:dyDescent="0.35">
      <c r="A151" s="28" t="s">
        <v>284</v>
      </c>
      <c r="B151" s="28" t="s">
        <v>285</v>
      </c>
      <c r="C151" s="29">
        <v>25</v>
      </c>
    </row>
    <row r="152" spans="1:3" x14ac:dyDescent="0.35">
      <c r="A152" s="28" t="s">
        <v>286</v>
      </c>
      <c r="B152" s="28" t="s">
        <v>287</v>
      </c>
      <c r="C152" s="29">
        <v>25</v>
      </c>
    </row>
    <row r="153" spans="1:3" x14ac:dyDescent="0.35">
      <c r="A153" s="28" t="s">
        <v>286</v>
      </c>
      <c r="B153" s="28" t="s">
        <v>288</v>
      </c>
      <c r="C153" s="29">
        <v>25</v>
      </c>
    </row>
    <row r="154" spans="1:3" x14ac:dyDescent="0.35">
      <c r="A154" s="28" t="s">
        <v>286</v>
      </c>
      <c r="B154" s="28" t="s">
        <v>289</v>
      </c>
      <c r="C154" s="29">
        <v>25</v>
      </c>
    </row>
    <row r="155" spans="1:3" x14ac:dyDescent="0.35">
      <c r="A155" s="28" t="s">
        <v>290</v>
      </c>
      <c r="B155" s="28" t="s">
        <v>291</v>
      </c>
      <c r="C155" s="29">
        <v>25</v>
      </c>
    </row>
    <row r="156" spans="1:3" x14ac:dyDescent="0.35">
      <c r="A156" s="28" t="s">
        <v>292</v>
      </c>
      <c r="B156" s="28" t="s">
        <v>293</v>
      </c>
      <c r="C156" s="29">
        <v>77.78</v>
      </c>
    </row>
    <row r="157" spans="1:3" x14ac:dyDescent="0.35">
      <c r="A157" s="28" t="s">
        <v>294</v>
      </c>
      <c r="B157" s="28" t="s">
        <v>295</v>
      </c>
      <c r="C157" s="29">
        <v>77.78</v>
      </c>
    </row>
    <row r="158" spans="1:3" x14ac:dyDescent="0.35">
      <c r="A158" s="28" t="s">
        <v>294</v>
      </c>
      <c r="B158" s="28" t="s">
        <v>296</v>
      </c>
      <c r="C158" s="29">
        <v>77.88</v>
      </c>
    </row>
    <row r="159" spans="1:3" x14ac:dyDescent="0.35">
      <c r="A159" s="28" t="s">
        <v>294</v>
      </c>
      <c r="B159" s="28" t="s">
        <v>297</v>
      </c>
      <c r="C159" s="29">
        <v>77.78</v>
      </c>
    </row>
    <row r="160" spans="1:3" x14ac:dyDescent="0.35">
      <c r="A160" s="28" t="s">
        <v>294</v>
      </c>
      <c r="B160" s="28" t="s">
        <v>298</v>
      </c>
      <c r="C160" s="29">
        <v>77.78</v>
      </c>
    </row>
    <row r="161" spans="1:3" x14ac:dyDescent="0.35">
      <c r="A161" s="28" t="s">
        <v>294</v>
      </c>
      <c r="B161" s="28" t="s">
        <v>299</v>
      </c>
      <c r="C161" s="29">
        <v>25</v>
      </c>
    </row>
    <row r="162" spans="1:3" x14ac:dyDescent="0.35">
      <c r="A162" s="28" t="s">
        <v>294</v>
      </c>
      <c r="B162" s="28" t="s">
        <v>300</v>
      </c>
      <c r="C162" s="29">
        <v>25</v>
      </c>
    </row>
    <row r="163" spans="1:3" x14ac:dyDescent="0.35">
      <c r="A163" s="28" t="s">
        <v>294</v>
      </c>
      <c r="B163" s="28" t="s">
        <v>301</v>
      </c>
      <c r="C163" s="29">
        <v>77.78</v>
      </c>
    </row>
    <row r="164" spans="1:3" x14ac:dyDescent="0.35">
      <c r="A164" s="28" t="s">
        <v>294</v>
      </c>
      <c r="B164" s="28" t="s">
        <v>302</v>
      </c>
      <c r="C164" s="29">
        <v>77.78</v>
      </c>
    </row>
    <row r="165" spans="1:3" x14ac:dyDescent="0.35">
      <c r="A165" s="28" t="s">
        <v>294</v>
      </c>
      <c r="B165" s="28" t="s">
        <v>303</v>
      </c>
      <c r="C165" s="29">
        <v>75</v>
      </c>
    </row>
    <row r="166" spans="1:3" x14ac:dyDescent="0.35">
      <c r="A166" s="28" t="s">
        <v>294</v>
      </c>
      <c r="B166" s="28" t="s">
        <v>304</v>
      </c>
      <c r="C166" s="29">
        <v>77.78</v>
      </c>
    </row>
    <row r="167" spans="1:3" x14ac:dyDescent="0.35">
      <c r="A167" s="28" t="s">
        <v>294</v>
      </c>
      <c r="B167" s="28" t="s">
        <v>305</v>
      </c>
      <c r="C167" s="29">
        <v>77.78</v>
      </c>
    </row>
    <row r="168" spans="1:3" x14ac:dyDescent="0.35">
      <c r="A168" s="28" t="s">
        <v>294</v>
      </c>
      <c r="B168" s="28" t="s">
        <v>306</v>
      </c>
      <c r="C168" s="29">
        <v>50</v>
      </c>
    </row>
    <row r="169" spans="1:3" x14ac:dyDescent="0.35">
      <c r="A169" s="28" t="s">
        <v>307</v>
      </c>
      <c r="B169" s="28" t="s">
        <v>308</v>
      </c>
      <c r="C169" s="29">
        <v>77.78</v>
      </c>
    </row>
    <row r="170" spans="1:3" x14ac:dyDescent="0.35">
      <c r="A170" s="28" t="s">
        <v>307</v>
      </c>
      <c r="B170" s="28" t="s">
        <v>309</v>
      </c>
      <c r="C170" s="29">
        <v>77.78</v>
      </c>
    </row>
    <row r="171" spans="1:3" x14ac:dyDescent="0.35">
      <c r="A171" s="28" t="s">
        <v>307</v>
      </c>
      <c r="B171" s="28" t="s">
        <v>310</v>
      </c>
      <c r="C171" s="29">
        <v>25</v>
      </c>
    </row>
    <row r="172" spans="1:3" x14ac:dyDescent="0.35">
      <c r="A172" s="28" t="s">
        <v>307</v>
      </c>
      <c r="B172" s="28" t="s">
        <v>311</v>
      </c>
      <c r="C172" s="29">
        <v>25</v>
      </c>
    </row>
    <row r="173" spans="1:3" x14ac:dyDescent="0.35">
      <c r="A173" s="28" t="s">
        <v>307</v>
      </c>
      <c r="B173" s="28" t="s">
        <v>311</v>
      </c>
      <c r="C173" s="29">
        <v>25</v>
      </c>
    </row>
    <row r="174" spans="1:3" x14ac:dyDescent="0.35">
      <c r="A174" s="28" t="s">
        <v>307</v>
      </c>
      <c r="B174" s="28" t="s">
        <v>312</v>
      </c>
      <c r="C174" s="29">
        <v>50</v>
      </c>
    </row>
    <row r="175" spans="1:3" x14ac:dyDescent="0.35">
      <c r="A175" s="28" t="s">
        <v>307</v>
      </c>
      <c r="B175" s="28" t="s">
        <v>313</v>
      </c>
      <c r="C175" s="29">
        <v>50</v>
      </c>
    </row>
    <row r="176" spans="1:3" x14ac:dyDescent="0.35">
      <c r="A176" s="28" t="s">
        <v>307</v>
      </c>
      <c r="B176" s="28" t="s">
        <v>314</v>
      </c>
      <c r="C176" s="29">
        <v>25</v>
      </c>
    </row>
    <row r="177" spans="1:3" x14ac:dyDescent="0.35">
      <c r="A177" s="28" t="s">
        <v>307</v>
      </c>
      <c r="B177" s="28" t="s">
        <v>315</v>
      </c>
      <c r="C177" s="29">
        <v>77.78</v>
      </c>
    </row>
    <row r="178" spans="1:3" x14ac:dyDescent="0.35">
      <c r="A178" s="28" t="s">
        <v>307</v>
      </c>
      <c r="B178" s="28" t="s">
        <v>316</v>
      </c>
      <c r="C178" s="29">
        <v>50</v>
      </c>
    </row>
    <row r="179" spans="1:3" x14ac:dyDescent="0.35">
      <c r="A179" s="28" t="s">
        <v>317</v>
      </c>
      <c r="B179" s="28" t="s">
        <v>318</v>
      </c>
      <c r="C179" s="29">
        <v>25</v>
      </c>
    </row>
    <row r="180" spans="1:3" x14ac:dyDescent="0.35">
      <c r="A180" s="28" t="s">
        <v>317</v>
      </c>
      <c r="B180" s="28" t="s">
        <v>319</v>
      </c>
      <c r="C180" s="29">
        <v>25</v>
      </c>
    </row>
    <row r="181" spans="1:3" x14ac:dyDescent="0.35">
      <c r="A181" s="28" t="s">
        <v>317</v>
      </c>
      <c r="B181" s="28" t="s">
        <v>320</v>
      </c>
      <c r="C181" s="29">
        <v>25</v>
      </c>
    </row>
    <row r="182" spans="1:3" x14ac:dyDescent="0.35">
      <c r="A182" s="28" t="s">
        <v>317</v>
      </c>
      <c r="B182" s="28" t="s">
        <v>321</v>
      </c>
      <c r="C182" s="29">
        <v>25</v>
      </c>
    </row>
    <row r="183" spans="1:3" x14ac:dyDescent="0.35">
      <c r="A183" s="28" t="s">
        <v>322</v>
      </c>
      <c r="B183" s="28" t="s">
        <v>323</v>
      </c>
      <c r="C183" s="29">
        <v>77.78</v>
      </c>
    </row>
    <row r="184" spans="1:3" x14ac:dyDescent="0.35">
      <c r="A184" s="28" t="s">
        <v>324</v>
      </c>
      <c r="B184" s="28" t="s">
        <v>325</v>
      </c>
      <c r="C184" s="29">
        <v>25</v>
      </c>
    </row>
    <row r="185" spans="1:3" x14ac:dyDescent="0.35">
      <c r="A185" s="28" t="s">
        <v>326</v>
      </c>
      <c r="B185" s="28" t="s">
        <v>327</v>
      </c>
      <c r="C185" s="29">
        <v>25</v>
      </c>
    </row>
    <row r="186" spans="1:3" x14ac:dyDescent="0.35">
      <c r="A186" s="28" t="s">
        <v>326</v>
      </c>
      <c r="B186" s="28" t="s">
        <v>328</v>
      </c>
      <c r="C186" s="29">
        <v>77.78</v>
      </c>
    </row>
    <row r="187" spans="1:3" x14ac:dyDescent="0.35">
      <c r="A187" s="28" t="s">
        <v>329</v>
      </c>
      <c r="B187" s="28" t="s">
        <v>330</v>
      </c>
      <c r="C187" s="29">
        <v>25</v>
      </c>
    </row>
  </sheetData>
  <autoFilter ref="A1:C187" xr:uid="{485CBFAC-4606-4058-B80E-85CF78E8C82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2886E-DB15-464A-9A94-1819BF1014BE}">
  <dimension ref="A1:M19"/>
  <sheetViews>
    <sheetView workbookViewId="0">
      <selection activeCell="L10" sqref="L10"/>
    </sheetView>
  </sheetViews>
  <sheetFormatPr defaultRowHeight="14.5" x14ac:dyDescent="0.35"/>
  <sheetData>
    <row r="1" spans="1:13" x14ac:dyDescent="0.35">
      <c r="A1" t="s">
        <v>357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</row>
    <row r="2" spans="1:13" x14ac:dyDescent="0.35">
      <c r="A2">
        <v>1</v>
      </c>
      <c r="B2" t="s">
        <v>1</v>
      </c>
      <c r="C2" t="s">
        <v>1</v>
      </c>
      <c r="D2" t="s">
        <v>1</v>
      </c>
      <c r="E2" t="s">
        <v>1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</row>
    <row r="3" spans="1:13" x14ac:dyDescent="0.35">
      <c r="A3">
        <v>2</v>
      </c>
      <c r="B3" s="31" t="s">
        <v>2</v>
      </c>
      <c r="C3" s="31" t="s">
        <v>2</v>
      </c>
      <c r="D3" s="31" t="s">
        <v>2</v>
      </c>
      <c r="E3" s="31" t="s">
        <v>2</v>
      </c>
      <c r="F3" s="31" t="s">
        <v>2</v>
      </c>
      <c r="G3" s="31" t="s">
        <v>2</v>
      </c>
      <c r="H3" s="31" t="s">
        <v>2</v>
      </c>
      <c r="I3" s="31" t="s">
        <v>2</v>
      </c>
      <c r="J3" s="31" t="s">
        <v>2</v>
      </c>
      <c r="K3" s="31" t="s">
        <v>2</v>
      </c>
      <c r="L3" s="50" t="s">
        <v>84</v>
      </c>
      <c r="M3" s="50" t="s">
        <v>84</v>
      </c>
    </row>
    <row r="4" spans="1:13" x14ac:dyDescent="0.35">
      <c r="A4">
        <v>3</v>
      </c>
      <c r="B4" s="32" t="s">
        <v>3</v>
      </c>
      <c r="C4" s="32" t="s">
        <v>3</v>
      </c>
      <c r="D4" s="32" t="s">
        <v>3</v>
      </c>
      <c r="E4" s="32" t="s">
        <v>3</v>
      </c>
      <c r="F4" s="33" t="s">
        <v>20</v>
      </c>
      <c r="G4" s="33" t="s">
        <v>20</v>
      </c>
      <c r="H4" s="33" t="s">
        <v>20</v>
      </c>
      <c r="I4" s="33" t="s">
        <v>20</v>
      </c>
      <c r="J4" s="33" t="s">
        <v>20</v>
      </c>
      <c r="K4" s="33" t="s">
        <v>20</v>
      </c>
      <c r="L4" s="33" t="s">
        <v>20</v>
      </c>
      <c r="M4" s="33" t="s">
        <v>20</v>
      </c>
    </row>
    <row r="5" spans="1:13" x14ac:dyDescent="0.35">
      <c r="A5">
        <v>4</v>
      </c>
      <c r="B5" s="34" t="s">
        <v>4</v>
      </c>
      <c r="C5" s="34" t="s">
        <v>4</v>
      </c>
      <c r="D5" s="34" t="s">
        <v>4</v>
      </c>
      <c r="E5" s="34" t="s">
        <v>4</v>
      </c>
      <c r="F5" s="34" t="s">
        <v>4</v>
      </c>
      <c r="G5" s="34" t="s">
        <v>4</v>
      </c>
      <c r="H5" s="34" t="s">
        <v>4</v>
      </c>
      <c r="I5" s="34" t="s">
        <v>4</v>
      </c>
      <c r="J5" s="34" t="s">
        <v>4</v>
      </c>
      <c r="K5" s="34" t="s">
        <v>4</v>
      </c>
      <c r="L5" s="35" t="s">
        <v>66</v>
      </c>
    </row>
    <row r="6" spans="1:13" x14ac:dyDescent="0.35">
      <c r="A6">
        <v>5</v>
      </c>
      <c r="B6" s="36" t="s">
        <v>5</v>
      </c>
      <c r="C6" s="36" t="s">
        <v>5</v>
      </c>
      <c r="D6" s="36" t="s">
        <v>5</v>
      </c>
      <c r="E6" s="36" t="s">
        <v>5</v>
      </c>
      <c r="F6" s="36" t="s">
        <v>5</v>
      </c>
      <c r="G6" s="36" t="s">
        <v>5</v>
      </c>
      <c r="H6" s="38" t="s">
        <v>56</v>
      </c>
      <c r="I6" s="38" t="s">
        <v>56</v>
      </c>
      <c r="J6" s="36" t="s">
        <v>5</v>
      </c>
      <c r="K6" s="36" t="s">
        <v>5</v>
      </c>
      <c r="L6" s="36" t="s">
        <v>5</v>
      </c>
      <c r="M6" s="36" t="s">
        <v>5</v>
      </c>
    </row>
    <row r="7" spans="1:13" x14ac:dyDescent="0.35">
      <c r="A7">
        <v>6</v>
      </c>
      <c r="B7" s="37" t="s">
        <v>6</v>
      </c>
      <c r="C7" s="37" t="s">
        <v>6</v>
      </c>
      <c r="D7" s="37" t="s">
        <v>6</v>
      </c>
      <c r="E7" s="37" t="s">
        <v>6</v>
      </c>
      <c r="F7" s="37" t="s">
        <v>6</v>
      </c>
      <c r="G7" s="37" t="s">
        <v>6</v>
      </c>
      <c r="H7" s="39" t="s">
        <v>17</v>
      </c>
      <c r="I7" s="37" t="s">
        <v>6</v>
      </c>
      <c r="J7" s="37" t="s">
        <v>6</v>
      </c>
      <c r="K7" s="37" t="s">
        <v>6</v>
      </c>
      <c r="L7" s="37" t="s">
        <v>6</v>
      </c>
      <c r="M7" s="37" t="s">
        <v>6</v>
      </c>
    </row>
    <row r="8" spans="1:13" x14ac:dyDescent="0.35">
      <c r="A8">
        <v>7</v>
      </c>
      <c r="B8" s="40" t="s">
        <v>7</v>
      </c>
      <c r="C8" s="40" t="s">
        <v>7</v>
      </c>
      <c r="D8" s="40" t="s">
        <v>7</v>
      </c>
      <c r="E8" s="41" t="s">
        <v>55</v>
      </c>
      <c r="F8" s="41" t="s">
        <v>55</v>
      </c>
      <c r="G8" s="41" t="s">
        <v>55</v>
      </c>
      <c r="H8" s="41" t="s">
        <v>55</v>
      </c>
      <c r="I8" s="41" t="s">
        <v>55</v>
      </c>
      <c r="J8" s="38" t="s">
        <v>56</v>
      </c>
      <c r="K8" s="38" t="s">
        <v>56</v>
      </c>
      <c r="L8" s="41" t="s">
        <v>55</v>
      </c>
      <c r="M8" s="41" t="s">
        <v>55</v>
      </c>
    </row>
    <row r="9" spans="1:13" x14ac:dyDescent="0.35">
      <c r="A9">
        <v>8</v>
      </c>
      <c r="B9" s="42" t="s">
        <v>8</v>
      </c>
      <c r="C9" s="42" t="s">
        <v>8</v>
      </c>
      <c r="D9" s="42" t="s">
        <v>8</v>
      </c>
      <c r="E9" s="42" t="s">
        <v>8</v>
      </c>
      <c r="F9" s="42" t="s">
        <v>8</v>
      </c>
      <c r="G9" s="42" t="s">
        <v>8</v>
      </c>
      <c r="H9" s="42" t="s">
        <v>8</v>
      </c>
      <c r="I9" s="42" t="s">
        <v>8</v>
      </c>
      <c r="J9" s="42" t="s">
        <v>8</v>
      </c>
      <c r="K9" s="42" t="s">
        <v>8</v>
      </c>
      <c r="L9" s="42" t="s">
        <v>8</v>
      </c>
      <c r="M9" s="42" t="s">
        <v>8</v>
      </c>
    </row>
    <row r="10" spans="1:13" x14ac:dyDescent="0.35">
      <c r="A10">
        <v>9</v>
      </c>
      <c r="B10" s="43" t="s">
        <v>9</v>
      </c>
      <c r="C10" s="43" t="s">
        <v>9</v>
      </c>
      <c r="D10" s="43" t="s">
        <v>9</v>
      </c>
      <c r="E10" s="43" t="s">
        <v>9</v>
      </c>
      <c r="F10" s="43" t="s">
        <v>9</v>
      </c>
      <c r="G10" s="43" t="s">
        <v>9</v>
      </c>
      <c r="H10" s="43" t="s">
        <v>9</v>
      </c>
      <c r="I10" s="43" t="s">
        <v>9</v>
      </c>
      <c r="J10" s="43" t="s">
        <v>9</v>
      </c>
      <c r="K10" s="43" t="s">
        <v>9</v>
      </c>
      <c r="L10" s="43" t="s">
        <v>9</v>
      </c>
      <c r="M10" s="43" t="s">
        <v>9</v>
      </c>
    </row>
    <row r="11" spans="1:13" x14ac:dyDescent="0.35">
      <c r="A11">
        <v>10</v>
      </c>
      <c r="B11" s="44" t="s">
        <v>19</v>
      </c>
      <c r="C11" s="44" t="s">
        <v>19</v>
      </c>
      <c r="D11" s="44" t="s">
        <v>19</v>
      </c>
      <c r="E11" s="44" t="s">
        <v>19</v>
      </c>
      <c r="F11" s="44" t="s">
        <v>19</v>
      </c>
      <c r="G11" s="44" t="s">
        <v>19</v>
      </c>
      <c r="H11" s="44" t="s">
        <v>19</v>
      </c>
      <c r="I11" s="44" t="s">
        <v>19</v>
      </c>
      <c r="J11" s="44" t="s">
        <v>19</v>
      </c>
      <c r="K11" s="44" t="s">
        <v>19</v>
      </c>
      <c r="L11" s="44" t="s">
        <v>19</v>
      </c>
      <c r="M11" s="44" t="s">
        <v>19</v>
      </c>
    </row>
    <row r="12" spans="1:13" x14ac:dyDescent="0.35">
      <c r="A12">
        <v>11</v>
      </c>
      <c r="B12" s="45" t="s">
        <v>10</v>
      </c>
      <c r="C12" s="45" t="s">
        <v>10</v>
      </c>
      <c r="D12" s="45" t="s">
        <v>10</v>
      </c>
      <c r="E12" s="45" t="s">
        <v>10</v>
      </c>
      <c r="F12" s="45" t="s">
        <v>10</v>
      </c>
      <c r="G12" s="45" t="s">
        <v>10</v>
      </c>
      <c r="H12" s="45" t="s">
        <v>10</v>
      </c>
      <c r="I12" s="45" t="s">
        <v>10</v>
      </c>
      <c r="J12" s="45" t="s">
        <v>10</v>
      </c>
      <c r="K12" s="45" t="s">
        <v>10</v>
      </c>
      <c r="L12" s="45" t="s">
        <v>10</v>
      </c>
      <c r="M12" s="45" t="s">
        <v>10</v>
      </c>
    </row>
    <row r="13" spans="1:13" x14ac:dyDescent="0.35">
      <c r="A13">
        <v>12</v>
      </c>
      <c r="B13" s="46" t="s">
        <v>11</v>
      </c>
      <c r="C13" s="46" t="s">
        <v>11</v>
      </c>
      <c r="D13" s="46" t="s">
        <v>11</v>
      </c>
      <c r="E13" s="46" t="s">
        <v>11</v>
      </c>
      <c r="F13" s="46" t="s">
        <v>11</v>
      </c>
      <c r="G13" s="46" t="s">
        <v>11</v>
      </c>
      <c r="H13" s="46" t="s">
        <v>11</v>
      </c>
      <c r="I13" s="46" t="s">
        <v>11</v>
      </c>
      <c r="J13" s="46" t="s">
        <v>11</v>
      </c>
      <c r="K13" s="46" t="s">
        <v>11</v>
      </c>
      <c r="L13" s="46" t="s">
        <v>11</v>
      </c>
      <c r="M13" s="46" t="s">
        <v>11</v>
      </c>
    </row>
    <row r="14" spans="1:13" x14ac:dyDescent="0.35">
      <c r="A14">
        <v>13</v>
      </c>
      <c r="B14" s="47" t="s">
        <v>25</v>
      </c>
      <c r="C14" s="47" t="s">
        <v>25</v>
      </c>
      <c r="D14" s="47" t="s">
        <v>25</v>
      </c>
      <c r="E14" s="47" t="s">
        <v>25</v>
      </c>
      <c r="F14" s="47" t="s">
        <v>25</v>
      </c>
      <c r="G14" s="47" t="s">
        <v>25</v>
      </c>
      <c r="H14" s="47" t="s">
        <v>25</v>
      </c>
      <c r="I14" s="47" t="s">
        <v>25</v>
      </c>
      <c r="J14" s="47" t="s">
        <v>25</v>
      </c>
      <c r="K14" s="47" t="s">
        <v>25</v>
      </c>
      <c r="L14" s="47" t="s">
        <v>25</v>
      </c>
      <c r="M14" s="47" t="s">
        <v>25</v>
      </c>
    </row>
    <row r="15" spans="1:13" x14ac:dyDescent="0.35">
      <c r="A15">
        <v>14</v>
      </c>
      <c r="B15" s="48" t="s">
        <v>13</v>
      </c>
      <c r="C15" s="48" t="s">
        <v>13</v>
      </c>
      <c r="D15" s="48" t="s">
        <v>13</v>
      </c>
      <c r="E15" s="48" t="s">
        <v>13</v>
      </c>
      <c r="F15" s="48" t="s">
        <v>13</v>
      </c>
      <c r="G15" s="48" t="s">
        <v>13</v>
      </c>
      <c r="H15" s="48" t="s">
        <v>13</v>
      </c>
      <c r="I15" s="48" t="s">
        <v>13</v>
      </c>
      <c r="J15" s="48" t="s">
        <v>13</v>
      </c>
      <c r="K15" s="48" t="s">
        <v>13</v>
      </c>
      <c r="L15" s="56" t="s">
        <v>340</v>
      </c>
      <c r="M15" s="56" t="s">
        <v>340</v>
      </c>
    </row>
    <row r="16" spans="1:13" x14ac:dyDescent="0.35">
      <c r="A16">
        <v>15</v>
      </c>
      <c r="B16" s="49" t="s">
        <v>23</v>
      </c>
      <c r="C16" s="49" t="s">
        <v>23</v>
      </c>
      <c r="D16" s="49" t="s">
        <v>23</v>
      </c>
      <c r="E16" s="49" t="s">
        <v>23</v>
      </c>
      <c r="F16" s="49" t="s">
        <v>23</v>
      </c>
      <c r="G16" s="49" t="s">
        <v>23</v>
      </c>
      <c r="H16" s="49" t="s">
        <v>23</v>
      </c>
      <c r="I16" s="49" t="s">
        <v>23</v>
      </c>
      <c r="J16" s="49" t="s">
        <v>23</v>
      </c>
      <c r="K16" s="50" t="s">
        <v>84</v>
      </c>
      <c r="L16" s="55" t="s">
        <v>346</v>
      </c>
      <c r="M16" s="49" t="s">
        <v>23</v>
      </c>
    </row>
    <row r="17" spans="1:13" x14ac:dyDescent="0.35">
      <c r="A17">
        <v>16</v>
      </c>
      <c r="B17" s="51" t="s">
        <v>14</v>
      </c>
      <c r="C17" s="51" t="s">
        <v>14</v>
      </c>
      <c r="D17" s="51" t="s">
        <v>14</v>
      </c>
      <c r="E17" s="51" t="s">
        <v>14</v>
      </c>
      <c r="F17" s="51" t="s">
        <v>14</v>
      </c>
      <c r="G17" s="51" t="s">
        <v>14</v>
      </c>
      <c r="H17" s="51" t="s">
        <v>14</v>
      </c>
      <c r="I17" s="50" t="s">
        <v>84</v>
      </c>
      <c r="J17" s="50" t="s">
        <v>84</v>
      </c>
      <c r="K17" s="51" t="s">
        <v>14</v>
      </c>
      <c r="L17" s="51" t="s">
        <v>14</v>
      </c>
      <c r="M17" s="51" t="s">
        <v>14</v>
      </c>
    </row>
    <row r="18" spans="1:13" x14ac:dyDescent="0.35">
      <c r="A18">
        <v>17</v>
      </c>
      <c r="B18" s="52" t="s">
        <v>15</v>
      </c>
      <c r="C18" s="52" t="s">
        <v>15</v>
      </c>
      <c r="D18" s="52" t="s">
        <v>15</v>
      </c>
      <c r="E18" s="52" t="s">
        <v>15</v>
      </c>
      <c r="F18" s="52" t="s">
        <v>15</v>
      </c>
      <c r="G18" s="52" t="s">
        <v>15</v>
      </c>
      <c r="H18" s="52" t="s">
        <v>15</v>
      </c>
      <c r="I18" s="52" t="s">
        <v>15</v>
      </c>
      <c r="J18" s="53" t="s">
        <v>44</v>
      </c>
      <c r="K18" s="53" t="s">
        <v>44</v>
      </c>
      <c r="L18" s="38" t="s">
        <v>56</v>
      </c>
      <c r="M18" s="38" t="s">
        <v>56</v>
      </c>
    </row>
    <row r="19" spans="1:13" x14ac:dyDescent="0.35">
      <c r="A19">
        <v>18</v>
      </c>
      <c r="B19" s="54" t="s">
        <v>16</v>
      </c>
      <c r="C19" s="53" t="s">
        <v>44</v>
      </c>
      <c r="D19" s="53" t="s">
        <v>45</v>
      </c>
      <c r="E19" s="53" t="s">
        <v>359</v>
      </c>
      <c r="F19" s="53" t="s">
        <v>360</v>
      </c>
      <c r="G19" s="54" t="s">
        <v>16</v>
      </c>
      <c r="H19" s="54" t="s">
        <v>16</v>
      </c>
      <c r="I19" s="54" t="s">
        <v>16</v>
      </c>
      <c r="J19" s="54" t="s">
        <v>16</v>
      </c>
      <c r="K19" s="54" t="s">
        <v>16</v>
      </c>
      <c r="L19" s="54" t="s">
        <v>16</v>
      </c>
      <c r="M19" s="54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K1" activePane="topRight" state="frozen"/>
      <selection pane="topRight" activeCell="AE17" sqref="AE17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67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65</v>
      </c>
      <c r="AI1" t="s">
        <v>64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24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77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48</v>
      </c>
      <c r="AH6">
        <f t="shared" si="0"/>
        <v>0</v>
      </c>
      <c r="AI6">
        <f t="shared" si="1"/>
        <v>0</v>
      </c>
    </row>
    <row r="7" spans="1:35" x14ac:dyDescent="0.35">
      <c r="A7" t="s">
        <v>18</v>
      </c>
      <c r="AH7">
        <f t="shared" si="0"/>
        <v>0</v>
      </c>
      <c r="AI7">
        <f t="shared" si="1"/>
        <v>0</v>
      </c>
    </row>
    <row r="8" spans="1:35" x14ac:dyDescent="0.35">
      <c r="A8" t="s">
        <v>25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14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54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66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84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15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52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78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79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20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80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61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19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43</v>
      </c>
      <c r="AH26">
        <f t="shared" si="0"/>
        <v>0</v>
      </c>
      <c r="AI26">
        <f t="shared" si="1"/>
        <v>0</v>
      </c>
    </row>
    <row r="27" spans="1:35" x14ac:dyDescent="0.35">
      <c r="A27" t="s">
        <v>68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53</v>
      </c>
      <c r="AH28">
        <f t="shared" si="0"/>
        <v>0</v>
      </c>
      <c r="AI28">
        <f t="shared" si="1"/>
        <v>0</v>
      </c>
    </row>
    <row r="29" spans="1:35" x14ac:dyDescent="0.35">
      <c r="A29" t="s">
        <v>51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46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56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60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55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21</v>
      </c>
      <c r="AH37">
        <f t="shared" si="2"/>
        <v>0</v>
      </c>
      <c r="AI37">
        <f t="shared" si="1"/>
        <v>0</v>
      </c>
    </row>
    <row r="38" spans="1:35" x14ac:dyDescent="0.35">
      <c r="A38" t="s">
        <v>81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63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83</v>
      </c>
      <c r="AH40">
        <f t="shared" si="2"/>
        <v>0</v>
      </c>
      <c r="AI40">
        <f t="shared" si="1"/>
        <v>0</v>
      </c>
    </row>
    <row r="41" spans="1:35" x14ac:dyDescent="0.35">
      <c r="A41" t="s">
        <v>22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44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82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49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85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45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23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17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86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16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47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notas</vt:lpstr>
      <vt:lpstr>conversão notas</vt:lpstr>
      <vt:lpstr>pagamento</vt:lpstr>
      <vt:lpstr>placares</vt:lpstr>
      <vt:lpstr>artilharia</vt:lpstr>
      <vt:lpstr>extrato 2024</vt:lpstr>
      <vt:lpstr>vagas mensal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2026-02-05T16:30:40Z</dcterms:modified>
</cp:coreProperties>
</file>