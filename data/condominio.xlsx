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4" documentId="14_{DA921E24-FFF9-4D4F-87A5-978DFD7A6C25}" xr6:coauthVersionLast="36" xr6:coauthVersionMax="36" xr10:uidLastSave="{139F0BBD-FE94-446A-A5A3-821F4175CFAE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artilharia!$A$1:$AB$76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notas!$A$1:$CB$74</definedName>
  </definedNames>
  <calcPr calcId="191029"/>
</workbook>
</file>

<file path=xl/calcChain.xml><?xml version="1.0" encoding="utf-8"?>
<calcChain xmlns="http://schemas.openxmlformats.org/spreadsheetml/2006/main">
  <c r="BZ76" i="1" l="1"/>
  <c r="BY76" i="1"/>
  <c r="CA76" i="1" s="1"/>
  <c r="R79" i="4" l="1"/>
  <c r="Q79" i="4"/>
  <c r="P79" i="4"/>
  <c r="R78" i="4" l="1"/>
  <c r="R32" i="4"/>
  <c r="R73" i="4"/>
  <c r="R26" i="4"/>
  <c r="R54" i="4"/>
  <c r="R17" i="4"/>
  <c r="R80" i="4" l="1"/>
  <c r="BZ3" i="1" l="1"/>
  <c r="BZ4" i="1"/>
  <c r="BZ5" i="1"/>
  <c r="BZ6" i="1"/>
  <c r="BZ7" i="1"/>
  <c r="BZ8" i="1"/>
  <c r="BZ9" i="1"/>
  <c r="BZ20" i="1"/>
  <c r="BZ10" i="1"/>
  <c r="BZ11" i="1"/>
  <c r="BZ12" i="1"/>
  <c r="BZ21" i="1"/>
  <c r="BZ13" i="1"/>
  <c r="BZ14" i="1"/>
  <c r="BZ15" i="1"/>
  <c r="BZ22" i="1"/>
  <c r="BZ16" i="1"/>
  <c r="BZ17" i="1"/>
  <c r="BZ18" i="1"/>
  <c r="BZ19" i="1"/>
  <c r="BZ23" i="1"/>
  <c r="BZ24" i="1"/>
  <c r="CA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2" i="1"/>
  <c r="BY3" i="1"/>
  <c r="CA3" i="1" s="1"/>
  <c r="BY4" i="1"/>
  <c r="CA4" i="1" s="1"/>
  <c r="BY5" i="1"/>
  <c r="CA5" i="1" s="1"/>
  <c r="BY6" i="1"/>
  <c r="CA6" i="1" s="1"/>
  <c r="BY7" i="1"/>
  <c r="CA7" i="1" s="1"/>
  <c r="BY8" i="1"/>
  <c r="CA8" i="1" s="1"/>
  <c r="BY9" i="1"/>
  <c r="CA9" i="1" s="1"/>
  <c r="BY20" i="1"/>
  <c r="CA20" i="1" s="1"/>
  <c r="BY10" i="1"/>
  <c r="CA10" i="1" s="1"/>
  <c r="BY11" i="1"/>
  <c r="CA11" i="1" s="1"/>
  <c r="BY12" i="1"/>
  <c r="CA12" i="1" s="1"/>
  <c r="BY21" i="1"/>
  <c r="CA21" i="1" s="1"/>
  <c r="BY13" i="1"/>
  <c r="CA13" i="1" s="1"/>
  <c r="BY14" i="1"/>
  <c r="CA14" i="1" s="1"/>
  <c r="BY15" i="1"/>
  <c r="CA15" i="1" s="1"/>
  <c r="BY22" i="1"/>
  <c r="CA22" i="1" s="1"/>
  <c r="BY16" i="1"/>
  <c r="CA16" i="1" s="1"/>
  <c r="BY17" i="1"/>
  <c r="CA17" i="1" s="1"/>
  <c r="BY18" i="1"/>
  <c r="CA18" i="1" s="1"/>
  <c r="BY19" i="1"/>
  <c r="CA19" i="1" s="1"/>
  <c r="BY23" i="1"/>
  <c r="CA23" i="1" s="1"/>
  <c r="BY24" i="1"/>
  <c r="BY25" i="1"/>
  <c r="CA25" i="1" s="1"/>
  <c r="BY26" i="1"/>
  <c r="CA26" i="1" s="1"/>
  <c r="BY27" i="1"/>
  <c r="CA27" i="1" s="1"/>
  <c r="BY28" i="1"/>
  <c r="CA28" i="1" s="1"/>
  <c r="BY29" i="1"/>
  <c r="CA29" i="1" s="1"/>
  <c r="BY30" i="1"/>
  <c r="CA30" i="1" s="1"/>
  <c r="BY31" i="1"/>
  <c r="CA31" i="1" s="1"/>
  <c r="BY32" i="1"/>
  <c r="CA32" i="1" s="1"/>
  <c r="BY33" i="1"/>
  <c r="CA33" i="1" s="1"/>
  <c r="BY34" i="1"/>
  <c r="CA34" i="1" s="1"/>
  <c r="BY35" i="1"/>
  <c r="CA35" i="1" s="1"/>
  <c r="BY36" i="1"/>
  <c r="CA36" i="1" s="1"/>
  <c r="BY37" i="1"/>
  <c r="CA37" i="1" s="1"/>
  <c r="BY38" i="1"/>
  <c r="CA38" i="1" s="1"/>
  <c r="BY39" i="1"/>
  <c r="CA39" i="1" s="1"/>
  <c r="BY40" i="1"/>
  <c r="CA40" i="1" s="1"/>
  <c r="BY41" i="1"/>
  <c r="CA41" i="1" s="1"/>
  <c r="BY42" i="1"/>
  <c r="CA42" i="1" s="1"/>
  <c r="BY43" i="1"/>
  <c r="CA43" i="1" s="1"/>
  <c r="BY44" i="1"/>
  <c r="CA44" i="1" s="1"/>
  <c r="BY45" i="1"/>
  <c r="CA45" i="1" s="1"/>
  <c r="BY46" i="1"/>
  <c r="CA46" i="1" s="1"/>
  <c r="BY47" i="1"/>
  <c r="CA47" i="1" s="1"/>
  <c r="BY48" i="1"/>
  <c r="CA48" i="1" s="1"/>
  <c r="BY49" i="1"/>
  <c r="CA49" i="1" s="1"/>
  <c r="BY50" i="1"/>
  <c r="CA50" i="1" s="1"/>
  <c r="BY51" i="1"/>
  <c r="CA51" i="1" s="1"/>
  <c r="BY52" i="1"/>
  <c r="CA52" i="1" s="1"/>
  <c r="BY53" i="1"/>
  <c r="CA53" i="1" s="1"/>
  <c r="BY54" i="1"/>
  <c r="CA54" i="1" s="1"/>
  <c r="BY55" i="1"/>
  <c r="CA55" i="1" s="1"/>
  <c r="BY56" i="1"/>
  <c r="CA56" i="1" s="1"/>
  <c r="BY57" i="1"/>
  <c r="CA57" i="1" s="1"/>
  <c r="BY58" i="1"/>
  <c r="CA58" i="1" s="1"/>
  <c r="BY59" i="1"/>
  <c r="CA59" i="1" s="1"/>
  <c r="BY60" i="1"/>
  <c r="CA60" i="1" s="1"/>
  <c r="BY61" i="1"/>
  <c r="CA61" i="1" s="1"/>
  <c r="BY62" i="1"/>
  <c r="CA62" i="1" s="1"/>
  <c r="BY63" i="1"/>
  <c r="CA63" i="1" s="1"/>
  <c r="BY64" i="1"/>
  <c r="CA64" i="1" s="1"/>
  <c r="BY65" i="1"/>
  <c r="CA65" i="1" s="1"/>
  <c r="BY66" i="1"/>
  <c r="CA66" i="1" s="1"/>
  <c r="BY67" i="1"/>
  <c r="CA67" i="1" s="1"/>
  <c r="BY68" i="1"/>
  <c r="CA68" i="1" s="1"/>
  <c r="BY69" i="1"/>
  <c r="CA69" i="1" s="1"/>
  <c r="BY70" i="1"/>
  <c r="CA70" i="1" s="1"/>
  <c r="BY71" i="1"/>
  <c r="CA71" i="1" s="1"/>
  <c r="BY72" i="1"/>
  <c r="CA72" i="1" s="1"/>
  <c r="BY73" i="1"/>
  <c r="CA73" i="1" s="1"/>
  <c r="BY74" i="1"/>
  <c r="CA74" i="1" s="1"/>
  <c r="BY75" i="1"/>
  <c r="CA75" i="1" s="1"/>
  <c r="BY2" i="1"/>
  <c r="CA2" i="1" l="1"/>
  <c r="Q80" i="4" l="1"/>
  <c r="Q78" i="4" l="1"/>
  <c r="O79" i="4" l="1"/>
  <c r="P43" i="4" l="1"/>
  <c r="P78" i="4" s="1"/>
  <c r="P80" i="4" s="1"/>
  <c r="N79" i="4" l="1"/>
  <c r="K79" i="4"/>
  <c r="O30" i="4" l="1"/>
  <c r="O60" i="4"/>
  <c r="O78" i="4"/>
  <c r="U6" i="4"/>
  <c r="O80" i="4" l="1"/>
  <c r="M79" i="4" l="1"/>
  <c r="L79" i="4" l="1"/>
  <c r="U7" i="4"/>
  <c r="U8" i="4" s="1"/>
  <c r="M78" i="4"/>
  <c r="N78" i="4"/>
  <c r="N80" i="4" l="1"/>
  <c r="M80" i="4" l="1"/>
  <c r="L78" i="4" l="1"/>
  <c r="L80" i="4" l="1"/>
  <c r="J79" i="4" l="1"/>
  <c r="I79" i="4"/>
  <c r="K54" i="4" l="1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78" i="4" s="1"/>
  <c r="K2" i="4"/>
  <c r="K80" i="4" l="1"/>
  <c r="J78" i="4" l="1"/>
  <c r="J80" i="4" l="1"/>
  <c r="E79" i="4" l="1"/>
  <c r="G79" i="4" l="1"/>
  <c r="H79" i="4"/>
  <c r="I78" i="4" l="1"/>
  <c r="I80" i="4" s="1"/>
  <c r="D79" i="4" l="1"/>
  <c r="C79" i="4"/>
  <c r="B10" i="6" l="1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E33" i="6" l="1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I5" i="6" l="1"/>
  <c r="J5" i="6" s="1"/>
  <c r="H6" i="6"/>
  <c r="F79" i="4"/>
  <c r="H78" i="4"/>
  <c r="H7" i="6" l="1"/>
  <c r="I6" i="6"/>
  <c r="J6" i="6" s="1"/>
  <c r="H80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I7" i="6" l="1"/>
  <c r="J7" i="6" s="1"/>
  <c r="H8" i="6"/>
  <c r="AH12" i="3"/>
  <c r="AI12" i="3"/>
  <c r="AH40" i="3"/>
  <c r="AI40" i="3"/>
  <c r="H9" i="6" l="1"/>
  <c r="I8" i="6"/>
  <c r="J8" i="6" s="1"/>
  <c r="AH52" i="3"/>
  <c r="AI52" i="3"/>
  <c r="AH53" i="3"/>
  <c r="AI53" i="3"/>
  <c r="H10" i="6" l="1"/>
  <c r="I9" i="6"/>
  <c r="J9" i="6" s="1"/>
  <c r="G78" i="4"/>
  <c r="I10" i="6" l="1"/>
  <c r="J10" i="6" s="1"/>
  <c r="H11" i="6"/>
  <c r="G80" i="4"/>
  <c r="B79" i="4"/>
  <c r="E78" i="4"/>
  <c r="D78" i="4"/>
  <c r="C78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0" i="4" l="1"/>
  <c r="F78" i="4"/>
  <c r="H12" i="6"/>
  <c r="I11" i="6"/>
  <c r="J11" i="6" s="1"/>
  <c r="C80" i="4"/>
  <c r="D80" i="4"/>
  <c r="B78" i="4"/>
  <c r="B80" i="4" s="1"/>
  <c r="F80" i="4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<sst xmlns="http://schemas.openxmlformats.org/spreadsheetml/2006/main" count="4522" uniqueCount="379">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</sst>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76"/>
  <sheetViews>
    <sheetView zoomScale="85" zoomScaleNormal="85" workbookViewId="0">
      <pane xSplit="1" topLeftCell="BH1" activePane="topRight" state="frozen"/>
      <selection pane="topRight" activeCell="BY76" sqref="BY76:CB7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76" width="11" customWidth="1"/>
  </cols>
  <sheetData>
    <row r="1" spans="1:80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/>
      <c r="BY1" t="s">
        <v>57</v>
      </c>
      <c r="BZ1" t="s">
        <v>58</v>
      </c>
      <c r="CA1" t="s">
        <v>59</v>
      </c>
      <c r="CB1" t="s">
        <v>62</v>
      </c>
    </row>
    <row r="2" spans="1:80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Y2">
        <f t="shared" ref="BY2:BY33" si="0">COUNT(B2:BX2)</f>
        <v>69</v>
      </c>
      <c r="BZ2" s="18">
        <f t="shared" ref="BZ2:BZ33" si="1">AVERAGE(B2:BX2)</f>
        <v>5.7391304347826084</v>
      </c>
      <c r="CA2">
        <f t="shared" ref="CA2:CA33" si="2">IF(BY2&gt;1,_xlfn.STDEV.S(B2:BX2),"")</f>
        <v>1.0311640183484747</v>
      </c>
      <c r="CB2">
        <v>1</v>
      </c>
    </row>
    <row r="3" spans="1:80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Y3">
        <f t="shared" si="0"/>
        <v>66</v>
      </c>
      <c r="BZ3" s="18">
        <f t="shared" si="1"/>
        <v>5.4015151515151514</v>
      </c>
      <c r="CA3">
        <f t="shared" si="2"/>
        <v>0.89106546841277001</v>
      </c>
      <c r="CB3">
        <v>1</v>
      </c>
    </row>
    <row r="4" spans="1:80" x14ac:dyDescent="0.35">
      <c r="A4" t="s">
        <v>20</v>
      </c>
      <c r="B4" t="s">
        <v>26</v>
      </c>
      <c r="C4" t="s">
        <v>26</v>
      </c>
      <c r="D4">
        <v>7</v>
      </c>
      <c r="E4">
        <v>7</v>
      </c>
      <c r="F4">
        <v>7</v>
      </c>
      <c r="G4">
        <v>7</v>
      </c>
      <c r="H4">
        <v>7.5</v>
      </c>
      <c r="I4">
        <v>7</v>
      </c>
      <c r="J4">
        <v>7.5</v>
      </c>
      <c r="K4">
        <v>7</v>
      </c>
      <c r="L4">
        <v>6</v>
      </c>
      <c r="M4">
        <v>5.5</v>
      </c>
      <c r="N4">
        <v>5.5</v>
      </c>
      <c r="O4" t="s">
        <v>26</v>
      </c>
      <c r="P4">
        <v>7</v>
      </c>
      <c r="Q4">
        <v>4.5</v>
      </c>
      <c r="R4">
        <v>6</v>
      </c>
      <c r="S4">
        <v>7</v>
      </c>
      <c r="T4">
        <v>6</v>
      </c>
      <c r="U4">
        <v>7</v>
      </c>
      <c r="V4">
        <v>6</v>
      </c>
      <c r="W4">
        <v>6</v>
      </c>
      <c r="X4">
        <v>5.5</v>
      </c>
      <c r="Y4">
        <v>6</v>
      </c>
      <c r="Z4">
        <v>6</v>
      </c>
      <c r="AA4">
        <v>7</v>
      </c>
      <c r="AB4">
        <v>5.5</v>
      </c>
      <c r="AC4">
        <v>6</v>
      </c>
      <c r="AD4">
        <v>7</v>
      </c>
      <c r="AE4">
        <v>6</v>
      </c>
      <c r="AF4">
        <v>6</v>
      </c>
      <c r="AG4">
        <v>6.5</v>
      </c>
      <c r="AI4">
        <v>5.5</v>
      </c>
      <c r="AJ4">
        <v>5</v>
      </c>
      <c r="AK4">
        <v>5.5</v>
      </c>
      <c r="AL4">
        <v>5</v>
      </c>
      <c r="AM4">
        <v>5</v>
      </c>
      <c r="AN4">
        <v>5.5</v>
      </c>
      <c r="AP4">
        <v>5</v>
      </c>
      <c r="AQ4">
        <v>4.5</v>
      </c>
      <c r="AR4">
        <v>4.5</v>
      </c>
      <c r="AT4">
        <v>5.5</v>
      </c>
      <c r="AU4">
        <v>5.5</v>
      </c>
      <c r="AV4">
        <v>5</v>
      </c>
      <c r="AW4">
        <v>4.5</v>
      </c>
      <c r="AX4">
        <v>4.5</v>
      </c>
      <c r="AY4">
        <v>5</v>
      </c>
      <c r="AZ4">
        <v>5.5</v>
      </c>
      <c r="BB4">
        <v>4.5</v>
      </c>
      <c r="BC4">
        <v>6</v>
      </c>
      <c r="BD4">
        <v>5.5</v>
      </c>
      <c r="BE4">
        <v>4</v>
      </c>
      <c r="BF4">
        <v>4.5</v>
      </c>
      <c r="BG4">
        <v>5.5</v>
      </c>
      <c r="BH4">
        <v>5</v>
      </c>
      <c r="BI4">
        <v>5</v>
      </c>
      <c r="BJ4">
        <v>5.5</v>
      </c>
      <c r="BM4">
        <v>4</v>
      </c>
      <c r="BN4">
        <v>5.5</v>
      </c>
      <c r="BO4">
        <v>4.5</v>
      </c>
      <c r="BP4">
        <v>5</v>
      </c>
      <c r="BQ4">
        <v>5</v>
      </c>
      <c r="BR4">
        <v>5</v>
      </c>
      <c r="BT4">
        <v>5.5</v>
      </c>
      <c r="BY4">
        <f t="shared" si="0"/>
        <v>61</v>
      </c>
      <c r="BZ4" s="18">
        <f t="shared" si="1"/>
        <v>5.6721311475409832</v>
      </c>
      <c r="CA4">
        <f t="shared" si="2"/>
        <v>0.91234700042271633</v>
      </c>
      <c r="CB4">
        <v>1</v>
      </c>
    </row>
    <row r="5" spans="1:80" x14ac:dyDescent="0.35">
      <c r="A5" t="s">
        <v>82</v>
      </c>
      <c r="B5">
        <v>9</v>
      </c>
      <c r="C5" t="s">
        <v>26</v>
      </c>
      <c r="D5">
        <v>7.5</v>
      </c>
      <c r="E5">
        <v>7</v>
      </c>
      <c r="F5">
        <v>6</v>
      </c>
      <c r="G5">
        <v>7</v>
      </c>
      <c r="H5">
        <v>6</v>
      </c>
      <c r="I5">
        <v>7</v>
      </c>
      <c r="J5">
        <v>7</v>
      </c>
      <c r="K5">
        <v>7</v>
      </c>
      <c r="L5">
        <v>6</v>
      </c>
      <c r="M5">
        <v>6</v>
      </c>
      <c r="N5">
        <v>7</v>
      </c>
      <c r="O5">
        <v>7</v>
      </c>
      <c r="P5">
        <v>7</v>
      </c>
      <c r="Q5">
        <v>7</v>
      </c>
      <c r="R5">
        <v>7.5</v>
      </c>
      <c r="S5">
        <v>7</v>
      </c>
      <c r="T5">
        <v>7.5</v>
      </c>
      <c r="U5">
        <v>7</v>
      </c>
      <c r="V5">
        <v>7</v>
      </c>
      <c r="W5">
        <v>7</v>
      </c>
      <c r="X5">
        <v>6</v>
      </c>
      <c r="Y5">
        <v>6</v>
      </c>
      <c r="Z5">
        <v>6</v>
      </c>
      <c r="AA5">
        <v>7</v>
      </c>
      <c r="AB5">
        <v>7</v>
      </c>
      <c r="AC5">
        <v>7</v>
      </c>
      <c r="AD5" t="s">
        <v>26</v>
      </c>
      <c r="AE5">
        <v>7</v>
      </c>
      <c r="AF5">
        <v>6</v>
      </c>
      <c r="AG5">
        <v>6</v>
      </c>
      <c r="AH5">
        <v>5</v>
      </c>
      <c r="AI5">
        <v>6.5</v>
      </c>
      <c r="AJ5">
        <v>5.5</v>
      </c>
      <c r="AK5">
        <v>6.5</v>
      </c>
      <c r="AL5">
        <v>5.5</v>
      </c>
      <c r="AN5">
        <v>6.5</v>
      </c>
      <c r="AO5">
        <v>5.5</v>
      </c>
      <c r="AP5">
        <v>6</v>
      </c>
      <c r="AV5">
        <v>5</v>
      </c>
      <c r="AY5">
        <v>6</v>
      </c>
      <c r="BA5">
        <v>5</v>
      </c>
      <c r="BB5">
        <v>6</v>
      </c>
      <c r="BC5">
        <v>5</v>
      </c>
      <c r="BD5">
        <v>6.5</v>
      </c>
      <c r="BE5">
        <v>6</v>
      </c>
      <c r="BF5">
        <v>5</v>
      </c>
      <c r="BG5">
        <v>5.5</v>
      </c>
      <c r="BH5">
        <v>5.5</v>
      </c>
      <c r="BI5">
        <v>5</v>
      </c>
      <c r="BL5">
        <v>5</v>
      </c>
      <c r="BM5">
        <v>5.5</v>
      </c>
      <c r="BN5">
        <v>6.5</v>
      </c>
      <c r="BO5">
        <v>6</v>
      </c>
      <c r="BP5">
        <v>5</v>
      </c>
      <c r="BQ5">
        <v>5</v>
      </c>
      <c r="BR5">
        <v>5.5</v>
      </c>
      <c r="BS5">
        <v>5.5</v>
      </c>
      <c r="BV5">
        <v>5.5</v>
      </c>
      <c r="BW5">
        <v>5</v>
      </c>
      <c r="BY5">
        <f t="shared" si="0"/>
        <v>59</v>
      </c>
      <c r="BZ5" s="18">
        <f t="shared" si="1"/>
        <v>6.2118644067796609</v>
      </c>
      <c r="CA5">
        <f t="shared" si="2"/>
        <v>0.86703711604972711</v>
      </c>
      <c r="CB5">
        <v>1</v>
      </c>
    </row>
    <row r="6" spans="1:80" x14ac:dyDescent="0.35">
      <c r="A6" t="s">
        <v>6</v>
      </c>
      <c r="B6">
        <v>7.5</v>
      </c>
      <c r="C6">
        <v>7</v>
      </c>
      <c r="D6">
        <v>7</v>
      </c>
      <c r="E6">
        <v>7.5</v>
      </c>
      <c r="F6">
        <v>6</v>
      </c>
      <c r="G6">
        <v>6</v>
      </c>
      <c r="H6" t="s">
        <v>26</v>
      </c>
      <c r="I6">
        <v>7.5</v>
      </c>
      <c r="J6" t="s">
        <v>26</v>
      </c>
      <c r="K6">
        <v>7.5</v>
      </c>
      <c r="L6" t="s">
        <v>26</v>
      </c>
      <c r="M6" t="s">
        <v>26</v>
      </c>
      <c r="N6">
        <v>6</v>
      </c>
      <c r="O6">
        <v>7</v>
      </c>
      <c r="P6">
        <v>6</v>
      </c>
      <c r="Q6" t="s">
        <v>26</v>
      </c>
      <c r="R6" t="s">
        <v>26</v>
      </c>
      <c r="S6">
        <v>6</v>
      </c>
      <c r="T6">
        <v>7</v>
      </c>
      <c r="U6">
        <v>7</v>
      </c>
      <c r="V6" t="s">
        <v>26</v>
      </c>
      <c r="W6">
        <v>6</v>
      </c>
      <c r="X6">
        <v>6</v>
      </c>
      <c r="Y6" t="s">
        <v>26</v>
      </c>
      <c r="Z6" t="s">
        <v>26</v>
      </c>
      <c r="AA6">
        <v>6</v>
      </c>
      <c r="AB6" t="s">
        <v>26</v>
      </c>
      <c r="AC6" t="s">
        <v>26</v>
      </c>
      <c r="AD6" t="s">
        <v>26</v>
      </c>
      <c r="AE6">
        <v>6</v>
      </c>
      <c r="AF6">
        <v>6.5</v>
      </c>
      <c r="AG6">
        <v>7</v>
      </c>
      <c r="AH6">
        <v>5.5</v>
      </c>
      <c r="AJ6">
        <v>5.5</v>
      </c>
      <c r="AK6">
        <v>5</v>
      </c>
      <c r="AL6">
        <v>4.5</v>
      </c>
      <c r="AM6">
        <v>5.5</v>
      </c>
      <c r="AN6">
        <v>6.5</v>
      </c>
      <c r="AO6">
        <v>6</v>
      </c>
      <c r="AP6">
        <v>5</v>
      </c>
      <c r="AQ6">
        <v>5.5</v>
      </c>
      <c r="AR6">
        <v>5.5</v>
      </c>
      <c r="AS6">
        <v>5</v>
      </c>
      <c r="AT6">
        <v>5.5</v>
      </c>
      <c r="AU6">
        <v>5</v>
      </c>
      <c r="AV6">
        <v>5</v>
      </c>
      <c r="AX6">
        <v>10</v>
      </c>
      <c r="AY6">
        <v>5.5</v>
      </c>
      <c r="AZ6">
        <v>5</v>
      </c>
      <c r="BA6">
        <v>5</v>
      </c>
      <c r="BB6">
        <v>4.5</v>
      </c>
      <c r="BC6">
        <v>7</v>
      </c>
      <c r="BD6">
        <v>5.5</v>
      </c>
      <c r="BE6">
        <v>6.5</v>
      </c>
      <c r="BF6">
        <v>4.5</v>
      </c>
      <c r="BG6">
        <v>4.5</v>
      </c>
      <c r="BH6">
        <v>7.5</v>
      </c>
      <c r="BI6">
        <v>6.5</v>
      </c>
      <c r="BJ6">
        <v>6</v>
      </c>
      <c r="BK6">
        <v>5.5</v>
      </c>
      <c r="BL6">
        <v>5</v>
      </c>
      <c r="BM6">
        <v>6</v>
      </c>
      <c r="BN6">
        <v>6</v>
      </c>
      <c r="BO6">
        <v>6.5</v>
      </c>
      <c r="BP6">
        <v>5</v>
      </c>
      <c r="BQ6">
        <v>4.5</v>
      </c>
      <c r="BR6">
        <v>6</v>
      </c>
      <c r="BS6">
        <v>5</v>
      </c>
      <c r="BT6">
        <v>5.5</v>
      </c>
      <c r="BU6">
        <v>4.5</v>
      </c>
      <c r="BV6">
        <v>5.5</v>
      </c>
      <c r="BW6">
        <v>5</v>
      </c>
      <c r="BY6">
        <f t="shared" si="0"/>
        <v>60</v>
      </c>
      <c r="BZ6" s="18">
        <f t="shared" si="1"/>
        <v>5.9249999999999998</v>
      </c>
      <c r="CA6">
        <f t="shared" si="2"/>
        <v>1.0285129960534509</v>
      </c>
      <c r="CB6">
        <v>1</v>
      </c>
    </row>
    <row r="7" spans="1:80" x14ac:dyDescent="0.35">
      <c r="A7" t="s">
        <v>4</v>
      </c>
      <c r="B7">
        <v>4.5</v>
      </c>
      <c r="C7" t="s">
        <v>26</v>
      </c>
      <c r="D7">
        <v>6</v>
      </c>
      <c r="E7">
        <v>5.5</v>
      </c>
      <c r="F7">
        <v>6</v>
      </c>
      <c r="G7" t="s">
        <v>26</v>
      </c>
      <c r="H7">
        <v>7</v>
      </c>
      <c r="I7">
        <v>5.5</v>
      </c>
      <c r="J7">
        <v>6</v>
      </c>
      <c r="K7">
        <v>5.5</v>
      </c>
      <c r="L7">
        <v>7</v>
      </c>
      <c r="M7">
        <v>6</v>
      </c>
      <c r="N7">
        <v>7</v>
      </c>
      <c r="O7">
        <v>5.5</v>
      </c>
      <c r="P7">
        <v>5.5</v>
      </c>
      <c r="Q7">
        <v>7</v>
      </c>
      <c r="R7">
        <v>6</v>
      </c>
      <c r="S7">
        <v>6</v>
      </c>
      <c r="T7">
        <v>7</v>
      </c>
      <c r="U7">
        <v>6</v>
      </c>
      <c r="V7">
        <v>5.5</v>
      </c>
      <c r="W7">
        <v>5.5</v>
      </c>
      <c r="X7">
        <v>6</v>
      </c>
      <c r="Y7">
        <v>5.5</v>
      </c>
      <c r="Z7" t="s">
        <v>26</v>
      </c>
      <c r="AA7">
        <v>7</v>
      </c>
      <c r="AB7">
        <v>6</v>
      </c>
      <c r="AC7">
        <v>6</v>
      </c>
      <c r="AD7">
        <v>6</v>
      </c>
      <c r="AE7">
        <v>6.5</v>
      </c>
      <c r="AF7">
        <v>6</v>
      </c>
      <c r="AG7">
        <v>6</v>
      </c>
      <c r="AH7">
        <v>5</v>
      </c>
      <c r="AI7">
        <v>6</v>
      </c>
      <c r="AL7">
        <v>3</v>
      </c>
      <c r="AM7">
        <v>4</v>
      </c>
      <c r="AN7">
        <v>5.5</v>
      </c>
      <c r="AO7">
        <v>5</v>
      </c>
      <c r="AP7">
        <v>4.5</v>
      </c>
      <c r="AV7">
        <v>4</v>
      </c>
      <c r="AW7">
        <v>4.5</v>
      </c>
      <c r="AX7">
        <v>4.5</v>
      </c>
      <c r="AY7">
        <v>5</v>
      </c>
      <c r="AZ7">
        <v>4</v>
      </c>
      <c r="BA7">
        <v>5</v>
      </c>
      <c r="BB7">
        <v>5</v>
      </c>
      <c r="BC7">
        <v>6</v>
      </c>
      <c r="BH7">
        <v>5.5</v>
      </c>
      <c r="BI7">
        <v>5.5</v>
      </c>
      <c r="BJ7">
        <v>5.5</v>
      </c>
      <c r="BK7">
        <v>5</v>
      </c>
      <c r="BL7">
        <v>4.5</v>
      </c>
      <c r="BM7">
        <v>5</v>
      </c>
      <c r="BN7">
        <v>6</v>
      </c>
      <c r="BO7">
        <v>5</v>
      </c>
      <c r="BP7">
        <v>5</v>
      </c>
      <c r="BQ7">
        <v>5</v>
      </c>
      <c r="BR7">
        <v>5</v>
      </c>
      <c r="BS7">
        <v>5</v>
      </c>
      <c r="BT7">
        <v>5.5</v>
      </c>
      <c r="BU7">
        <v>5.5</v>
      </c>
      <c r="BV7">
        <v>5</v>
      </c>
      <c r="BW7">
        <v>5.5</v>
      </c>
      <c r="BY7">
        <f t="shared" si="0"/>
        <v>60</v>
      </c>
      <c r="BZ7" s="18">
        <f t="shared" si="1"/>
        <v>5.4916666666666663</v>
      </c>
      <c r="CA7">
        <f t="shared" si="2"/>
        <v>0.82076683174358145</v>
      </c>
      <c r="CB7">
        <v>1</v>
      </c>
    </row>
    <row r="8" spans="1:80" x14ac:dyDescent="0.35">
      <c r="A8" t="s">
        <v>9</v>
      </c>
      <c r="B8">
        <v>7</v>
      </c>
      <c r="C8" t="s">
        <v>26</v>
      </c>
      <c r="D8">
        <v>7</v>
      </c>
      <c r="E8">
        <v>6</v>
      </c>
      <c r="F8">
        <v>7.5</v>
      </c>
      <c r="G8">
        <v>7</v>
      </c>
      <c r="H8">
        <v>7</v>
      </c>
      <c r="I8" t="s">
        <v>26</v>
      </c>
      <c r="J8">
        <v>6</v>
      </c>
      <c r="K8" t="s">
        <v>26</v>
      </c>
      <c r="L8">
        <v>7</v>
      </c>
      <c r="M8">
        <v>7</v>
      </c>
      <c r="N8">
        <v>7.5</v>
      </c>
      <c r="O8">
        <v>6</v>
      </c>
      <c r="P8">
        <v>6</v>
      </c>
      <c r="Q8">
        <v>7</v>
      </c>
      <c r="R8" t="s">
        <v>26</v>
      </c>
      <c r="S8">
        <v>6</v>
      </c>
      <c r="T8">
        <v>7.5</v>
      </c>
      <c r="U8" t="s">
        <v>26</v>
      </c>
      <c r="V8">
        <v>6</v>
      </c>
      <c r="W8">
        <v>7</v>
      </c>
      <c r="X8">
        <v>7</v>
      </c>
      <c r="Y8" t="s">
        <v>26</v>
      </c>
      <c r="Z8">
        <v>7.5</v>
      </c>
      <c r="AA8">
        <v>7</v>
      </c>
      <c r="AB8">
        <v>7</v>
      </c>
      <c r="AC8">
        <v>6</v>
      </c>
      <c r="AD8">
        <v>7</v>
      </c>
      <c r="AE8">
        <v>8</v>
      </c>
      <c r="AF8">
        <v>6.5</v>
      </c>
      <c r="AH8">
        <v>7.5</v>
      </c>
      <c r="AI8">
        <v>5.5</v>
      </c>
      <c r="AJ8">
        <v>5.5</v>
      </c>
      <c r="AK8">
        <v>5.5</v>
      </c>
      <c r="AM8">
        <v>7</v>
      </c>
      <c r="AQ8">
        <v>5</v>
      </c>
      <c r="AR8">
        <v>5.5</v>
      </c>
      <c r="AS8">
        <v>5</v>
      </c>
      <c r="AT8">
        <v>5.5</v>
      </c>
      <c r="AU8">
        <v>5.5</v>
      </c>
      <c r="AV8">
        <v>5.5</v>
      </c>
      <c r="AX8">
        <v>6</v>
      </c>
      <c r="AY8">
        <v>6.5</v>
      </c>
      <c r="AZ8">
        <v>5.5</v>
      </c>
      <c r="BA8">
        <v>5.5</v>
      </c>
      <c r="BB8">
        <v>4.5</v>
      </c>
      <c r="BC8">
        <v>4</v>
      </c>
      <c r="BD8">
        <v>4.5</v>
      </c>
      <c r="BE8">
        <v>5.5</v>
      </c>
      <c r="BF8">
        <v>5</v>
      </c>
      <c r="BG8">
        <v>5</v>
      </c>
      <c r="BH8">
        <v>5</v>
      </c>
      <c r="BK8">
        <v>5</v>
      </c>
      <c r="BL8">
        <v>5.5</v>
      </c>
      <c r="BM8">
        <v>5</v>
      </c>
      <c r="BP8">
        <v>5.5</v>
      </c>
      <c r="BQ8">
        <v>7</v>
      </c>
      <c r="BR8">
        <v>6</v>
      </c>
      <c r="BS8">
        <v>5.5</v>
      </c>
      <c r="BT8">
        <v>5.5</v>
      </c>
      <c r="BU8">
        <v>5.5</v>
      </c>
      <c r="BW8">
        <v>6</v>
      </c>
      <c r="BY8">
        <f t="shared" si="0"/>
        <v>57</v>
      </c>
      <c r="BZ8" s="18">
        <f t="shared" si="1"/>
        <v>6.0877192982456139</v>
      </c>
      <c r="CA8">
        <f t="shared" si="2"/>
        <v>0.93121851345401152</v>
      </c>
      <c r="CB8">
        <v>1</v>
      </c>
    </row>
    <row r="9" spans="1:80" x14ac:dyDescent="0.35">
      <c r="A9" t="s">
        <v>5</v>
      </c>
      <c r="B9">
        <v>10</v>
      </c>
      <c r="C9">
        <v>8.5</v>
      </c>
      <c r="D9">
        <v>8.5</v>
      </c>
      <c r="E9">
        <v>7.5</v>
      </c>
      <c r="F9">
        <v>7</v>
      </c>
      <c r="G9">
        <v>7.5</v>
      </c>
      <c r="H9">
        <v>7</v>
      </c>
      <c r="I9" t="s">
        <v>26</v>
      </c>
      <c r="J9">
        <v>8.5</v>
      </c>
      <c r="K9">
        <v>7.5</v>
      </c>
      <c r="L9">
        <v>8.5</v>
      </c>
      <c r="M9">
        <v>7</v>
      </c>
      <c r="N9">
        <v>7.5</v>
      </c>
      <c r="O9">
        <v>7.5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6</v>
      </c>
      <c r="W9">
        <v>7.5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F9">
        <v>6.5</v>
      </c>
      <c r="AG9">
        <v>10</v>
      </c>
      <c r="AI9">
        <v>6.5</v>
      </c>
      <c r="AJ9">
        <v>5.5</v>
      </c>
      <c r="AK9">
        <v>6.5</v>
      </c>
      <c r="AL9">
        <v>6</v>
      </c>
      <c r="AO9">
        <v>6</v>
      </c>
      <c r="AP9">
        <v>5</v>
      </c>
      <c r="AQ9">
        <v>5.5</v>
      </c>
      <c r="AR9">
        <v>6.5</v>
      </c>
      <c r="AS9">
        <v>6</v>
      </c>
      <c r="AT9">
        <v>5.5</v>
      </c>
      <c r="AU9">
        <v>6.5</v>
      </c>
      <c r="AV9">
        <v>6</v>
      </c>
      <c r="AW9">
        <v>6</v>
      </c>
      <c r="AX9">
        <v>6</v>
      </c>
      <c r="AY9">
        <v>5.5</v>
      </c>
      <c r="AZ9">
        <v>7</v>
      </c>
      <c r="BA9">
        <v>8.5</v>
      </c>
      <c r="BB9">
        <v>5.5</v>
      </c>
      <c r="BC9">
        <v>4.5</v>
      </c>
      <c r="BD9">
        <v>5.5</v>
      </c>
      <c r="BE9">
        <v>6.5</v>
      </c>
      <c r="BF9">
        <v>5.5</v>
      </c>
      <c r="BG9">
        <v>5</v>
      </c>
      <c r="BK9">
        <v>5.5</v>
      </c>
      <c r="BL9">
        <v>6</v>
      </c>
      <c r="BO9">
        <v>5.5</v>
      </c>
      <c r="BP9">
        <v>5.5</v>
      </c>
      <c r="BQ9">
        <v>6</v>
      </c>
      <c r="BR9">
        <v>5.5</v>
      </c>
      <c r="BS9">
        <v>6</v>
      </c>
      <c r="BT9">
        <v>6</v>
      </c>
      <c r="BU9">
        <v>6.5</v>
      </c>
      <c r="BV9">
        <v>5.5</v>
      </c>
      <c r="BW9">
        <v>5.5</v>
      </c>
      <c r="BY9">
        <f t="shared" si="0"/>
        <v>58</v>
      </c>
      <c r="BZ9" s="18">
        <f t="shared" si="1"/>
        <v>6.5862068965517242</v>
      </c>
      <c r="CA9">
        <f t="shared" si="2"/>
        <v>1.1627928080004486</v>
      </c>
      <c r="CB9">
        <v>1</v>
      </c>
    </row>
    <row r="10" spans="1:80" x14ac:dyDescent="0.35">
      <c r="A10" t="s">
        <v>11</v>
      </c>
      <c r="B10">
        <v>5.5</v>
      </c>
      <c r="C10" t="s">
        <v>26</v>
      </c>
      <c r="D10">
        <v>7.5</v>
      </c>
      <c r="E10">
        <v>7.5</v>
      </c>
      <c r="F10">
        <v>7.5</v>
      </c>
      <c r="G10">
        <v>5.5</v>
      </c>
      <c r="H10" t="s">
        <v>26</v>
      </c>
      <c r="I10">
        <v>4.5</v>
      </c>
      <c r="J10">
        <v>7</v>
      </c>
      <c r="K10">
        <v>6</v>
      </c>
      <c r="L10" t="s">
        <v>26</v>
      </c>
      <c r="M10" t="s">
        <v>26</v>
      </c>
      <c r="N10">
        <v>6</v>
      </c>
      <c r="O10">
        <v>5.5</v>
      </c>
      <c r="P10">
        <v>6</v>
      </c>
      <c r="Q10" t="s">
        <v>26</v>
      </c>
      <c r="R10" t="s">
        <v>26</v>
      </c>
      <c r="S10">
        <v>4.5</v>
      </c>
      <c r="T10">
        <v>7</v>
      </c>
      <c r="U10" t="s">
        <v>26</v>
      </c>
      <c r="V10" t="s">
        <v>26</v>
      </c>
      <c r="W10" t="s">
        <v>26</v>
      </c>
      <c r="X10">
        <v>6</v>
      </c>
      <c r="Y10">
        <v>6</v>
      </c>
      <c r="Z10" t="s">
        <v>26</v>
      </c>
      <c r="AA10">
        <v>4.5</v>
      </c>
      <c r="AB10" t="s">
        <v>26</v>
      </c>
      <c r="AC10">
        <v>7</v>
      </c>
      <c r="AD10" t="s">
        <v>26</v>
      </c>
      <c r="AE10">
        <v>3</v>
      </c>
      <c r="AF10">
        <v>6</v>
      </c>
      <c r="AG10">
        <v>4.5</v>
      </c>
      <c r="AH10">
        <v>6</v>
      </c>
      <c r="AI10">
        <v>6</v>
      </c>
      <c r="AJ10">
        <v>5.5</v>
      </c>
      <c r="AK10">
        <v>7</v>
      </c>
      <c r="AL10">
        <v>5</v>
      </c>
      <c r="AM10">
        <v>4.5</v>
      </c>
      <c r="AN10">
        <v>4.5</v>
      </c>
      <c r="AO10">
        <v>5</v>
      </c>
      <c r="AP10">
        <v>5</v>
      </c>
      <c r="AR10">
        <v>5.5</v>
      </c>
      <c r="AS10">
        <v>5.5</v>
      </c>
      <c r="AT10">
        <v>5</v>
      </c>
      <c r="AU10">
        <v>6</v>
      </c>
      <c r="AV10">
        <v>5</v>
      </c>
      <c r="AX10">
        <v>5</v>
      </c>
      <c r="AY10">
        <v>4.5</v>
      </c>
      <c r="BD10">
        <v>4</v>
      </c>
      <c r="BE10">
        <v>6</v>
      </c>
      <c r="BG10">
        <v>3.5</v>
      </c>
      <c r="BH10">
        <v>5.5</v>
      </c>
      <c r="BI10">
        <v>5</v>
      </c>
      <c r="BJ10">
        <v>5</v>
      </c>
      <c r="BK10">
        <v>5</v>
      </c>
      <c r="BM10">
        <v>4.5</v>
      </c>
      <c r="BN10">
        <v>7</v>
      </c>
      <c r="BO10">
        <v>5</v>
      </c>
      <c r="BR10">
        <v>7</v>
      </c>
      <c r="BS10">
        <v>5.5</v>
      </c>
      <c r="BT10">
        <v>5.5</v>
      </c>
      <c r="BU10">
        <v>5.5</v>
      </c>
      <c r="BV10">
        <v>5</v>
      </c>
      <c r="BW10">
        <v>5</v>
      </c>
      <c r="BY10">
        <f t="shared" si="0"/>
        <v>52</v>
      </c>
      <c r="BZ10" s="18">
        <f t="shared" si="1"/>
        <v>5.5</v>
      </c>
      <c r="CA10">
        <f t="shared" si="2"/>
        <v>1.0048900047112757</v>
      </c>
      <c r="CB10">
        <v>1</v>
      </c>
    </row>
    <row r="11" spans="1:80" x14ac:dyDescent="0.35">
      <c r="A11" t="s">
        <v>367</v>
      </c>
      <c r="B11">
        <v>8.5</v>
      </c>
      <c r="C11" t="s">
        <v>26</v>
      </c>
      <c r="D11" t="s">
        <v>26</v>
      </c>
      <c r="E11">
        <v>7</v>
      </c>
      <c r="F11">
        <v>7</v>
      </c>
      <c r="G11" t="s">
        <v>26</v>
      </c>
      <c r="H11">
        <v>10</v>
      </c>
      <c r="I11">
        <v>7</v>
      </c>
      <c r="J11" t="s">
        <v>26</v>
      </c>
      <c r="K11">
        <v>6</v>
      </c>
      <c r="L11">
        <v>7</v>
      </c>
      <c r="M11">
        <v>6</v>
      </c>
      <c r="N11">
        <v>6</v>
      </c>
      <c r="O11">
        <v>6</v>
      </c>
      <c r="P11">
        <v>7</v>
      </c>
      <c r="Q11">
        <v>5.5</v>
      </c>
      <c r="R11">
        <v>7.5</v>
      </c>
      <c r="S11">
        <v>7</v>
      </c>
      <c r="T11">
        <v>7</v>
      </c>
      <c r="U11">
        <v>6</v>
      </c>
      <c r="V11">
        <v>7</v>
      </c>
      <c r="W11">
        <v>7</v>
      </c>
      <c r="X11">
        <v>7</v>
      </c>
      <c r="Y11" t="s">
        <v>26</v>
      </c>
      <c r="Z11">
        <v>6</v>
      </c>
      <c r="AA11">
        <v>6</v>
      </c>
      <c r="AB11" t="s">
        <v>26</v>
      </c>
      <c r="AC11">
        <v>6</v>
      </c>
      <c r="AD11" t="s">
        <v>26</v>
      </c>
      <c r="AF11">
        <v>7</v>
      </c>
      <c r="AG11">
        <v>5.5</v>
      </c>
      <c r="AH11">
        <v>5.5</v>
      </c>
      <c r="AI11">
        <v>5.5</v>
      </c>
      <c r="AJ11">
        <v>5.5</v>
      </c>
      <c r="AK11">
        <v>6.5</v>
      </c>
      <c r="AL11">
        <v>4.5</v>
      </c>
      <c r="AV11">
        <v>4.5</v>
      </c>
      <c r="AW11">
        <v>4.5</v>
      </c>
      <c r="AX11">
        <v>5</v>
      </c>
      <c r="AY11">
        <v>5.5</v>
      </c>
      <c r="AZ11">
        <v>5.5</v>
      </c>
      <c r="BA11">
        <v>5</v>
      </c>
      <c r="BD11">
        <v>4.5</v>
      </c>
      <c r="BE11">
        <v>6</v>
      </c>
      <c r="BF11">
        <v>6.5</v>
      </c>
      <c r="BG11">
        <v>5.5</v>
      </c>
      <c r="BH11">
        <v>5</v>
      </c>
      <c r="BK11">
        <v>4.5</v>
      </c>
      <c r="BL11">
        <v>5</v>
      </c>
      <c r="BM11">
        <v>5.5</v>
      </c>
      <c r="BN11">
        <v>5.5</v>
      </c>
      <c r="BO11">
        <v>5</v>
      </c>
      <c r="BP11">
        <v>5.5</v>
      </c>
      <c r="BQ11">
        <v>5</v>
      </c>
      <c r="BR11">
        <v>4.5</v>
      </c>
      <c r="BS11">
        <v>5.5</v>
      </c>
      <c r="BT11">
        <v>5</v>
      </c>
      <c r="BV11">
        <v>5.5</v>
      </c>
      <c r="BW11">
        <v>5</v>
      </c>
      <c r="BY11">
        <f t="shared" si="0"/>
        <v>52</v>
      </c>
      <c r="BZ11" s="18">
        <f t="shared" si="1"/>
        <v>5.9326923076923075</v>
      </c>
      <c r="CA11">
        <f t="shared" si="2"/>
        <v>1.0892921165756164</v>
      </c>
      <c r="CB11">
        <v>1</v>
      </c>
    </row>
    <row r="12" spans="1:80" x14ac:dyDescent="0.35">
      <c r="A12" t="s">
        <v>16</v>
      </c>
      <c r="B12">
        <v>7.5</v>
      </c>
      <c r="C12" t="s">
        <v>26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 t="s">
        <v>26</v>
      </c>
      <c r="J12" t="s">
        <v>26</v>
      </c>
      <c r="K12" t="s">
        <v>26</v>
      </c>
      <c r="L12" t="s">
        <v>26</v>
      </c>
      <c r="M12" t="s">
        <v>26</v>
      </c>
      <c r="N12" t="s">
        <v>26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  <c r="U12" t="s">
        <v>26</v>
      </c>
      <c r="V12">
        <v>7</v>
      </c>
      <c r="W12">
        <v>7</v>
      </c>
      <c r="X12">
        <v>6</v>
      </c>
      <c r="Y12">
        <v>7</v>
      </c>
      <c r="Z12">
        <v>7.5</v>
      </c>
      <c r="AA12">
        <v>7</v>
      </c>
      <c r="AB12">
        <v>7</v>
      </c>
      <c r="AC12">
        <v>7.5</v>
      </c>
      <c r="AD12">
        <v>7</v>
      </c>
      <c r="AE12">
        <v>6</v>
      </c>
      <c r="AF12">
        <v>6.5</v>
      </c>
      <c r="AH12">
        <v>6.5</v>
      </c>
      <c r="AI12">
        <v>6.5</v>
      </c>
      <c r="AJ12">
        <v>5.5</v>
      </c>
      <c r="AK12">
        <v>5.5</v>
      </c>
      <c r="AL12">
        <v>6</v>
      </c>
      <c r="AM12">
        <v>5</v>
      </c>
      <c r="AN12">
        <v>5</v>
      </c>
      <c r="AO12">
        <v>5</v>
      </c>
      <c r="AP12">
        <v>5.5</v>
      </c>
      <c r="AQ12">
        <v>5.5</v>
      </c>
      <c r="AR12">
        <v>6</v>
      </c>
      <c r="AS12">
        <v>5</v>
      </c>
      <c r="AT12">
        <v>5.5</v>
      </c>
      <c r="AV12">
        <v>4.5</v>
      </c>
      <c r="AX12">
        <v>6</v>
      </c>
      <c r="AY12">
        <v>5.5</v>
      </c>
      <c r="AZ12">
        <v>6.5</v>
      </c>
      <c r="BA12">
        <v>5</v>
      </c>
      <c r="BB12">
        <v>5</v>
      </c>
      <c r="BC12">
        <v>9.5</v>
      </c>
      <c r="BD12">
        <v>5.5</v>
      </c>
      <c r="BE12">
        <v>6.5</v>
      </c>
      <c r="BF12">
        <v>4.5</v>
      </c>
      <c r="BG12">
        <v>6</v>
      </c>
      <c r="BH12">
        <v>5.5</v>
      </c>
      <c r="BI12">
        <v>7</v>
      </c>
      <c r="BJ12">
        <v>5.5</v>
      </c>
      <c r="BK12">
        <v>6.5</v>
      </c>
      <c r="BL12">
        <v>5.5</v>
      </c>
      <c r="BM12">
        <v>5.5</v>
      </c>
      <c r="BN12">
        <v>5</v>
      </c>
      <c r="BP12">
        <v>5.5</v>
      </c>
      <c r="BQ12">
        <v>5</v>
      </c>
      <c r="BR12">
        <v>5</v>
      </c>
      <c r="BS12">
        <v>5.5</v>
      </c>
      <c r="BU12">
        <v>5.5</v>
      </c>
      <c r="BV12">
        <v>6</v>
      </c>
      <c r="BW12">
        <v>5.5</v>
      </c>
      <c r="BY12">
        <f t="shared" si="0"/>
        <v>50</v>
      </c>
      <c r="BZ12" s="18">
        <f t="shared" si="1"/>
        <v>5.97</v>
      </c>
      <c r="CA12">
        <f t="shared" si="2"/>
        <v>0.95516853946071145</v>
      </c>
      <c r="CB12">
        <v>1</v>
      </c>
    </row>
    <row r="13" spans="1:80" x14ac:dyDescent="0.35">
      <c r="A13" t="s">
        <v>25</v>
      </c>
      <c r="B13" t="s">
        <v>26</v>
      </c>
      <c r="C13" t="s">
        <v>26</v>
      </c>
      <c r="D13" t="s">
        <v>26</v>
      </c>
      <c r="E13">
        <v>4.5</v>
      </c>
      <c r="F13">
        <v>6</v>
      </c>
      <c r="G13">
        <v>4</v>
      </c>
      <c r="H13" t="s">
        <v>26</v>
      </c>
      <c r="I13" t="s">
        <v>26</v>
      </c>
      <c r="J13">
        <v>4.5</v>
      </c>
      <c r="K13" t="s">
        <v>26</v>
      </c>
      <c r="L13">
        <v>2.5</v>
      </c>
      <c r="M13">
        <v>4.5</v>
      </c>
      <c r="N13">
        <v>5.5</v>
      </c>
      <c r="O13">
        <v>6</v>
      </c>
      <c r="P13">
        <v>4.5</v>
      </c>
      <c r="Q13" t="s">
        <v>26</v>
      </c>
      <c r="R13" t="s">
        <v>26</v>
      </c>
      <c r="S13">
        <v>4</v>
      </c>
      <c r="T13">
        <v>6</v>
      </c>
      <c r="U13">
        <v>2.5</v>
      </c>
      <c r="V13">
        <v>5.5</v>
      </c>
      <c r="W13">
        <v>6</v>
      </c>
      <c r="X13">
        <v>6</v>
      </c>
      <c r="Y13" t="s">
        <v>26</v>
      </c>
      <c r="Z13">
        <v>5.5</v>
      </c>
      <c r="AA13" t="s">
        <v>26</v>
      </c>
      <c r="AB13" t="s">
        <v>26</v>
      </c>
      <c r="AC13">
        <v>4</v>
      </c>
      <c r="AD13">
        <v>4.5</v>
      </c>
      <c r="AE13">
        <v>4</v>
      </c>
      <c r="AF13">
        <v>2.5</v>
      </c>
      <c r="AG13">
        <v>3</v>
      </c>
      <c r="AH13">
        <v>5</v>
      </c>
      <c r="AK13">
        <v>5</v>
      </c>
      <c r="AL13">
        <v>2.5</v>
      </c>
      <c r="AM13">
        <v>4</v>
      </c>
      <c r="AO13">
        <v>5.5</v>
      </c>
      <c r="AP13">
        <v>5.5</v>
      </c>
      <c r="AQ13">
        <v>4</v>
      </c>
      <c r="AR13">
        <v>3.5</v>
      </c>
      <c r="AT13">
        <v>5</v>
      </c>
      <c r="AU13">
        <v>4</v>
      </c>
      <c r="AX13">
        <v>5.5</v>
      </c>
      <c r="AY13">
        <v>4.5</v>
      </c>
      <c r="AZ13">
        <v>4.5</v>
      </c>
      <c r="BA13">
        <v>5</v>
      </c>
      <c r="BC13">
        <v>4</v>
      </c>
      <c r="BE13">
        <v>4.5</v>
      </c>
      <c r="BK13">
        <v>4.5</v>
      </c>
      <c r="BL13">
        <v>4</v>
      </c>
      <c r="BM13">
        <v>5</v>
      </c>
      <c r="BO13">
        <v>4.5</v>
      </c>
      <c r="BR13">
        <v>4.5</v>
      </c>
      <c r="BT13">
        <v>5</v>
      </c>
      <c r="BY13">
        <f t="shared" si="0"/>
        <v>43</v>
      </c>
      <c r="BZ13" s="18">
        <f t="shared" si="1"/>
        <v>4.5348837209302326</v>
      </c>
      <c r="CA13">
        <f t="shared" si="2"/>
        <v>0.97830848210431687</v>
      </c>
      <c r="CB13">
        <v>1</v>
      </c>
    </row>
    <row r="14" spans="1:80" x14ac:dyDescent="0.35">
      <c r="A14" t="s">
        <v>19</v>
      </c>
      <c r="B14">
        <v>10</v>
      </c>
      <c r="C14" t="s">
        <v>26</v>
      </c>
      <c r="D14">
        <v>7</v>
      </c>
      <c r="E14">
        <v>7</v>
      </c>
      <c r="F14">
        <v>6</v>
      </c>
      <c r="G14" t="s">
        <v>26</v>
      </c>
      <c r="H14" t="s">
        <v>26</v>
      </c>
      <c r="I14" t="s">
        <v>26</v>
      </c>
      <c r="J14" t="s">
        <v>26</v>
      </c>
      <c r="K14" t="s">
        <v>26</v>
      </c>
      <c r="L14" t="s">
        <v>26</v>
      </c>
      <c r="M14">
        <v>6</v>
      </c>
      <c r="N14">
        <v>6</v>
      </c>
      <c r="O14">
        <v>6</v>
      </c>
      <c r="P14">
        <v>6</v>
      </c>
      <c r="Q14">
        <v>7</v>
      </c>
      <c r="R14" t="s">
        <v>26</v>
      </c>
      <c r="S14" t="s">
        <v>26</v>
      </c>
      <c r="T14">
        <v>6</v>
      </c>
      <c r="U14">
        <v>6</v>
      </c>
      <c r="V14">
        <v>7</v>
      </c>
      <c r="W14">
        <v>6</v>
      </c>
      <c r="X14" t="s">
        <v>26</v>
      </c>
      <c r="Y14">
        <v>8.5</v>
      </c>
      <c r="Z14">
        <v>6</v>
      </c>
      <c r="AA14">
        <v>6</v>
      </c>
      <c r="AB14">
        <v>5.5</v>
      </c>
      <c r="AC14" t="s">
        <v>26</v>
      </c>
      <c r="AD14" t="s">
        <v>26</v>
      </c>
      <c r="AE14">
        <v>6</v>
      </c>
      <c r="AF14">
        <v>6.5</v>
      </c>
      <c r="AG14">
        <v>6.5</v>
      </c>
      <c r="AL14">
        <v>4.5</v>
      </c>
      <c r="AM14">
        <v>5.5</v>
      </c>
      <c r="AQ14">
        <v>5</v>
      </c>
      <c r="AT14">
        <v>5.5</v>
      </c>
      <c r="AU14">
        <v>5.5</v>
      </c>
      <c r="AV14">
        <v>5</v>
      </c>
      <c r="AW14">
        <v>5</v>
      </c>
      <c r="AX14">
        <v>5.5</v>
      </c>
      <c r="AZ14">
        <v>5.5</v>
      </c>
      <c r="BA14">
        <v>5</v>
      </c>
      <c r="BC14">
        <v>7</v>
      </c>
      <c r="BE14">
        <v>4.5</v>
      </c>
      <c r="BF14">
        <v>7.5</v>
      </c>
      <c r="BG14">
        <v>5</v>
      </c>
      <c r="BH14">
        <v>6</v>
      </c>
      <c r="BI14">
        <v>5</v>
      </c>
      <c r="BK14">
        <v>5.5</v>
      </c>
      <c r="BL14">
        <v>5.5</v>
      </c>
      <c r="BM14">
        <v>5</v>
      </c>
      <c r="BO14">
        <v>5</v>
      </c>
      <c r="BP14">
        <v>5.5</v>
      </c>
      <c r="BS14">
        <v>5.5</v>
      </c>
      <c r="BV14">
        <v>5.5</v>
      </c>
      <c r="BW14">
        <v>5.5</v>
      </c>
      <c r="BY14">
        <f t="shared" si="0"/>
        <v>44</v>
      </c>
      <c r="BZ14" s="18">
        <f t="shared" si="1"/>
        <v>5.9318181818181817</v>
      </c>
      <c r="CA14">
        <f t="shared" si="2"/>
        <v>1.0263443203173968</v>
      </c>
      <c r="CB14">
        <v>1</v>
      </c>
    </row>
    <row r="15" spans="1:80" x14ac:dyDescent="0.35">
      <c r="A15" t="s">
        <v>55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>
        <v>6</v>
      </c>
      <c r="P15" t="s">
        <v>26</v>
      </c>
      <c r="Q15">
        <v>4.5</v>
      </c>
      <c r="R15" t="s">
        <v>26</v>
      </c>
      <c r="S15" t="s">
        <v>26</v>
      </c>
      <c r="T15">
        <v>7</v>
      </c>
      <c r="U15">
        <v>7</v>
      </c>
      <c r="V15">
        <v>6</v>
      </c>
      <c r="W15">
        <v>6</v>
      </c>
      <c r="X15">
        <v>6</v>
      </c>
      <c r="Y15">
        <v>7.5</v>
      </c>
      <c r="Z15">
        <v>6</v>
      </c>
      <c r="AA15">
        <v>6</v>
      </c>
      <c r="AB15" t="s">
        <v>26</v>
      </c>
      <c r="AC15">
        <v>6</v>
      </c>
      <c r="AD15">
        <v>7</v>
      </c>
      <c r="AF15">
        <v>7</v>
      </c>
      <c r="AG15">
        <v>7</v>
      </c>
      <c r="AQ15">
        <v>7</v>
      </c>
      <c r="AR15">
        <v>6.5</v>
      </c>
      <c r="AS15">
        <v>5</v>
      </c>
      <c r="AT15">
        <v>5</v>
      </c>
      <c r="AU15">
        <v>5</v>
      </c>
      <c r="AV15">
        <v>5</v>
      </c>
      <c r="AW15">
        <v>5</v>
      </c>
      <c r="AZ15">
        <v>5.5</v>
      </c>
      <c r="BC15">
        <v>4.5</v>
      </c>
      <c r="BE15">
        <v>5.5</v>
      </c>
      <c r="BF15">
        <v>5.5</v>
      </c>
      <c r="BH15">
        <v>5.5</v>
      </c>
      <c r="BJ15">
        <v>5</v>
      </c>
      <c r="BM15">
        <v>5</v>
      </c>
      <c r="BN15">
        <v>4.5</v>
      </c>
      <c r="BO15">
        <v>5.5</v>
      </c>
      <c r="BQ15">
        <v>5</v>
      </c>
      <c r="BR15">
        <v>6</v>
      </c>
      <c r="BS15">
        <v>5.5</v>
      </c>
      <c r="BT15">
        <v>5.5</v>
      </c>
      <c r="BU15">
        <v>5</v>
      </c>
      <c r="BY15">
        <f t="shared" si="0"/>
        <v>35</v>
      </c>
      <c r="BZ15" s="18">
        <f t="shared" si="1"/>
        <v>5.7428571428571429</v>
      </c>
      <c r="CA15">
        <f t="shared" si="2"/>
        <v>0.8346488216382898</v>
      </c>
      <c r="CB15">
        <v>1</v>
      </c>
    </row>
    <row r="16" spans="1:80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5.5</v>
      </c>
      <c r="G16">
        <v>4.5</v>
      </c>
      <c r="H16">
        <v>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6</v>
      </c>
      <c r="R16" t="s">
        <v>26</v>
      </c>
      <c r="S16">
        <v>6</v>
      </c>
      <c r="T16">
        <v>6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G16">
        <v>6.5</v>
      </c>
      <c r="AI16">
        <v>4</v>
      </c>
      <c r="AJ16">
        <v>3.5</v>
      </c>
      <c r="AK16">
        <v>3</v>
      </c>
      <c r="AL16">
        <v>5</v>
      </c>
      <c r="AN16">
        <v>5</v>
      </c>
      <c r="AO16">
        <v>5</v>
      </c>
      <c r="AW16">
        <v>4.5</v>
      </c>
      <c r="AX16">
        <v>4.5</v>
      </c>
      <c r="AY16">
        <v>4.5</v>
      </c>
      <c r="AZ16">
        <v>4.5</v>
      </c>
      <c r="BB16">
        <v>5.5</v>
      </c>
      <c r="BC16">
        <v>2.5</v>
      </c>
      <c r="BE16">
        <v>4</v>
      </c>
      <c r="BF16">
        <v>5</v>
      </c>
      <c r="BG16">
        <v>3.5</v>
      </c>
      <c r="BH16">
        <v>4</v>
      </c>
      <c r="BI16">
        <v>5</v>
      </c>
      <c r="BJ16">
        <v>4.5</v>
      </c>
      <c r="BK16">
        <v>5</v>
      </c>
      <c r="BL16">
        <v>4.5</v>
      </c>
      <c r="BO16">
        <v>4</v>
      </c>
      <c r="BP16">
        <v>5</v>
      </c>
      <c r="BQ16">
        <v>4.5</v>
      </c>
      <c r="BS16">
        <v>4.5</v>
      </c>
      <c r="BT16">
        <v>4.5</v>
      </c>
      <c r="BV16">
        <v>4</v>
      </c>
      <c r="BY16">
        <f t="shared" si="0"/>
        <v>33</v>
      </c>
      <c r="BZ16" s="18">
        <f t="shared" si="1"/>
        <v>4.666666666666667</v>
      </c>
      <c r="CA16">
        <f t="shared" si="2"/>
        <v>0.88975652100260993</v>
      </c>
      <c r="CB16">
        <v>1</v>
      </c>
    </row>
    <row r="17" spans="1:80" x14ac:dyDescent="0.35">
      <c r="A17" t="s">
        <v>15</v>
      </c>
      <c r="B17">
        <v>7</v>
      </c>
      <c r="C17">
        <v>5.5</v>
      </c>
      <c r="D17" t="s">
        <v>26</v>
      </c>
      <c r="E17" t="s">
        <v>26</v>
      </c>
      <c r="F17" t="s">
        <v>26</v>
      </c>
      <c r="G17">
        <v>6</v>
      </c>
      <c r="H17">
        <v>4.5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6</v>
      </c>
      <c r="Q17">
        <v>5.5</v>
      </c>
      <c r="R17">
        <v>7</v>
      </c>
      <c r="S17">
        <v>6</v>
      </c>
      <c r="T17">
        <v>6</v>
      </c>
      <c r="U17">
        <v>7</v>
      </c>
      <c r="V17">
        <v>5.5</v>
      </c>
      <c r="W17">
        <v>6</v>
      </c>
      <c r="X17">
        <v>5.5</v>
      </c>
      <c r="Y17">
        <v>7</v>
      </c>
      <c r="Z17" t="s">
        <v>26</v>
      </c>
      <c r="AA17">
        <v>7</v>
      </c>
      <c r="AB17">
        <v>6</v>
      </c>
      <c r="AC17" t="s">
        <v>26</v>
      </c>
      <c r="AD17">
        <v>6</v>
      </c>
      <c r="BB17">
        <v>3.5</v>
      </c>
      <c r="BC17">
        <v>4</v>
      </c>
      <c r="BD17">
        <v>5</v>
      </c>
      <c r="BE17">
        <v>7</v>
      </c>
      <c r="BH17">
        <v>5</v>
      </c>
      <c r="BJ17">
        <v>4.5</v>
      </c>
      <c r="BK17">
        <v>5.5</v>
      </c>
      <c r="BL17">
        <v>5</v>
      </c>
      <c r="BM17">
        <v>5</v>
      </c>
      <c r="BN17">
        <v>5.5</v>
      </c>
      <c r="BR17">
        <v>5</v>
      </c>
      <c r="BS17">
        <v>5</v>
      </c>
      <c r="BW17">
        <v>5.5</v>
      </c>
      <c r="BY17">
        <f t="shared" si="0"/>
        <v>30</v>
      </c>
      <c r="BZ17" s="18">
        <f t="shared" si="1"/>
        <v>5.6333333333333337</v>
      </c>
      <c r="CA17">
        <f t="shared" si="2"/>
        <v>0.91851954846891593</v>
      </c>
      <c r="CB17">
        <v>1</v>
      </c>
    </row>
    <row r="18" spans="1:80" x14ac:dyDescent="0.35">
      <c r="A18" t="s">
        <v>56</v>
      </c>
      <c r="B18" t="s">
        <v>26</v>
      </c>
      <c r="C18" t="s">
        <v>26</v>
      </c>
      <c r="D18" t="s">
        <v>26</v>
      </c>
      <c r="E18" t="s">
        <v>26</v>
      </c>
      <c r="F18" t="s">
        <v>26</v>
      </c>
      <c r="G18" t="s">
        <v>26</v>
      </c>
      <c r="H18" t="s">
        <v>26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7</v>
      </c>
      <c r="T18" t="s">
        <v>26</v>
      </c>
      <c r="U18" t="s">
        <v>26</v>
      </c>
      <c r="V18">
        <v>7</v>
      </c>
      <c r="W18" t="s">
        <v>26</v>
      </c>
      <c r="X18">
        <v>6</v>
      </c>
      <c r="Y18">
        <v>7</v>
      </c>
      <c r="Z18">
        <v>7</v>
      </c>
      <c r="AA18" t="s">
        <v>26</v>
      </c>
      <c r="AB18">
        <v>7</v>
      </c>
      <c r="AC18">
        <v>4.5</v>
      </c>
      <c r="AD18">
        <v>7</v>
      </c>
      <c r="AE18">
        <v>6</v>
      </c>
      <c r="AF18">
        <v>5</v>
      </c>
      <c r="AG18">
        <v>6.5</v>
      </c>
      <c r="AH18">
        <v>6.5</v>
      </c>
      <c r="AI18">
        <v>6.5</v>
      </c>
      <c r="AJ18">
        <v>5</v>
      </c>
      <c r="AK18">
        <v>5</v>
      </c>
      <c r="AL18">
        <v>6</v>
      </c>
      <c r="AM18">
        <v>5</v>
      </c>
      <c r="AO18">
        <v>5</v>
      </c>
      <c r="AP18">
        <v>5.5</v>
      </c>
      <c r="AQ18">
        <v>4.5</v>
      </c>
      <c r="AR18">
        <v>5</v>
      </c>
      <c r="AS18">
        <v>5</v>
      </c>
      <c r="AT18">
        <v>5</v>
      </c>
      <c r="AU18">
        <v>6</v>
      </c>
      <c r="AV18">
        <v>4.5</v>
      </c>
      <c r="AW18">
        <v>5</v>
      </c>
      <c r="BP18">
        <v>5</v>
      </c>
      <c r="BQ18">
        <v>5</v>
      </c>
      <c r="BR18">
        <v>5.5</v>
      </c>
      <c r="BS18">
        <v>5.5</v>
      </c>
      <c r="BV18">
        <v>5</v>
      </c>
      <c r="BW18">
        <v>5.5</v>
      </c>
      <c r="BY18">
        <f t="shared" si="0"/>
        <v>33</v>
      </c>
      <c r="BZ18" s="18">
        <f t="shared" si="1"/>
        <v>5.6515151515151514</v>
      </c>
      <c r="CA18">
        <f t="shared" si="2"/>
        <v>0.84303069788457752</v>
      </c>
      <c r="CB18">
        <v>1</v>
      </c>
    </row>
    <row r="19" spans="1:80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6</v>
      </c>
      <c r="I19">
        <v>5.5</v>
      </c>
      <c r="J19">
        <v>5.5</v>
      </c>
      <c r="K19">
        <v>4</v>
      </c>
      <c r="L19" t="s">
        <v>26</v>
      </c>
      <c r="M19">
        <v>4</v>
      </c>
      <c r="N19">
        <v>4.5</v>
      </c>
      <c r="O19">
        <v>7.5</v>
      </c>
      <c r="P19">
        <v>7</v>
      </c>
      <c r="Q19">
        <v>4.5</v>
      </c>
      <c r="R19" t="s">
        <v>26</v>
      </c>
      <c r="S19" t="s">
        <v>26</v>
      </c>
      <c r="T19" t="s">
        <v>26</v>
      </c>
      <c r="U19">
        <v>5.5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H19">
        <v>5</v>
      </c>
      <c r="AI19">
        <v>5.5</v>
      </c>
      <c r="AJ19">
        <v>3.5</v>
      </c>
      <c r="BF19">
        <v>3.5</v>
      </c>
      <c r="BG19">
        <v>4.5</v>
      </c>
      <c r="BH19">
        <v>4</v>
      </c>
      <c r="BI19">
        <v>5</v>
      </c>
      <c r="BJ19">
        <v>3.5</v>
      </c>
      <c r="BK19">
        <v>4</v>
      </c>
      <c r="BL19">
        <v>5</v>
      </c>
      <c r="BO19">
        <v>5</v>
      </c>
      <c r="BQ19">
        <v>7</v>
      </c>
      <c r="BR19">
        <v>4.5</v>
      </c>
      <c r="BT19">
        <v>5</v>
      </c>
      <c r="BU19">
        <v>5.5</v>
      </c>
      <c r="BV19">
        <v>4.5</v>
      </c>
      <c r="BY19">
        <f t="shared" si="0"/>
        <v>26</v>
      </c>
      <c r="BZ19" s="18">
        <f t="shared" si="1"/>
        <v>4.9615384615384617</v>
      </c>
      <c r="CA19">
        <f t="shared" si="2"/>
        <v>1.0669871313476738</v>
      </c>
      <c r="CB19">
        <v>1</v>
      </c>
    </row>
    <row r="20" spans="1:80" x14ac:dyDescent="0.35">
      <c r="A20" t="s">
        <v>14</v>
      </c>
      <c r="B20">
        <v>7</v>
      </c>
      <c r="C20" t="s">
        <v>26</v>
      </c>
      <c r="D20">
        <v>7.5</v>
      </c>
      <c r="E20" t="s">
        <v>26</v>
      </c>
      <c r="F20">
        <v>6</v>
      </c>
      <c r="G20">
        <v>7</v>
      </c>
      <c r="H20">
        <v>4.5</v>
      </c>
      <c r="I20">
        <v>5.5</v>
      </c>
      <c r="J20" t="s">
        <v>26</v>
      </c>
      <c r="K20">
        <v>6</v>
      </c>
      <c r="L20">
        <v>6</v>
      </c>
      <c r="M20">
        <v>6</v>
      </c>
      <c r="N20" t="s">
        <v>26</v>
      </c>
      <c r="O20">
        <v>6</v>
      </c>
      <c r="P20">
        <v>5.5</v>
      </c>
      <c r="Q20">
        <v>5.5</v>
      </c>
      <c r="R20">
        <v>6</v>
      </c>
      <c r="S20">
        <v>4.5</v>
      </c>
      <c r="T20">
        <v>7</v>
      </c>
      <c r="U20" t="s">
        <v>26</v>
      </c>
      <c r="V20">
        <v>6</v>
      </c>
      <c r="W20" t="s">
        <v>26</v>
      </c>
      <c r="X20">
        <v>7</v>
      </c>
      <c r="Y20">
        <v>6</v>
      </c>
      <c r="Z20" t="s">
        <v>26</v>
      </c>
      <c r="AA20">
        <v>6</v>
      </c>
      <c r="AB20">
        <v>5.5</v>
      </c>
      <c r="AC20">
        <v>6</v>
      </c>
      <c r="AD20">
        <v>5.5</v>
      </c>
      <c r="AI20">
        <v>5</v>
      </c>
      <c r="AL20">
        <v>5.5</v>
      </c>
      <c r="AM20">
        <v>5</v>
      </c>
      <c r="AN20">
        <v>5</v>
      </c>
      <c r="AO20">
        <v>5</v>
      </c>
      <c r="AP20">
        <v>5</v>
      </c>
      <c r="AQ20">
        <v>5</v>
      </c>
      <c r="AR20">
        <v>4.5</v>
      </c>
      <c r="AS20">
        <v>5.5</v>
      </c>
      <c r="AT20">
        <v>5.5</v>
      </c>
      <c r="AV20">
        <v>5</v>
      </c>
      <c r="AY20">
        <v>4.5</v>
      </c>
      <c r="AZ20">
        <v>5</v>
      </c>
      <c r="BB20">
        <v>5</v>
      </c>
      <c r="BC20">
        <v>6</v>
      </c>
      <c r="BD20">
        <v>6</v>
      </c>
      <c r="BE20">
        <v>6</v>
      </c>
      <c r="BF20">
        <v>5</v>
      </c>
      <c r="BG20">
        <v>5.5</v>
      </c>
      <c r="BH20">
        <v>5</v>
      </c>
      <c r="BI20">
        <v>5</v>
      </c>
      <c r="BK20">
        <v>5.5</v>
      </c>
      <c r="BL20">
        <v>5</v>
      </c>
      <c r="BM20">
        <v>5</v>
      </c>
      <c r="BN20">
        <v>5.5</v>
      </c>
      <c r="BO20">
        <v>4.5</v>
      </c>
      <c r="BP20">
        <v>4.5</v>
      </c>
      <c r="BQ20">
        <v>5</v>
      </c>
      <c r="BR20">
        <v>4.5</v>
      </c>
      <c r="BY20">
        <f t="shared" si="0"/>
        <v>51</v>
      </c>
      <c r="BZ20" s="18">
        <f t="shared" si="1"/>
        <v>5.5</v>
      </c>
      <c r="CA20">
        <f t="shared" si="2"/>
        <v>0.73484692283495345</v>
      </c>
      <c r="CB20">
        <v>0</v>
      </c>
    </row>
    <row r="21" spans="1:80" x14ac:dyDescent="0.35">
      <c r="A21" t="s">
        <v>2</v>
      </c>
      <c r="B21">
        <v>7</v>
      </c>
      <c r="C21" t="s">
        <v>26</v>
      </c>
      <c r="D21">
        <v>4.5</v>
      </c>
      <c r="E21">
        <v>4.5</v>
      </c>
      <c r="F21">
        <v>5.5</v>
      </c>
      <c r="G21">
        <v>5.5</v>
      </c>
      <c r="H21">
        <v>7</v>
      </c>
      <c r="I21" t="s">
        <v>26</v>
      </c>
      <c r="J21">
        <v>6</v>
      </c>
      <c r="K21">
        <v>6</v>
      </c>
      <c r="L21">
        <v>5.5</v>
      </c>
      <c r="M21">
        <v>6</v>
      </c>
      <c r="N21" t="s">
        <v>26</v>
      </c>
      <c r="O21">
        <v>5.5</v>
      </c>
      <c r="P21">
        <v>6</v>
      </c>
      <c r="Q21">
        <v>4.5</v>
      </c>
      <c r="R21">
        <v>6</v>
      </c>
      <c r="S21">
        <v>7</v>
      </c>
      <c r="T21">
        <v>5.5</v>
      </c>
      <c r="U21">
        <v>5.5</v>
      </c>
      <c r="V21">
        <v>5.5</v>
      </c>
      <c r="W21">
        <v>5.5</v>
      </c>
      <c r="X21">
        <v>6</v>
      </c>
      <c r="Y21">
        <v>5.5</v>
      </c>
      <c r="Z21" t="s">
        <v>26</v>
      </c>
      <c r="AA21">
        <v>7</v>
      </c>
      <c r="AB21">
        <v>6</v>
      </c>
      <c r="AC21">
        <v>6</v>
      </c>
      <c r="AD21" t="s">
        <v>26</v>
      </c>
      <c r="AE21">
        <v>7</v>
      </c>
      <c r="AH21">
        <v>6.5</v>
      </c>
      <c r="AI21">
        <v>4.5</v>
      </c>
      <c r="AK21">
        <v>5</v>
      </c>
      <c r="AL21">
        <v>5</v>
      </c>
      <c r="AM21">
        <v>5.5</v>
      </c>
      <c r="AN21">
        <v>4</v>
      </c>
      <c r="AT21">
        <v>4.5</v>
      </c>
      <c r="AZ21">
        <v>4.5</v>
      </c>
      <c r="BC21">
        <v>4</v>
      </c>
      <c r="BG21">
        <v>4.5</v>
      </c>
      <c r="BH21">
        <v>5.5</v>
      </c>
      <c r="BI21">
        <v>5</v>
      </c>
      <c r="BJ21">
        <v>4.5</v>
      </c>
      <c r="BK21">
        <v>4.5</v>
      </c>
      <c r="BL21">
        <v>4.5</v>
      </c>
      <c r="BM21">
        <v>5</v>
      </c>
      <c r="BN21">
        <v>5.5</v>
      </c>
      <c r="BQ21">
        <v>5</v>
      </c>
      <c r="BW21">
        <v>5</v>
      </c>
      <c r="BY21">
        <f t="shared" si="0"/>
        <v>44</v>
      </c>
      <c r="BZ21" s="18">
        <f t="shared" si="1"/>
        <v>5.4204545454545459</v>
      </c>
      <c r="CA21">
        <f t="shared" si="2"/>
        <v>0.83487348866273359</v>
      </c>
      <c r="CB21">
        <v>0</v>
      </c>
    </row>
    <row r="22" spans="1:80" x14ac:dyDescent="0.35">
      <c r="A22" t="s">
        <v>84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 t="s">
        <v>26</v>
      </c>
      <c r="Q22" t="s">
        <v>26</v>
      </c>
      <c r="R22" t="s">
        <v>26</v>
      </c>
      <c r="S22" t="s">
        <v>26</v>
      </c>
      <c r="T22" t="s">
        <v>26</v>
      </c>
      <c r="U22" t="s">
        <v>26</v>
      </c>
      <c r="V22" t="s">
        <v>26</v>
      </c>
      <c r="W22" t="s">
        <v>26</v>
      </c>
      <c r="X22" t="s">
        <v>26</v>
      </c>
      <c r="Y22" t="s">
        <v>26</v>
      </c>
      <c r="Z22" t="s">
        <v>26</v>
      </c>
      <c r="AA22" t="s">
        <v>26</v>
      </c>
      <c r="AB22">
        <v>4.5</v>
      </c>
      <c r="AC22">
        <v>6</v>
      </c>
      <c r="AD22" t="s">
        <v>26</v>
      </c>
      <c r="AE22">
        <v>6.5</v>
      </c>
      <c r="AF22">
        <v>6</v>
      </c>
      <c r="AG22">
        <v>6.5</v>
      </c>
      <c r="AH22">
        <v>5</v>
      </c>
      <c r="AI22">
        <v>5.5</v>
      </c>
      <c r="AL22">
        <v>5</v>
      </c>
      <c r="AO22">
        <v>5.5</v>
      </c>
      <c r="AP22">
        <v>6</v>
      </c>
      <c r="AQ22">
        <v>5.5</v>
      </c>
      <c r="AT22">
        <v>4.5</v>
      </c>
      <c r="AU22">
        <v>5</v>
      </c>
      <c r="AV22">
        <v>5</v>
      </c>
      <c r="AW22">
        <v>4.5</v>
      </c>
      <c r="AX22">
        <v>5</v>
      </c>
      <c r="AZ22">
        <v>5</v>
      </c>
      <c r="BA22">
        <v>5.5</v>
      </c>
      <c r="BB22">
        <v>5.5</v>
      </c>
      <c r="BC22">
        <v>4</v>
      </c>
      <c r="BD22">
        <v>4.5</v>
      </c>
      <c r="BE22">
        <v>4.5</v>
      </c>
      <c r="BF22">
        <v>4.5</v>
      </c>
      <c r="BG22">
        <v>5</v>
      </c>
      <c r="BI22">
        <v>4.5</v>
      </c>
      <c r="BL22">
        <v>5</v>
      </c>
      <c r="BM22">
        <v>5</v>
      </c>
      <c r="BN22">
        <v>5.5</v>
      </c>
      <c r="BO22">
        <v>5</v>
      </c>
      <c r="BQ22">
        <v>5</v>
      </c>
      <c r="BR22">
        <v>4.5</v>
      </c>
      <c r="BW22">
        <v>5</v>
      </c>
      <c r="BY22">
        <f t="shared" si="0"/>
        <v>32</v>
      </c>
      <c r="BZ22" s="18">
        <f t="shared" si="1"/>
        <v>5.125</v>
      </c>
      <c r="CA22">
        <f t="shared" si="2"/>
        <v>0.6090712125322324</v>
      </c>
      <c r="CB22">
        <v>0</v>
      </c>
    </row>
    <row r="23" spans="1:80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Y23">
        <f t="shared" si="0"/>
        <v>22</v>
      </c>
      <c r="BZ23" s="18">
        <f t="shared" si="1"/>
        <v>5.1363636363636367</v>
      </c>
      <c r="CA23">
        <f t="shared" si="2"/>
        <v>0.74293206415395308</v>
      </c>
      <c r="CB23">
        <v>0</v>
      </c>
    </row>
    <row r="24" spans="1:80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BY24">
        <f t="shared" si="0"/>
        <v>19</v>
      </c>
      <c r="BZ24" s="18">
        <f t="shared" si="1"/>
        <v>5.8421052631578947</v>
      </c>
      <c r="CA24">
        <f t="shared" si="2"/>
        <v>0.95819030206465661</v>
      </c>
      <c r="CB24">
        <v>0</v>
      </c>
    </row>
    <row r="25" spans="1:80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BY25">
        <f t="shared" si="0"/>
        <v>17</v>
      </c>
      <c r="BZ25" s="18">
        <f t="shared" si="1"/>
        <v>5.4411764705882355</v>
      </c>
      <c r="CA25">
        <f t="shared" si="2"/>
        <v>1.0880365478290537</v>
      </c>
      <c r="CB25">
        <v>0</v>
      </c>
    </row>
    <row r="26" spans="1:80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Y26">
        <f t="shared" si="0"/>
        <v>18</v>
      </c>
      <c r="BZ26" s="18">
        <f t="shared" si="1"/>
        <v>5.7777777777777777</v>
      </c>
      <c r="CA26">
        <f t="shared" si="2"/>
        <v>0.98849591956999727</v>
      </c>
      <c r="CB26">
        <v>0</v>
      </c>
    </row>
    <row r="27" spans="1:80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BY27">
        <f t="shared" si="0"/>
        <v>16</v>
      </c>
      <c r="BZ27" s="18">
        <f t="shared" si="1"/>
        <v>4.5</v>
      </c>
      <c r="CA27">
        <f t="shared" si="2"/>
        <v>1.0165300454651272</v>
      </c>
      <c r="CB27">
        <v>0</v>
      </c>
    </row>
    <row r="28" spans="1:80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f t="shared" si="0"/>
        <v>17</v>
      </c>
      <c r="BZ28" s="18">
        <f t="shared" si="1"/>
        <v>5.2058823529411766</v>
      </c>
      <c r="CA28">
        <f t="shared" si="2"/>
        <v>0.50183486855151627</v>
      </c>
      <c r="CB28">
        <v>0</v>
      </c>
    </row>
    <row r="29" spans="1:80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Y29">
        <f t="shared" si="0"/>
        <v>15</v>
      </c>
      <c r="BZ29" s="18">
        <f t="shared" si="1"/>
        <v>6.1333333333333337</v>
      </c>
      <c r="CA29">
        <f t="shared" si="2"/>
        <v>0.8755950357709138</v>
      </c>
      <c r="CB29">
        <v>0</v>
      </c>
    </row>
    <row r="30" spans="1:80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BY30">
        <f t="shared" si="0"/>
        <v>13</v>
      </c>
      <c r="BZ30" s="18">
        <f t="shared" si="1"/>
        <v>4.4615384615384617</v>
      </c>
      <c r="CA30">
        <f t="shared" si="2"/>
        <v>1.875961292039569</v>
      </c>
      <c r="CB30">
        <v>0</v>
      </c>
    </row>
    <row r="31" spans="1:80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BY31">
        <f t="shared" si="0"/>
        <v>13</v>
      </c>
      <c r="BZ31" s="18">
        <f t="shared" si="1"/>
        <v>6.9230769230769234</v>
      </c>
      <c r="CA31">
        <f t="shared" si="2"/>
        <v>1.1336914969498575</v>
      </c>
      <c r="CB31">
        <v>0</v>
      </c>
    </row>
    <row r="32" spans="1:80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BY32">
        <f t="shared" si="0"/>
        <v>11</v>
      </c>
      <c r="BZ32" s="18">
        <f t="shared" si="1"/>
        <v>4.9545454545454541</v>
      </c>
      <c r="CA32">
        <f t="shared" si="2"/>
        <v>0.61051394146839499</v>
      </c>
      <c r="CB32">
        <v>0</v>
      </c>
    </row>
    <row r="33" spans="1:80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f t="shared" si="0"/>
        <v>11</v>
      </c>
      <c r="BZ33" s="18">
        <f t="shared" si="1"/>
        <v>4.6363636363636367</v>
      </c>
      <c r="CA33">
        <f t="shared" si="2"/>
        <v>0.55185637130095111</v>
      </c>
      <c r="CB33">
        <v>0</v>
      </c>
    </row>
    <row r="34" spans="1:80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BY34">
        <f t="shared" ref="BY34:BY65" si="3">COUNT(B34:BX34)</f>
        <v>9</v>
      </c>
      <c r="BZ34" s="18">
        <f t="shared" ref="BZ34:BZ65" si="4">AVERAGE(B34:BX34)</f>
        <v>8</v>
      </c>
      <c r="CA34">
        <f t="shared" ref="CA34:CA65" si="5">IF(BY34&gt;1,_xlfn.STDEV.S(B34:BX34),"")</f>
        <v>0.61237243569579447</v>
      </c>
      <c r="CB34">
        <v>0</v>
      </c>
    </row>
    <row r="35" spans="1:80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BY35">
        <f t="shared" si="3"/>
        <v>8</v>
      </c>
      <c r="BZ35" s="18">
        <f t="shared" si="4"/>
        <v>4.1875</v>
      </c>
      <c r="CA35">
        <f t="shared" si="5"/>
        <v>1.0669549461635468</v>
      </c>
      <c r="CB35">
        <v>0</v>
      </c>
    </row>
    <row r="36" spans="1:80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BY36">
        <f t="shared" si="3"/>
        <v>7</v>
      </c>
      <c r="BZ36" s="18">
        <f t="shared" si="4"/>
        <v>5.0714285714285712</v>
      </c>
      <c r="CA36">
        <f t="shared" si="5"/>
        <v>0.34503277967117707</v>
      </c>
      <c r="CB36">
        <v>0</v>
      </c>
    </row>
    <row r="37" spans="1:80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BY37">
        <f t="shared" si="3"/>
        <v>4</v>
      </c>
      <c r="BZ37" s="18">
        <f t="shared" si="4"/>
        <v>7.625</v>
      </c>
      <c r="CA37">
        <f t="shared" si="5"/>
        <v>0.62915286960589578</v>
      </c>
      <c r="CB37">
        <v>0</v>
      </c>
    </row>
    <row r="38" spans="1:80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BY38">
        <f t="shared" si="3"/>
        <v>4</v>
      </c>
      <c r="BZ38" s="18">
        <f t="shared" si="4"/>
        <v>6</v>
      </c>
      <c r="CA38">
        <f t="shared" si="5"/>
        <v>0.70710678118654757</v>
      </c>
      <c r="CB38">
        <v>0</v>
      </c>
    </row>
    <row r="39" spans="1:80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BY39">
        <f t="shared" si="3"/>
        <v>4</v>
      </c>
      <c r="BZ39" s="18">
        <f t="shared" si="4"/>
        <v>6.5</v>
      </c>
      <c r="CA39">
        <f t="shared" si="5"/>
        <v>0.9128709291752769</v>
      </c>
      <c r="CB39">
        <v>0</v>
      </c>
    </row>
    <row r="40" spans="1:80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BY40">
        <f t="shared" si="3"/>
        <v>4</v>
      </c>
      <c r="BZ40" s="18">
        <f t="shared" si="4"/>
        <v>2.375</v>
      </c>
      <c r="CA40">
        <f t="shared" si="5"/>
        <v>1.3768926368215255</v>
      </c>
      <c r="CB40">
        <v>0</v>
      </c>
    </row>
    <row r="41" spans="1:80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BY41">
        <f t="shared" si="3"/>
        <v>4</v>
      </c>
      <c r="BZ41" s="18">
        <f t="shared" si="4"/>
        <v>4.25</v>
      </c>
      <c r="CA41">
        <f t="shared" si="5"/>
        <v>0.9574271077563381</v>
      </c>
      <c r="CB41">
        <v>0</v>
      </c>
    </row>
    <row r="42" spans="1:80" x14ac:dyDescent="0.35">
      <c r="A42" t="s">
        <v>361</v>
      </c>
      <c r="AW42">
        <v>5</v>
      </c>
      <c r="BF42">
        <v>5</v>
      </c>
      <c r="BN42">
        <v>6</v>
      </c>
      <c r="BY42">
        <f t="shared" si="3"/>
        <v>3</v>
      </c>
      <c r="BZ42" s="18">
        <f t="shared" si="4"/>
        <v>5.333333333333333</v>
      </c>
      <c r="CA42">
        <f t="shared" si="5"/>
        <v>0.57735026918962584</v>
      </c>
      <c r="CB42">
        <v>0</v>
      </c>
    </row>
    <row r="43" spans="1:80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BY43">
        <f t="shared" si="3"/>
        <v>4</v>
      </c>
      <c r="BZ43" s="18">
        <f t="shared" si="4"/>
        <v>3.375</v>
      </c>
      <c r="CA43">
        <f t="shared" si="5"/>
        <v>1.6520189667999174</v>
      </c>
      <c r="CB43">
        <v>0</v>
      </c>
    </row>
    <row r="44" spans="1:80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BY44">
        <f t="shared" si="3"/>
        <v>3</v>
      </c>
      <c r="BZ44" s="18">
        <f t="shared" si="4"/>
        <v>5.333333333333333</v>
      </c>
      <c r="CA44">
        <f t="shared" si="5"/>
        <v>1.1547005383792526</v>
      </c>
      <c r="CB44">
        <v>0</v>
      </c>
    </row>
    <row r="45" spans="1:80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f t="shared" si="3"/>
        <v>3</v>
      </c>
      <c r="BZ45" s="18">
        <f t="shared" si="4"/>
        <v>4.166666666666667</v>
      </c>
      <c r="CA45">
        <f t="shared" si="5"/>
        <v>0.28867513459481287</v>
      </c>
      <c r="CB45">
        <v>0</v>
      </c>
    </row>
    <row r="46" spans="1:80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BY46">
        <f t="shared" si="3"/>
        <v>3</v>
      </c>
      <c r="BZ46" s="18">
        <f t="shared" si="4"/>
        <v>7.666666666666667</v>
      </c>
      <c r="CA46">
        <f t="shared" si="5"/>
        <v>1.1547005383792495</v>
      </c>
      <c r="CB46">
        <v>0</v>
      </c>
    </row>
    <row r="47" spans="1:80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BY47">
        <f t="shared" si="3"/>
        <v>3</v>
      </c>
      <c r="BZ47" s="18">
        <f t="shared" si="4"/>
        <v>4.5</v>
      </c>
      <c r="CA47">
        <f t="shared" si="5"/>
        <v>1.7320508075688772</v>
      </c>
      <c r="CB47">
        <v>0</v>
      </c>
    </row>
    <row r="48" spans="1:80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Y48">
        <f t="shared" si="3"/>
        <v>3</v>
      </c>
      <c r="BZ48" s="18">
        <f t="shared" si="4"/>
        <v>6.5</v>
      </c>
      <c r="CA48">
        <f t="shared" si="5"/>
        <v>1.3228756555322954</v>
      </c>
      <c r="CB48">
        <v>0</v>
      </c>
    </row>
    <row r="49" spans="1:80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BY49">
        <f t="shared" si="3"/>
        <v>7</v>
      </c>
      <c r="BZ49" s="18">
        <f t="shared" si="4"/>
        <v>5.1428571428571432</v>
      </c>
      <c r="CA49">
        <f t="shared" si="5"/>
        <v>0.2439750182371333</v>
      </c>
      <c r="CB49">
        <v>0</v>
      </c>
    </row>
    <row r="50" spans="1:80" x14ac:dyDescent="0.35">
      <c r="A50" t="s">
        <v>364</v>
      </c>
      <c r="BA50">
        <v>5.5</v>
      </c>
      <c r="BJ50">
        <v>5.5</v>
      </c>
      <c r="BY50">
        <f t="shared" si="3"/>
        <v>2</v>
      </c>
      <c r="BZ50" s="18">
        <f t="shared" si="4"/>
        <v>5.5</v>
      </c>
      <c r="CA50">
        <f t="shared" si="5"/>
        <v>0</v>
      </c>
      <c r="CB50">
        <v>0</v>
      </c>
    </row>
    <row r="51" spans="1:80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BY51">
        <f t="shared" si="3"/>
        <v>2</v>
      </c>
      <c r="BZ51" s="18">
        <f t="shared" si="4"/>
        <v>5.25</v>
      </c>
      <c r="CA51">
        <f t="shared" si="5"/>
        <v>0.35355339059327379</v>
      </c>
      <c r="CB51">
        <v>0</v>
      </c>
    </row>
    <row r="52" spans="1:80" x14ac:dyDescent="0.35">
      <c r="A52" t="s">
        <v>339</v>
      </c>
      <c r="AJ52">
        <v>7</v>
      </c>
      <c r="AW52">
        <v>4.5</v>
      </c>
      <c r="BY52">
        <f t="shared" si="3"/>
        <v>2</v>
      </c>
      <c r="BZ52" s="18">
        <f t="shared" si="4"/>
        <v>5.75</v>
      </c>
      <c r="CA52">
        <f t="shared" si="5"/>
        <v>1.7677669529663689</v>
      </c>
      <c r="CB52">
        <v>0</v>
      </c>
    </row>
    <row r="53" spans="1:80" x14ac:dyDescent="0.35">
      <c r="A53" t="s">
        <v>342</v>
      </c>
      <c r="AM53">
        <v>6</v>
      </c>
      <c r="BA53">
        <v>4</v>
      </c>
      <c r="BY53">
        <f t="shared" si="3"/>
        <v>2</v>
      </c>
      <c r="BZ53" s="18">
        <f t="shared" si="4"/>
        <v>5</v>
      </c>
      <c r="CA53">
        <f t="shared" si="5"/>
        <v>1.4142135623730951</v>
      </c>
      <c r="CB53">
        <v>0</v>
      </c>
    </row>
    <row r="54" spans="1:80" x14ac:dyDescent="0.35">
      <c r="A54" t="s">
        <v>369</v>
      </c>
      <c r="BG54">
        <v>5.5</v>
      </c>
      <c r="BH54">
        <v>4.5</v>
      </c>
      <c r="BY54">
        <f t="shared" si="3"/>
        <v>2</v>
      </c>
      <c r="BZ54" s="18">
        <f t="shared" si="4"/>
        <v>5</v>
      </c>
      <c r="CA54">
        <f t="shared" si="5"/>
        <v>0.70710678118654757</v>
      </c>
      <c r="CB54">
        <v>0</v>
      </c>
    </row>
    <row r="55" spans="1:80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BY55">
        <f t="shared" si="3"/>
        <v>1</v>
      </c>
      <c r="BZ55" s="18">
        <f t="shared" si="4"/>
        <v>9</v>
      </c>
      <c r="CA55" t="str">
        <f t="shared" si="5"/>
        <v/>
      </c>
      <c r="CB55">
        <v>0</v>
      </c>
    </row>
    <row r="56" spans="1:80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BY56">
        <f t="shared" si="3"/>
        <v>1</v>
      </c>
      <c r="BZ56" s="18">
        <f t="shared" si="4"/>
        <v>7</v>
      </c>
      <c r="CA56" t="str">
        <f t="shared" si="5"/>
        <v/>
      </c>
      <c r="CB56">
        <v>0</v>
      </c>
    </row>
    <row r="57" spans="1:80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BY57">
        <f t="shared" si="3"/>
        <v>1</v>
      </c>
      <c r="BZ57" s="18">
        <f t="shared" si="4"/>
        <v>7</v>
      </c>
      <c r="CA57" t="str">
        <f t="shared" si="5"/>
        <v/>
      </c>
      <c r="CB57">
        <v>0</v>
      </c>
    </row>
    <row r="58" spans="1:80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BY58">
        <f t="shared" si="3"/>
        <v>1</v>
      </c>
      <c r="BZ58" s="18">
        <f t="shared" si="4"/>
        <v>7</v>
      </c>
      <c r="CA58" t="str">
        <f t="shared" si="5"/>
        <v/>
      </c>
      <c r="CB58">
        <v>0</v>
      </c>
    </row>
    <row r="59" spans="1:80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BY59">
        <f t="shared" si="3"/>
        <v>2</v>
      </c>
      <c r="BZ59" s="18">
        <f t="shared" si="4"/>
        <v>5.5</v>
      </c>
      <c r="CA59">
        <f t="shared" si="5"/>
        <v>0.70710678118654757</v>
      </c>
      <c r="CB59">
        <v>0</v>
      </c>
    </row>
    <row r="60" spans="1:80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BY60">
        <f t="shared" si="3"/>
        <v>1</v>
      </c>
      <c r="BZ60" s="18">
        <f t="shared" si="4"/>
        <v>4.5</v>
      </c>
      <c r="CA60" t="str">
        <f t="shared" si="5"/>
        <v/>
      </c>
      <c r="CB60">
        <v>0</v>
      </c>
    </row>
    <row r="61" spans="1:80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BY61">
        <f t="shared" si="3"/>
        <v>1</v>
      </c>
      <c r="BZ61" s="18">
        <f t="shared" si="4"/>
        <v>4.5</v>
      </c>
      <c r="CA61" t="str">
        <f t="shared" si="5"/>
        <v/>
      </c>
      <c r="CB61">
        <v>0</v>
      </c>
    </row>
    <row r="62" spans="1:80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BY62">
        <f t="shared" si="3"/>
        <v>1</v>
      </c>
      <c r="BZ62" s="18">
        <f t="shared" si="4"/>
        <v>4</v>
      </c>
      <c r="CA62" t="str">
        <f t="shared" si="5"/>
        <v/>
      </c>
      <c r="CB62">
        <v>0</v>
      </c>
    </row>
    <row r="63" spans="1:80" x14ac:dyDescent="0.35">
      <c r="A63" t="s">
        <v>345</v>
      </c>
      <c r="AN63">
        <v>3</v>
      </c>
      <c r="BY63">
        <f t="shared" si="3"/>
        <v>1</v>
      </c>
      <c r="BZ63" s="18">
        <f t="shared" si="4"/>
        <v>3</v>
      </c>
      <c r="CA63" t="str">
        <f t="shared" si="5"/>
        <v/>
      </c>
      <c r="CB63">
        <v>0</v>
      </c>
    </row>
    <row r="64" spans="1:80" x14ac:dyDescent="0.35">
      <c r="A64" t="s">
        <v>347</v>
      </c>
      <c r="AP64">
        <v>5.5</v>
      </c>
      <c r="BY64">
        <f t="shared" si="3"/>
        <v>1</v>
      </c>
      <c r="BZ64" s="18">
        <f t="shared" si="4"/>
        <v>5.5</v>
      </c>
      <c r="CA64" t="str">
        <f t="shared" si="5"/>
        <v/>
      </c>
      <c r="CB64">
        <v>0</v>
      </c>
    </row>
    <row r="65" spans="1:80" x14ac:dyDescent="0.35">
      <c r="A65" t="s">
        <v>350</v>
      </c>
      <c r="AR65">
        <v>4</v>
      </c>
      <c r="BY65">
        <f t="shared" si="3"/>
        <v>1</v>
      </c>
      <c r="BZ65" s="18">
        <f t="shared" si="4"/>
        <v>4</v>
      </c>
      <c r="CA65" t="str">
        <f t="shared" si="5"/>
        <v/>
      </c>
      <c r="CB65">
        <v>0</v>
      </c>
    </row>
    <row r="66" spans="1:80" x14ac:dyDescent="0.35">
      <c r="A66" t="s">
        <v>351</v>
      </c>
      <c r="AS66">
        <v>5.5</v>
      </c>
      <c r="BY66">
        <f t="shared" ref="BY66:BY75" si="6">COUNT(B66:BX66)</f>
        <v>1</v>
      </c>
      <c r="BZ66" s="18">
        <f t="shared" ref="BZ66:BZ75" si="7">AVERAGE(B66:BX66)</f>
        <v>5.5</v>
      </c>
      <c r="CA66" t="str">
        <f t="shared" ref="CA66:CA75" si="8">IF(BY66&gt;1,_xlfn.STDEV.S(B66:BX66),"")</f>
        <v/>
      </c>
      <c r="CB66">
        <v>0</v>
      </c>
    </row>
    <row r="67" spans="1:80" x14ac:dyDescent="0.35">
      <c r="A67" t="s">
        <v>352</v>
      </c>
      <c r="AS67">
        <v>4.5</v>
      </c>
      <c r="BY67">
        <f t="shared" si="6"/>
        <v>1</v>
      </c>
      <c r="BZ67" s="18">
        <f t="shared" si="7"/>
        <v>4.5</v>
      </c>
      <c r="CA67" t="str">
        <f t="shared" si="8"/>
        <v/>
      </c>
      <c r="CB67">
        <v>0</v>
      </c>
    </row>
    <row r="68" spans="1:80" x14ac:dyDescent="0.35">
      <c r="A68" t="s">
        <v>354</v>
      </c>
      <c r="AU68">
        <v>5</v>
      </c>
      <c r="BY68">
        <f t="shared" si="6"/>
        <v>1</v>
      </c>
      <c r="BZ68" s="18">
        <f t="shared" si="7"/>
        <v>5</v>
      </c>
      <c r="CA68" t="str">
        <f t="shared" si="8"/>
        <v/>
      </c>
      <c r="CB68">
        <v>0</v>
      </c>
    </row>
    <row r="69" spans="1:80" x14ac:dyDescent="0.35">
      <c r="A69" t="s">
        <v>362</v>
      </c>
      <c r="AW69">
        <v>4.5</v>
      </c>
      <c r="BY69">
        <f t="shared" si="6"/>
        <v>1</v>
      </c>
      <c r="BZ69" s="18">
        <f t="shared" si="7"/>
        <v>4.5</v>
      </c>
      <c r="CA69" t="str">
        <f t="shared" si="8"/>
        <v/>
      </c>
      <c r="CB69">
        <v>0</v>
      </c>
    </row>
    <row r="70" spans="1:80" x14ac:dyDescent="0.35">
      <c r="A70" t="s">
        <v>365</v>
      </c>
      <c r="AZ70">
        <v>2.5</v>
      </c>
      <c r="BY70">
        <f t="shared" si="6"/>
        <v>1</v>
      </c>
      <c r="BZ70" s="18">
        <f t="shared" si="7"/>
        <v>2.5</v>
      </c>
      <c r="CA70" t="str">
        <f t="shared" si="8"/>
        <v/>
      </c>
      <c r="CB70">
        <v>0</v>
      </c>
    </row>
    <row r="71" spans="1:80" x14ac:dyDescent="0.35">
      <c r="A71" t="s">
        <v>366</v>
      </c>
      <c r="BB71">
        <v>3</v>
      </c>
      <c r="BY71">
        <f t="shared" si="6"/>
        <v>1</v>
      </c>
      <c r="BZ71" s="18">
        <f t="shared" si="7"/>
        <v>3</v>
      </c>
      <c r="CA71" t="str">
        <f t="shared" si="8"/>
        <v/>
      </c>
      <c r="CB71">
        <v>0</v>
      </c>
    </row>
    <row r="72" spans="1:80" x14ac:dyDescent="0.35">
      <c r="A72" t="s">
        <v>368</v>
      </c>
      <c r="BF72">
        <v>7.5</v>
      </c>
      <c r="BU72">
        <v>9.5</v>
      </c>
      <c r="BY72">
        <f t="shared" si="6"/>
        <v>2</v>
      </c>
      <c r="BZ72" s="18">
        <f t="shared" si="7"/>
        <v>8.5</v>
      </c>
      <c r="CA72">
        <f t="shared" si="8"/>
        <v>1.4142135623730951</v>
      </c>
      <c r="CB72">
        <v>0</v>
      </c>
    </row>
    <row r="73" spans="1:80" x14ac:dyDescent="0.35">
      <c r="A73" t="s">
        <v>374</v>
      </c>
      <c r="BP73">
        <v>6</v>
      </c>
      <c r="BY73">
        <f t="shared" si="6"/>
        <v>1</v>
      </c>
      <c r="BZ73" s="18">
        <f t="shared" si="7"/>
        <v>6</v>
      </c>
      <c r="CA73" t="str">
        <f t="shared" si="8"/>
        <v/>
      </c>
      <c r="CB73">
        <v>0</v>
      </c>
    </row>
    <row r="74" spans="1:80" x14ac:dyDescent="0.35">
      <c r="A74" t="s">
        <v>375</v>
      </c>
      <c r="BP74">
        <v>5</v>
      </c>
      <c r="BY74">
        <f t="shared" si="6"/>
        <v>1</v>
      </c>
      <c r="BZ74" s="18">
        <f t="shared" si="7"/>
        <v>5</v>
      </c>
      <c r="CA74" t="str">
        <f t="shared" si="8"/>
        <v/>
      </c>
      <c r="CB74">
        <v>0</v>
      </c>
    </row>
    <row r="75" spans="1:80" x14ac:dyDescent="0.35">
      <c r="A75" t="s">
        <v>377</v>
      </c>
      <c r="BS75">
        <v>4.5</v>
      </c>
      <c r="BY75">
        <f t="shared" si="6"/>
        <v>1</v>
      </c>
      <c r="BZ75" s="18">
        <f t="shared" si="7"/>
        <v>4.5</v>
      </c>
      <c r="CA75" t="str">
        <f t="shared" si="8"/>
        <v/>
      </c>
      <c r="CB75">
        <v>0</v>
      </c>
    </row>
    <row r="76" spans="1:80" x14ac:dyDescent="0.35">
      <c r="A76" t="s">
        <v>378</v>
      </c>
      <c r="BW76">
        <v>5</v>
      </c>
      <c r="BY76">
        <f t="shared" ref="BY76" si="9">COUNT(B76:BX76)</f>
        <v>1</v>
      </c>
      <c r="BZ76" s="18">
        <f t="shared" ref="BZ76" si="10">AVERAGE(B76:BX76)</f>
        <v>5</v>
      </c>
      <c r="CA76" t="str">
        <f t="shared" ref="CA76" si="11">IF(BY76&gt;1,_xlfn.STDEV.S(B76:BX76),"")</f>
        <v/>
      </c>
      <c r="CB76">
        <v>0</v>
      </c>
    </row>
  </sheetData>
  <autoFilter ref="A1:CB74" xr:uid="{7217F6E2-94B9-43BA-8347-6F8651201F03}">
    <sortState ref="A2:CB75">
      <sortCondition descending="1" ref="CB1:CB74"/>
    </sortState>
  </autoFilter>
  <conditionalFormatting sqref="BY2:BY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75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Y2:BY7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7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75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7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7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BX67 AA2:BX3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BX67 AA2:BX4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BX67 AA2:BX4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Y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J39"/>
  <sheetViews>
    <sheetView workbookViewId="0">
      <selection activeCell="F31" sqref="F31"/>
    </sheetView>
  </sheetViews>
  <sheetFormatPr defaultRowHeight="14.5" x14ac:dyDescent="0.35"/>
  <cols>
    <col min="5" max="5" width="0" hidden="1" customWidth="1"/>
    <col min="9" max="9" width="8.90625" hidden="1" customWidth="1"/>
  </cols>
  <sheetData>
    <row r="1" spans="1:10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</row>
    <row r="2" spans="1:10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</row>
    <row r="3" spans="1:10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</row>
    <row r="4" spans="1:10" x14ac:dyDescent="0.35">
      <c r="D4">
        <f t="shared" ref="D4:D39" si="3">D3+0.1</f>
        <v>2.7</v>
      </c>
      <c r="E4">
        <f t="shared" si="0"/>
        <v>1.0503333333333331</v>
      </c>
      <c r="F4">
        <f t="shared" si="1"/>
        <v>1</v>
      </c>
      <c r="H4">
        <f t="shared" ref="H4:H39" si="4">H3+0.1</f>
        <v>6.499999999999992</v>
      </c>
      <c r="I4">
        <f t="shared" ref="I4:I39" si="5">$B$5*H4+$B$6</f>
        <v>6.7566666666666553</v>
      </c>
      <c r="J4">
        <f t="shared" si="2"/>
        <v>7</v>
      </c>
    </row>
    <row r="5" spans="1:10" x14ac:dyDescent="0.35">
      <c r="A5" t="s">
        <v>332</v>
      </c>
      <c r="B5">
        <f>(B2-B3)/(A2-A3)</f>
        <v>1.5016666666666667</v>
      </c>
      <c r="D5">
        <f t="shared" si="3"/>
        <v>2.8000000000000003</v>
      </c>
      <c r="E5">
        <f t="shared" si="0"/>
        <v>1.2005000000000003</v>
      </c>
      <c r="F5">
        <f t="shared" si="1"/>
        <v>1</v>
      </c>
      <c r="H5">
        <f t="shared" si="4"/>
        <v>6.5999999999999917</v>
      </c>
      <c r="I5">
        <f t="shared" si="5"/>
        <v>6.9068333333333207</v>
      </c>
      <c r="J5">
        <f t="shared" si="2"/>
        <v>7</v>
      </c>
    </row>
    <row r="6" spans="1:10" x14ac:dyDescent="0.35">
      <c r="A6" t="s">
        <v>333</v>
      </c>
      <c r="B6">
        <f>B3-A3*B5</f>
        <v>-3.0041666666666669</v>
      </c>
      <c r="D6">
        <f t="shared" si="3"/>
        <v>2.9000000000000004</v>
      </c>
      <c r="E6">
        <f t="shared" si="0"/>
        <v>1.3506666666666667</v>
      </c>
      <c r="F6">
        <f t="shared" si="1"/>
        <v>1.5</v>
      </c>
      <c r="H6">
        <f t="shared" si="4"/>
        <v>6.6999999999999913</v>
      </c>
      <c r="I6">
        <f t="shared" si="5"/>
        <v>7.0569999999999879</v>
      </c>
      <c r="J6">
        <f t="shared" si="2"/>
        <v>7</v>
      </c>
    </row>
    <row r="7" spans="1:10" x14ac:dyDescent="0.35">
      <c r="D7">
        <f t="shared" si="3"/>
        <v>3.0000000000000004</v>
      </c>
      <c r="E7">
        <f t="shared" si="0"/>
        <v>1.5008333333333339</v>
      </c>
      <c r="F7">
        <f t="shared" si="1"/>
        <v>1.5</v>
      </c>
      <c r="H7">
        <f t="shared" si="4"/>
        <v>6.7999999999999909</v>
      </c>
      <c r="I7">
        <f t="shared" si="5"/>
        <v>7.2071666666666534</v>
      </c>
      <c r="J7">
        <f t="shared" si="2"/>
        <v>7</v>
      </c>
    </row>
    <row r="8" spans="1:10" x14ac:dyDescent="0.35">
      <c r="D8">
        <f t="shared" si="3"/>
        <v>3.1000000000000005</v>
      </c>
      <c r="E8">
        <f t="shared" si="0"/>
        <v>1.6510000000000011</v>
      </c>
      <c r="F8">
        <f t="shared" si="1"/>
        <v>1.5</v>
      </c>
      <c r="H8">
        <f t="shared" si="4"/>
        <v>6.8999999999999906</v>
      </c>
      <c r="I8">
        <f t="shared" si="5"/>
        <v>7.3573333333333188</v>
      </c>
      <c r="J8">
        <f t="shared" si="2"/>
        <v>7.5</v>
      </c>
    </row>
    <row r="9" spans="1:10" x14ac:dyDescent="0.35">
      <c r="D9">
        <f t="shared" si="3"/>
        <v>3.2000000000000006</v>
      </c>
      <c r="E9">
        <f t="shared" si="0"/>
        <v>1.8011666666666675</v>
      </c>
      <c r="F9">
        <f t="shared" si="1"/>
        <v>2</v>
      </c>
      <c r="H9">
        <f t="shared" si="4"/>
        <v>6.9999999999999902</v>
      </c>
      <c r="I9">
        <f t="shared" si="5"/>
        <v>7.5074999999999861</v>
      </c>
      <c r="J9">
        <f t="shared" si="2"/>
        <v>7.5</v>
      </c>
    </row>
    <row r="10" spans="1:10" x14ac:dyDescent="0.35">
      <c r="B10">
        <f>6.5*B5+B6</f>
        <v>6.7566666666666677</v>
      </c>
      <c r="D10">
        <f t="shared" si="3"/>
        <v>3.3000000000000007</v>
      </c>
      <c r="E10">
        <f t="shared" si="0"/>
        <v>1.9513333333333347</v>
      </c>
      <c r="F10">
        <f t="shared" si="1"/>
        <v>2</v>
      </c>
      <c r="H10">
        <f t="shared" si="4"/>
        <v>7.0999999999999899</v>
      </c>
      <c r="I10">
        <f t="shared" si="5"/>
        <v>7.6576666666666515</v>
      </c>
      <c r="J10">
        <f t="shared" si="2"/>
        <v>7.5</v>
      </c>
    </row>
    <row r="11" spans="1:10" x14ac:dyDescent="0.35">
      <c r="D11">
        <f t="shared" si="3"/>
        <v>3.4000000000000008</v>
      </c>
      <c r="E11">
        <f t="shared" si="0"/>
        <v>2.101500000000001</v>
      </c>
      <c r="F11">
        <f t="shared" si="1"/>
        <v>2</v>
      </c>
      <c r="H11">
        <f t="shared" si="4"/>
        <v>7.1999999999999895</v>
      </c>
      <c r="I11">
        <f t="shared" si="5"/>
        <v>7.8078333333333187</v>
      </c>
      <c r="J11">
        <f t="shared" si="2"/>
        <v>8</v>
      </c>
    </row>
    <row r="12" spans="1:10" x14ac:dyDescent="0.35">
      <c r="D12">
        <f t="shared" si="3"/>
        <v>3.5000000000000009</v>
      </c>
      <c r="E12">
        <f t="shared" si="0"/>
        <v>2.2516666666666683</v>
      </c>
      <c r="F12">
        <f t="shared" si="1"/>
        <v>2.5</v>
      </c>
      <c r="H12">
        <f t="shared" si="4"/>
        <v>7.2999999999999892</v>
      </c>
      <c r="I12">
        <f t="shared" si="5"/>
        <v>7.9579999999999842</v>
      </c>
      <c r="J12">
        <f t="shared" si="2"/>
        <v>8</v>
      </c>
    </row>
    <row r="13" spans="1:10" x14ac:dyDescent="0.35">
      <c r="D13">
        <f t="shared" si="3"/>
        <v>3.600000000000001</v>
      </c>
      <c r="E13">
        <f t="shared" si="0"/>
        <v>2.4018333333333346</v>
      </c>
      <c r="F13">
        <f t="shared" si="1"/>
        <v>2.5</v>
      </c>
      <c r="H13">
        <f t="shared" si="4"/>
        <v>7.3999999999999888</v>
      </c>
      <c r="I13">
        <f t="shared" si="5"/>
        <v>8.1081666666666496</v>
      </c>
      <c r="J13">
        <f t="shared" si="2"/>
        <v>8</v>
      </c>
    </row>
    <row r="14" spans="1:10" x14ac:dyDescent="0.35">
      <c r="D14">
        <f t="shared" si="3"/>
        <v>3.7000000000000011</v>
      </c>
      <c r="E14">
        <f t="shared" si="0"/>
        <v>2.5520000000000018</v>
      </c>
      <c r="F14">
        <f t="shared" si="1"/>
        <v>2.5</v>
      </c>
      <c r="H14">
        <f t="shared" si="4"/>
        <v>7.4999999999999885</v>
      </c>
      <c r="I14">
        <f t="shared" si="5"/>
        <v>8.2583333333333169</v>
      </c>
      <c r="J14">
        <f t="shared" si="2"/>
        <v>8.5</v>
      </c>
    </row>
    <row r="15" spans="1:10" x14ac:dyDescent="0.35">
      <c r="D15">
        <f t="shared" si="3"/>
        <v>3.8000000000000012</v>
      </c>
      <c r="E15">
        <f t="shared" si="0"/>
        <v>2.7021666666666682</v>
      </c>
      <c r="F15">
        <f t="shared" si="1"/>
        <v>2.5</v>
      </c>
      <c r="H15">
        <f t="shared" si="4"/>
        <v>7.5999999999999881</v>
      </c>
      <c r="I15">
        <f t="shared" si="5"/>
        <v>8.4084999999999823</v>
      </c>
      <c r="J15">
        <f t="shared" si="2"/>
        <v>8.5</v>
      </c>
    </row>
    <row r="16" spans="1:10" x14ac:dyDescent="0.35">
      <c r="D16">
        <f t="shared" si="3"/>
        <v>3.9000000000000012</v>
      </c>
      <c r="E16">
        <f t="shared" si="0"/>
        <v>2.8523333333333354</v>
      </c>
      <c r="F16">
        <f t="shared" si="1"/>
        <v>3</v>
      </c>
      <c r="H16">
        <f t="shared" si="4"/>
        <v>7.6999999999999877</v>
      </c>
      <c r="I16">
        <f t="shared" si="5"/>
        <v>8.5586666666666495</v>
      </c>
      <c r="J16">
        <f t="shared" si="2"/>
        <v>8.5</v>
      </c>
    </row>
    <row r="17" spans="4:10" x14ac:dyDescent="0.35">
      <c r="D17">
        <f t="shared" si="3"/>
        <v>4.0000000000000009</v>
      </c>
      <c r="E17">
        <f t="shared" si="0"/>
        <v>3.0025000000000017</v>
      </c>
      <c r="F17">
        <f t="shared" si="1"/>
        <v>3</v>
      </c>
      <c r="H17">
        <f t="shared" si="4"/>
        <v>7.7999999999999874</v>
      </c>
      <c r="I17">
        <f t="shared" si="5"/>
        <v>8.708833333333315</v>
      </c>
      <c r="J17">
        <f t="shared" si="2"/>
        <v>8.5</v>
      </c>
    </row>
    <row r="18" spans="4:10" x14ac:dyDescent="0.35">
      <c r="D18">
        <f t="shared" si="3"/>
        <v>4.1000000000000005</v>
      </c>
      <c r="E18">
        <f t="shared" si="0"/>
        <v>3.1526666666666672</v>
      </c>
      <c r="F18">
        <f t="shared" si="1"/>
        <v>3</v>
      </c>
      <c r="H18">
        <f t="shared" si="4"/>
        <v>7.899999999999987</v>
      </c>
      <c r="I18">
        <f t="shared" si="5"/>
        <v>8.8589999999999804</v>
      </c>
      <c r="J18">
        <f t="shared" si="2"/>
        <v>9</v>
      </c>
    </row>
    <row r="19" spans="4:10" x14ac:dyDescent="0.35">
      <c r="D19">
        <f t="shared" si="3"/>
        <v>4.2</v>
      </c>
      <c r="E19">
        <f t="shared" si="0"/>
        <v>3.3028333333333335</v>
      </c>
      <c r="F19">
        <f t="shared" si="1"/>
        <v>3.5</v>
      </c>
      <c r="H19">
        <f t="shared" si="4"/>
        <v>7.9999999999999867</v>
      </c>
      <c r="I19">
        <f t="shared" si="5"/>
        <v>9.0091666666666477</v>
      </c>
      <c r="J19">
        <f t="shared" si="2"/>
        <v>9</v>
      </c>
    </row>
    <row r="20" spans="4:10" x14ac:dyDescent="0.35">
      <c r="D20">
        <f t="shared" si="3"/>
        <v>4.3</v>
      </c>
      <c r="E20">
        <f t="shared" si="0"/>
        <v>3.4529999999999998</v>
      </c>
      <c r="F20">
        <f t="shared" si="1"/>
        <v>3.5</v>
      </c>
      <c r="H20">
        <f t="shared" si="4"/>
        <v>8.0999999999999872</v>
      </c>
      <c r="I20">
        <f t="shared" si="5"/>
        <v>9.1593333333333149</v>
      </c>
      <c r="J20">
        <f t="shared" si="2"/>
        <v>9</v>
      </c>
    </row>
    <row r="21" spans="4:10" x14ac:dyDescent="0.35">
      <c r="D21">
        <f t="shared" si="3"/>
        <v>4.3999999999999995</v>
      </c>
      <c r="E21">
        <f t="shared" si="0"/>
        <v>3.6031666666666662</v>
      </c>
      <c r="F21">
        <f t="shared" si="1"/>
        <v>3.5</v>
      </c>
      <c r="H21">
        <f t="shared" si="4"/>
        <v>8.1999999999999869</v>
      </c>
      <c r="I21">
        <f t="shared" si="5"/>
        <v>9.3094999999999803</v>
      </c>
      <c r="J21">
        <f t="shared" si="2"/>
        <v>9.5</v>
      </c>
    </row>
    <row r="22" spans="4:10" x14ac:dyDescent="0.35">
      <c r="D22">
        <f t="shared" si="3"/>
        <v>4.4999999999999991</v>
      </c>
      <c r="E22">
        <f t="shared" si="0"/>
        <v>3.7533333333333316</v>
      </c>
      <c r="F22">
        <f t="shared" si="1"/>
        <v>4</v>
      </c>
      <c r="H22">
        <f t="shared" si="4"/>
        <v>8.2999999999999865</v>
      </c>
      <c r="I22">
        <f t="shared" si="5"/>
        <v>9.4596666666666476</v>
      </c>
      <c r="J22">
        <f t="shared" si="2"/>
        <v>9.5</v>
      </c>
    </row>
    <row r="23" spans="4:10" x14ac:dyDescent="0.35">
      <c r="D23">
        <f t="shared" si="3"/>
        <v>4.5999999999999988</v>
      </c>
      <c r="E23">
        <f t="shared" si="0"/>
        <v>3.903499999999998</v>
      </c>
      <c r="F23">
        <f t="shared" si="1"/>
        <v>4</v>
      </c>
      <c r="H23">
        <f t="shared" si="4"/>
        <v>8.3999999999999861</v>
      </c>
      <c r="I23">
        <f t="shared" si="5"/>
        <v>9.609833333333313</v>
      </c>
      <c r="J23">
        <f t="shared" si="2"/>
        <v>9.5</v>
      </c>
    </row>
    <row r="24" spans="4:10" x14ac:dyDescent="0.35">
      <c r="D24">
        <f t="shared" si="3"/>
        <v>4.6999999999999984</v>
      </c>
      <c r="E24">
        <f t="shared" si="0"/>
        <v>4.0536666666666648</v>
      </c>
      <c r="F24">
        <f t="shared" si="1"/>
        <v>4</v>
      </c>
      <c r="H24">
        <f t="shared" si="4"/>
        <v>8.4999999999999858</v>
      </c>
      <c r="I24" s="18">
        <f t="shared" si="5"/>
        <v>9.7599999999999785</v>
      </c>
      <c r="J24">
        <f>MROUND(I24,0.5)</f>
        <v>10</v>
      </c>
    </row>
    <row r="25" spans="4:10" x14ac:dyDescent="0.35">
      <c r="D25">
        <f t="shared" si="3"/>
        <v>4.799999999999998</v>
      </c>
      <c r="E25">
        <f t="shared" si="0"/>
        <v>4.2038333333333302</v>
      </c>
      <c r="F25">
        <f t="shared" si="1"/>
        <v>4</v>
      </c>
      <c r="H25">
        <f t="shared" si="4"/>
        <v>8.5999999999999854</v>
      </c>
      <c r="I25">
        <f t="shared" si="5"/>
        <v>9.9101666666666457</v>
      </c>
      <c r="J25">
        <f t="shared" si="2"/>
        <v>10</v>
      </c>
    </row>
    <row r="26" spans="4:10" x14ac:dyDescent="0.35">
      <c r="D26">
        <f t="shared" si="3"/>
        <v>4.8999999999999977</v>
      </c>
      <c r="E26">
        <f t="shared" si="0"/>
        <v>4.3539999999999957</v>
      </c>
      <c r="F26">
        <f t="shared" si="1"/>
        <v>4.5</v>
      </c>
      <c r="H26">
        <f t="shared" si="4"/>
        <v>8.6999999999999851</v>
      </c>
      <c r="I26">
        <f t="shared" si="5"/>
        <v>10.060333333333311</v>
      </c>
      <c r="J26">
        <f t="shared" si="2"/>
        <v>10</v>
      </c>
    </row>
    <row r="27" spans="4:10" x14ac:dyDescent="0.35">
      <c r="D27">
        <f t="shared" si="3"/>
        <v>4.9999999999999973</v>
      </c>
      <c r="E27">
        <f t="shared" si="0"/>
        <v>4.5041666666666629</v>
      </c>
      <c r="F27">
        <f t="shared" si="1"/>
        <v>4.5</v>
      </c>
      <c r="H27">
        <f t="shared" si="4"/>
        <v>8.7999999999999847</v>
      </c>
      <c r="I27">
        <f t="shared" si="5"/>
        <v>10.210499999999978</v>
      </c>
      <c r="J27">
        <f t="shared" si="2"/>
        <v>10</v>
      </c>
    </row>
    <row r="28" spans="4:10" x14ac:dyDescent="0.35">
      <c r="D28">
        <f t="shared" si="3"/>
        <v>5.099999999999997</v>
      </c>
      <c r="E28">
        <f t="shared" si="0"/>
        <v>4.6543333333333283</v>
      </c>
      <c r="F28">
        <f t="shared" si="1"/>
        <v>4.5</v>
      </c>
      <c r="H28">
        <f t="shared" si="4"/>
        <v>8.8999999999999844</v>
      </c>
      <c r="I28">
        <f t="shared" si="5"/>
        <v>10.360666666666644</v>
      </c>
      <c r="J28">
        <f t="shared" si="2"/>
        <v>10.5</v>
      </c>
    </row>
    <row r="29" spans="4:10" x14ac:dyDescent="0.35">
      <c r="D29">
        <f t="shared" si="3"/>
        <v>5.1999999999999966</v>
      </c>
      <c r="E29">
        <f t="shared" si="0"/>
        <v>4.8044999999999956</v>
      </c>
      <c r="F29">
        <f t="shared" si="1"/>
        <v>5</v>
      </c>
      <c r="H29">
        <f t="shared" si="4"/>
        <v>8.999999999999984</v>
      </c>
      <c r="I29">
        <f t="shared" si="5"/>
        <v>10.510833333333309</v>
      </c>
      <c r="J29">
        <f t="shared" si="2"/>
        <v>10.5</v>
      </c>
    </row>
    <row r="30" spans="4:10" x14ac:dyDescent="0.35">
      <c r="D30">
        <f t="shared" si="3"/>
        <v>5.2999999999999963</v>
      </c>
      <c r="E30">
        <f t="shared" si="0"/>
        <v>4.954666666666661</v>
      </c>
      <c r="F30">
        <f t="shared" si="1"/>
        <v>5</v>
      </c>
      <c r="H30">
        <f t="shared" si="4"/>
        <v>9.0999999999999837</v>
      </c>
      <c r="I30">
        <f t="shared" si="5"/>
        <v>10.660999999999976</v>
      </c>
      <c r="J30">
        <f t="shared" si="2"/>
        <v>10.5</v>
      </c>
    </row>
    <row r="31" spans="4:10" x14ac:dyDescent="0.35">
      <c r="D31">
        <f t="shared" si="3"/>
        <v>5.3999999999999959</v>
      </c>
      <c r="E31">
        <f t="shared" si="0"/>
        <v>5.1048333333333282</v>
      </c>
      <c r="F31">
        <f t="shared" si="1"/>
        <v>5</v>
      </c>
      <c r="H31">
        <f t="shared" si="4"/>
        <v>9.1999999999999833</v>
      </c>
      <c r="I31">
        <f t="shared" si="5"/>
        <v>10.811166666666642</v>
      </c>
      <c r="J31">
        <f t="shared" si="2"/>
        <v>11</v>
      </c>
    </row>
    <row r="32" spans="4:10" x14ac:dyDescent="0.35">
      <c r="D32">
        <f t="shared" si="3"/>
        <v>5.4999999999999956</v>
      </c>
      <c r="E32">
        <f t="shared" si="0"/>
        <v>5.2549999999999937</v>
      </c>
      <c r="F32">
        <f t="shared" si="1"/>
        <v>5.5</v>
      </c>
      <c r="H32">
        <f t="shared" si="4"/>
        <v>9.2999999999999829</v>
      </c>
      <c r="I32">
        <f t="shared" si="5"/>
        <v>10.961333333333309</v>
      </c>
      <c r="J32">
        <f t="shared" si="2"/>
        <v>11</v>
      </c>
    </row>
    <row r="33" spans="4:10" x14ac:dyDescent="0.35">
      <c r="D33">
        <f t="shared" si="3"/>
        <v>5.5999999999999952</v>
      </c>
      <c r="E33">
        <f t="shared" si="0"/>
        <v>5.4051666666666591</v>
      </c>
      <c r="F33">
        <f t="shared" si="1"/>
        <v>5.5</v>
      </c>
      <c r="H33">
        <f t="shared" si="4"/>
        <v>9.3999999999999826</v>
      </c>
      <c r="I33">
        <f t="shared" si="5"/>
        <v>11.111499999999975</v>
      </c>
      <c r="J33">
        <f t="shared" si="2"/>
        <v>11</v>
      </c>
    </row>
    <row r="34" spans="4:10" x14ac:dyDescent="0.35">
      <c r="D34">
        <f t="shared" si="3"/>
        <v>5.6999999999999948</v>
      </c>
      <c r="E34">
        <f t="shared" si="0"/>
        <v>5.5553333333333264</v>
      </c>
      <c r="F34">
        <f t="shared" si="1"/>
        <v>5.5</v>
      </c>
      <c r="H34">
        <f t="shared" si="4"/>
        <v>9.4999999999999822</v>
      </c>
      <c r="I34">
        <f t="shared" si="5"/>
        <v>11.26166666666664</v>
      </c>
      <c r="J34">
        <f t="shared" si="2"/>
        <v>11.5</v>
      </c>
    </row>
    <row r="35" spans="4:10" x14ac:dyDescent="0.35">
      <c r="D35">
        <f t="shared" si="3"/>
        <v>5.7999999999999945</v>
      </c>
      <c r="E35">
        <f t="shared" si="0"/>
        <v>5.7054999999999918</v>
      </c>
      <c r="F35">
        <f t="shared" si="1"/>
        <v>5.5</v>
      </c>
      <c r="H35">
        <f t="shared" si="4"/>
        <v>9.5999999999999819</v>
      </c>
      <c r="I35">
        <f t="shared" si="5"/>
        <v>11.411833333333307</v>
      </c>
      <c r="J35">
        <f t="shared" si="2"/>
        <v>11.5</v>
      </c>
    </row>
    <row r="36" spans="4:10" x14ac:dyDescent="0.35">
      <c r="D36">
        <f t="shared" si="3"/>
        <v>5.8999999999999941</v>
      </c>
      <c r="E36">
        <f t="shared" si="0"/>
        <v>5.855666666666659</v>
      </c>
      <c r="F36">
        <f t="shared" si="1"/>
        <v>6</v>
      </c>
      <c r="H36">
        <f t="shared" si="4"/>
        <v>9.6999999999999815</v>
      </c>
      <c r="I36">
        <f t="shared" si="5"/>
        <v>11.561999999999973</v>
      </c>
      <c r="J36">
        <f t="shared" si="2"/>
        <v>11.5</v>
      </c>
    </row>
    <row r="37" spans="4:10" x14ac:dyDescent="0.35">
      <c r="D37">
        <f t="shared" si="3"/>
        <v>5.9999999999999938</v>
      </c>
      <c r="E37">
        <f t="shared" si="0"/>
        <v>6.0058333333333245</v>
      </c>
      <c r="F37">
        <f t="shared" si="1"/>
        <v>6</v>
      </c>
      <c r="H37">
        <f t="shared" si="4"/>
        <v>9.7999999999999812</v>
      </c>
      <c r="I37">
        <f t="shared" si="5"/>
        <v>11.712166666666638</v>
      </c>
      <c r="J37">
        <f t="shared" si="2"/>
        <v>11.5</v>
      </c>
    </row>
    <row r="38" spans="4:10" x14ac:dyDescent="0.35">
      <c r="D38">
        <f t="shared" si="3"/>
        <v>6.0999999999999934</v>
      </c>
      <c r="E38">
        <f t="shared" si="0"/>
        <v>6.1559999999999899</v>
      </c>
      <c r="F38">
        <f t="shared" si="1"/>
        <v>6</v>
      </c>
      <c r="H38">
        <f t="shared" si="4"/>
        <v>9.8999999999999808</v>
      </c>
      <c r="I38">
        <f t="shared" si="5"/>
        <v>11.862333333333305</v>
      </c>
      <c r="J38">
        <f t="shared" si="2"/>
        <v>12</v>
      </c>
    </row>
    <row r="39" spans="4:10" x14ac:dyDescent="0.35">
      <c r="D39">
        <f t="shared" si="3"/>
        <v>6.1999999999999931</v>
      </c>
      <c r="E39">
        <f t="shared" si="0"/>
        <v>6.3061666666666572</v>
      </c>
      <c r="F39">
        <f t="shared" si="1"/>
        <v>6.5</v>
      </c>
      <c r="H39">
        <f t="shared" si="4"/>
        <v>9.9999999999999805</v>
      </c>
      <c r="I39">
        <f t="shared" si="5"/>
        <v>12.012499999999971</v>
      </c>
      <c r="J39">
        <f t="shared" si="2"/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U80"/>
  <sheetViews>
    <sheetView workbookViewId="0">
      <pane xSplit="1" topLeftCell="B1" activePane="topRight" state="frozen"/>
      <selection activeCell="A31" sqref="A31"/>
      <selection pane="topRight" activeCell="R80" sqref="R80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9.08984375" bestFit="1" customWidth="1"/>
    <col min="21" max="21" width="16.6328125" bestFit="1" customWidth="1"/>
  </cols>
  <sheetData>
    <row r="1" spans="1:21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U1" t="s">
        <v>349</v>
      </c>
    </row>
    <row r="2" spans="1:21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U2" s="1">
        <v>45960</v>
      </c>
    </row>
    <row r="3" spans="1:21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21">
        <v>27</v>
      </c>
    </row>
    <row r="4" spans="1:21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1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T5" t="s">
        <v>370</v>
      </c>
      <c r="U5">
        <v>18</v>
      </c>
    </row>
    <row r="6" spans="1:21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T6" t="s">
        <v>371</v>
      </c>
      <c r="U6">
        <f>27*U5</f>
        <v>486</v>
      </c>
    </row>
    <row r="7" spans="1:21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44.7</v>
      </c>
      <c r="T7" t="s">
        <v>372</v>
      </c>
      <c r="U7">
        <f>1950-U6</f>
        <v>1464</v>
      </c>
    </row>
    <row r="8" spans="1:21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t="s">
        <v>373</v>
      </c>
      <c r="U8">
        <f>U7/18</f>
        <v>81.333333333333329</v>
      </c>
    </row>
    <row r="9" spans="1:21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1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</row>
    <row r="11" spans="1:21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</row>
    <row r="12" spans="1:21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</row>
    <row r="13" spans="1:21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</row>
    <row r="14" spans="1:21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</row>
    <row r="15" spans="1:21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</row>
    <row r="16" spans="1:21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</row>
    <row r="17" spans="1:1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</row>
    <row r="18" spans="1:1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</row>
    <row r="19" spans="1:1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</row>
    <row r="20" spans="1:1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</row>
    <row r="21" spans="1:1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21">
        <v>27</v>
      </c>
    </row>
    <row r="22" spans="1:1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1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21">
        <v>27</v>
      </c>
    </row>
    <row r="24" spans="1:1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</row>
    <row r="25" spans="1:1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1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2"/>
    </row>
    <row r="27" spans="1:1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1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21">
        <v>25</v>
      </c>
      <c r="L28" s="19"/>
      <c r="M28" s="22"/>
      <c r="N28" s="21">
        <v>27</v>
      </c>
      <c r="O28" s="19"/>
      <c r="P28" s="19"/>
      <c r="Q28" s="19"/>
    </row>
    <row r="29" spans="1:1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1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</row>
    <row r="31" spans="1:1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1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21">
        <v>27</v>
      </c>
      <c r="R32" s="21">
        <f>27*2</f>
        <v>54</v>
      </c>
    </row>
    <row r="33" spans="1:18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18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18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</row>
    <row r="36" spans="1:18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18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</row>
    <row r="38" spans="1:18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18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</row>
    <row r="40" spans="1:18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</row>
    <row r="41" spans="1:18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18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</row>
    <row r="43" spans="1:18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</row>
    <row r="44" spans="1:18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</row>
    <row r="45" spans="1:18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18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18" x14ac:dyDescent="0.35">
      <c r="A47" t="s">
        <v>81</v>
      </c>
      <c r="C47" s="19"/>
      <c r="D47" s="19"/>
      <c r="E47" s="19"/>
      <c r="F47" s="19"/>
      <c r="G47" s="19">
        <v>25</v>
      </c>
      <c r="H47" s="19"/>
      <c r="I47" s="19"/>
      <c r="L47" s="19">
        <v>25</v>
      </c>
    </row>
    <row r="48" spans="1:18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18" x14ac:dyDescent="0.35">
      <c r="A49" t="s">
        <v>80</v>
      </c>
      <c r="G49" s="19">
        <v>25</v>
      </c>
      <c r="H49" s="19"/>
      <c r="I49" s="19"/>
    </row>
    <row r="50" spans="1:18" x14ac:dyDescent="0.35">
      <c r="A50" t="s">
        <v>83</v>
      </c>
      <c r="G50" s="19"/>
      <c r="H50" s="19">
        <v>25</v>
      </c>
      <c r="I50" s="19"/>
    </row>
    <row r="51" spans="1:18" x14ac:dyDescent="0.35">
      <c r="A51" t="s">
        <v>86</v>
      </c>
      <c r="G51" s="19"/>
      <c r="H51" s="19">
        <v>25</v>
      </c>
      <c r="I51" s="19"/>
    </row>
    <row r="52" spans="1:18" x14ac:dyDescent="0.35">
      <c r="A52" t="s">
        <v>85</v>
      </c>
      <c r="G52" s="19"/>
      <c r="H52" s="19">
        <v>25</v>
      </c>
      <c r="I52" s="19">
        <v>50</v>
      </c>
    </row>
    <row r="53" spans="1:18" x14ac:dyDescent="0.35">
      <c r="A53" t="s">
        <v>81</v>
      </c>
      <c r="G53" s="19"/>
      <c r="H53" s="19">
        <v>25</v>
      </c>
      <c r="I53" s="19"/>
    </row>
    <row r="54" spans="1:18" x14ac:dyDescent="0.35">
      <c r="A54" t="s">
        <v>84</v>
      </c>
      <c r="G54" s="19"/>
      <c r="H54" s="19">
        <v>50</v>
      </c>
      <c r="I54" s="19">
        <v>77.78</v>
      </c>
      <c r="J54" s="19">
        <v>86.12</v>
      </c>
      <c r="K54" s="19">
        <f>(1800-12*25)/18</f>
        <v>83.333333333333329</v>
      </c>
      <c r="L54" s="19">
        <v>79.17</v>
      </c>
      <c r="M54" s="19">
        <v>76.39</v>
      </c>
      <c r="N54" s="19">
        <v>88.84</v>
      </c>
      <c r="O54" s="19">
        <v>84.34</v>
      </c>
      <c r="P54" s="19">
        <v>54</v>
      </c>
      <c r="Q54" s="19">
        <v>83</v>
      </c>
      <c r="R54" s="19">
        <f>27*2</f>
        <v>54</v>
      </c>
    </row>
    <row r="55" spans="1:18" x14ac:dyDescent="0.35">
      <c r="A55" t="s">
        <v>340</v>
      </c>
      <c r="G55" s="19"/>
      <c r="H55" s="19"/>
      <c r="I55" s="19"/>
      <c r="J55" s="19">
        <v>25</v>
      </c>
      <c r="K55" s="19">
        <v>62.5</v>
      </c>
      <c r="L55" s="19">
        <v>79.17</v>
      </c>
    </row>
    <row r="56" spans="1:18" x14ac:dyDescent="0.35">
      <c r="A56" t="s">
        <v>339</v>
      </c>
      <c r="G56" s="19"/>
      <c r="H56" s="19"/>
      <c r="I56" s="19"/>
      <c r="J56" s="19">
        <v>25</v>
      </c>
      <c r="M56" s="19">
        <v>25</v>
      </c>
    </row>
    <row r="57" spans="1:18" x14ac:dyDescent="0.35">
      <c r="A57" t="s">
        <v>344</v>
      </c>
      <c r="G57" s="19"/>
      <c r="H57" s="19"/>
      <c r="I57" s="19"/>
      <c r="J57" s="19">
        <v>25</v>
      </c>
      <c r="L57" s="19">
        <v>50</v>
      </c>
      <c r="M57" s="19">
        <v>25</v>
      </c>
    </row>
    <row r="58" spans="1:18" x14ac:dyDescent="0.35">
      <c r="A58" t="s">
        <v>342</v>
      </c>
      <c r="G58"/>
      <c r="H58"/>
      <c r="I58"/>
      <c r="K58" s="19">
        <v>25</v>
      </c>
      <c r="L58" s="19"/>
      <c r="N58" s="19">
        <v>27</v>
      </c>
      <c r="O58" s="19"/>
      <c r="P58" s="19"/>
      <c r="Q58" s="19"/>
    </row>
    <row r="59" spans="1:18" x14ac:dyDescent="0.35">
      <c r="A59" t="s">
        <v>345</v>
      </c>
      <c r="G59"/>
      <c r="H59"/>
      <c r="I59"/>
      <c r="K59" s="19">
        <v>25</v>
      </c>
      <c r="L59" s="19"/>
    </row>
    <row r="60" spans="1:18" x14ac:dyDescent="0.35">
      <c r="A60" t="s">
        <v>346</v>
      </c>
      <c r="G60"/>
      <c r="H60"/>
      <c r="I60"/>
      <c r="K60" s="19">
        <v>50</v>
      </c>
      <c r="L60" s="19">
        <v>79.17</v>
      </c>
      <c r="M60" s="19">
        <v>75</v>
      </c>
      <c r="N60" s="19">
        <v>88.84</v>
      </c>
      <c r="O60" s="19">
        <f>27*3</f>
        <v>81</v>
      </c>
      <c r="P60" s="19"/>
      <c r="Q60" s="19"/>
    </row>
    <row r="61" spans="1:18" x14ac:dyDescent="0.35">
      <c r="A61" t="s">
        <v>347</v>
      </c>
      <c r="G61"/>
      <c r="H61"/>
      <c r="I61"/>
      <c r="K61" s="19">
        <v>25</v>
      </c>
      <c r="L61" s="19"/>
    </row>
    <row r="62" spans="1:18" x14ac:dyDescent="0.35">
      <c r="A62" t="s">
        <v>354</v>
      </c>
      <c r="G62"/>
      <c r="H62"/>
      <c r="I62"/>
      <c r="K62" s="19"/>
      <c r="L62" s="19">
        <v>25</v>
      </c>
    </row>
    <row r="63" spans="1:18" x14ac:dyDescent="0.35">
      <c r="A63" t="s">
        <v>356</v>
      </c>
      <c r="L63" s="19">
        <v>25</v>
      </c>
    </row>
    <row r="64" spans="1:18" x14ac:dyDescent="0.35">
      <c r="A64" t="s">
        <v>352</v>
      </c>
      <c r="L64" s="19">
        <v>25</v>
      </c>
    </row>
    <row r="65" spans="1:18" x14ac:dyDescent="0.35">
      <c r="A65" t="s">
        <v>350</v>
      </c>
      <c r="L65" s="19">
        <v>25</v>
      </c>
    </row>
    <row r="66" spans="1:18" x14ac:dyDescent="0.35">
      <c r="A66" t="s">
        <v>363</v>
      </c>
      <c r="L66" s="19"/>
      <c r="M66" s="19">
        <v>25</v>
      </c>
    </row>
    <row r="67" spans="1:18" x14ac:dyDescent="0.35">
      <c r="A67" t="s">
        <v>361</v>
      </c>
      <c r="L67" s="19"/>
      <c r="M67" s="19">
        <v>25</v>
      </c>
      <c r="O67" s="19">
        <v>27</v>
      </c>
      <c r="P67" s="19"/>
      <c r="Q67" s="19">
        <v>27</v>
      </c>
    </row>
    <row r="68" spans="1:18" x14ac:dyDescent="0.35">
      <c r="A68" t="s">
        <v>364</v>
      </c>
      <c r="L68" s="19"/>
      <c r="M68" s="19"/>
      <c r="N68" s="19">
        <v>27</v>
      </c>
      <c r="O68" s="19"/>
      <c r="P68" s="19">
        <v>27</v>
      </c>
      <c r="Q68" s="19"/>
    </row>
    <row r="69" spans="1:18" x14ac:dyDescent="0.35">
      <c r="A69" t="s">
        <v>365</v>
      </c>
      <c r="L69" s="19"/>
      <c r="M69" s="19"/>
      <c r="N69" s="19">
        <v>27</v>
      </c>
      <c r="O69" s="19"/>
      <c r="P69" s="19"/>
      <c r="Q69" s="19"/>
    </row>
    <row r="70" spans="1:18" x14ac:dyDescent="0.35">
      <c r="A70" t="s">
        <v>366</v>
      </c>
      <c r="L70" s="19"/>
      <c r="M70" s="19"/>
      <c r="N70" s="19">
        <v>27</v>
      </c>
      <c r="O70" s="19"/>
      <c r="P70" s="19"/>
      <c r="Q70" s="19"/>
    </row>
    <row r="71" spans="1:18" x14ac:dyDescent="0.35">
      <c r="A71" t="s">
        <v>368</v>
      </c>
      <c r="O71" s="19">
        <v>27</v>
      </c>
      <c r="P71" s="19"/>
      <c r="Q71" s="19"/>
      <c r="R71" s="19">
        <v>27</v>
      </c>
    </row>
    <row r="72" spans="1:18" x14ac:dyDescent="0.35">
      <c r="A72" t="s">
        <v>369</v>
      </c>
      <c r="O72" s="19">
        <v>54</v>
      </c>
      <c r="P72" s="19"/>
      <c r="Q72" s="19"/>
    </row>
    <row r="73" spans="1:18" x14ac:dyDescent="0.35">
      <c r="A73" t="s">
        <v>376</v>
      </c>
      <c r="O73" s="19"/>
      <c r="P73" s="19"/>
      <c r="Q73" s="19">
        <v>81</v>
      </c>
      <c r="R73" s="19">
        <f>27*2</f>
        <v>54</v>
      </c>
    </row>
    <row r="74" spans="1:18" x14ac:dyDescent="0.35">
      <c r="A74" t="s">
        <v>374</v>
      </c>
      <c r="O74" s="19"/>
      <c r="P74" s="19"/>
      <c r="Q74" s="19">
        <v>27</v>
      </c>
    </row>
    <row r="75" spans="1:18" x14ac:dyDescent="0.35">
      <c r="A75" t="s">
        <v>375</v>
      </c>
      <c r="O75" s="19"/>
      <c r="P75" s="19"/>
      <c r="Q75" s="19">
        <v>27</v>
      </c>
    </row>
    <row r="76" spans="1:18" x14ac:dyDescent="0.35">
      <c r="A76" t="s">
        <v>377</v>
      </c>
      <c r="O76" s="19"/>
      <c r="P76" s="19"/>
      <c r="Q76" s="19"/>
      <c r="R76" s="19">
        <v>27</v>
      </c>
    </row>
    <row r="78" spans="1:18" x14ac:dyDescent="0.35">
      <c r="A78" t="s">
        <v>74</v>
      </c>
      <c r="B78" s="20">
        <f>SUM(B3:B28)</f>
        <v>1716.6666666666665</v>
      </c>
      <c r="C78" s="20">
        <f>SUM(C3:C35)</f>
        <v>1729.2800000000002</v>
      </c>
      <c r="D78" s="20">
        <f>SUM(D3:D38)</f>
        <v>1754.2800000000002</v>
      </c>
      <c r="E78" s="20">
        <f>SUM(E3:E41)</f>
        <v>1697.26</v>
      </c>
      <c r="F78" s="20">
        <f>SUM(F3:F44)</f>
        <v>1772.26</v>
      </c>
      <c r="G78" s="20">
        <f>SUM(G3:G49)</f>
        <v>1722.2599999999998</v>
      </c>
      <c r="H78" s="20">
        <f>SUM(H3:H54)</f>
        <v>1715.41</v>
      </c>
      <c r="I78" s="20">
        <f>SUM(I3:I54)</f>
        <v>1722.2599999999998</v>
      </c>
      <c r="J78" s="20">
        <f>SUM(J3:J57)</f>
        <v>1714.0399999999995</v>
      </c>
      <c r="K78" s="20">
        <f>SUM(K3:K60)</f>
        <v>1716.6733333333332</v>
      </c>
      <c r="L78" s="20">
        <f>SUM(L3:L60)</f>
        <v>1620.8900000000003</v>
      </c>
      <c r="M78" s="20">
        <f>SUM(M3:M70)</f>
        <v>1723.6300000000003</v>
      </c>
      <c r="N78" s="20">
        <f>SUM(N3:N70)</f>
        <v>1861.2799999999997</v>
      </c>
      <c r="O78" s="20">
        <f>SUM(O3:O72)</f>
        <v>1865.7799999999997</v>
      </c>
      <c r="P78" s="20">
        <f>SUM(P3:P72)</f>
        <v>1864.2799999999997</v>
      </c>
      <c r="Q78" s="20">
        <f>SUM(Q3:Q75)</f>
        <v>1869.11</v>
      </c>
      <c r="R78" s="20">
        <f>SUM(R3:R76)</f>
        <v>1870.7799999999997</v>
      </c>
    </row>
    <row r="79" spans="1:18" x14ac:dyDescent="0.35">
      <c r="A79" t="s">
        <v>75</v>
      </c>
      <c r="B79" s="20">
        <f>25*12+83.34*17</f>
        <v>1716.78</v>
      </c>
      <c r="C79" s="20">
        <f>22*25+70.84*17</f>
        <v>1754.28</v>
      </c>
      <c r="D79" s="20">
        <f>20*25+70.84*17</f>
        <v>1704.28</v>
      </c>
      <c r="E79" s="20">
        <f>15*25+77.78*17</f>
        <v>1697.26</v>
      </c>
      <c r="F79" s="20">
        <f>18*25+77.78*17</f>
        <v>1772.26</v>
      </c>
      <c r="G79" s="23">
        <f>17*77.78+25*16</f>
        <v>1722.26</v>
      </c>
      <c r="H79" s="23">
        <f>11*25+84.73*17</f>
        <v>1715.41</v>
      </c>
      <c r="I79" s="23">
        <f>17*25+77.78*17</f>
        <v>1747.26</v>
      </c>
      <c r="J79" s="23">
        <f>10*25+86.12*17</f>
        <v>1714.04</v>
      </c>
      <c r="K79" s="23">
        <f>13*25+83.33*17</f>
        <v>1741.61</v>
      </c>
      <c r="L79" s="23">
        <f>15*25+79.17*17</f>
        <v>1720.89</v>
      </c>
      <c r="M79" s="23">
        <f>17*25+76.39*17</f>
        <v>1723.63</v>
      </c>
      <c r="N79" s="23">
        <f>13*27+88.84*17</f>
        <v>1861.28</v>
      </c>
      <c r="O79" s="23">
        <f>16*27+84.34*17</f>
        <v>1865.78</v>
      </c>
      <c r="P79" s="23">
        <f>15*27+85.84*17</f>
        <v>1864.28</v>
      </c>
      <c r="Q79" s="23">
        <f>15*27+82.83*17</f>
        <v>1813.11</v>
      </c>
      <c r="R79" s="23">
        <f>13*27+82.83*17</f>
        <v>1759.11</v>
      </c>
    </row>
    <row r="80" spans="1:18" x14ac:dyDescent="0.35">
      <c r="B80" s="24">
        <f t="shared" ref="B80:G80" si="1">B79/B78</f>
        <v>1.0000660194174757</v>
      </c>
      <c r="C80" s="24">
        <f t="shared" si="1"/>
        <v>1.0144568837897852</v>
      </c>
      <c r="D80" s="24">
        <f t="shared" si="1"/>
        <v>0.97149827849602099</v>
      </c>
      <c r="E80" s="24">
        <f t="shared" si="1"/>
        <v>1</v>
      </c>
      <c r="F80" s="24">
        <f t="shared" si="1"/>
        <v>1</v>
      </c>
      <c r="G80" s="24">
        <f t="shared" si="1"/>
        <v>1.0000000000000002</v>
      </c>
      <c r="H80" s="24">
        <f t="shared" ref="H80:I80" si="2">H79/H78</f>
        <v>1</v>
      </c>
      <c r="I80" s="24">
        <f t="shared" si="2"/>
        <v>1.0145158106209284</v>
      </c>
      <c r="J80" s="24">
        <f t="shared" ref="J80:K80" si="3">J79/J78</f>
        <v>1.0000000000000002</v>
      </c>
      <c r="K80" s="24">
        <f t="shared" si="3"/>
        <v>1.0145261571799722</v>
      </c>
      <c r="L80" s="24">
        <f t="shared" ref="L80:M80" si="4">L79/L78</f>
        <v>1.0616945011691106</v>
      </c>
      <c r="M80" s="24">
        <f t="shared" si="4"/>
        <v>0.99999999999999989</v>
      </c>
      <c r="N80" s="24">
        <f t="shared" ref="N80:O80" si="5">N79/N78</f>
        <v>1.0000000000000002</v>
      </c>
      <c r="O80" s="24">
        <f t="shared" si="5"/>
        <v>1.0000000000000002</v>
      </c>
      <c r="P80" s="24">
        <f t="shared" ref="P80" si="6">P79/P78</f>
        <v>1.0000000000000002</v>
      </c>
      <c r="Q80" s="24">
        <f>Q79/Q78</f>
        <v>0.97003921652551217</v>
      </c>
      <c r="R80" s="24">
        <f>R79/R78</f>
        <v>0.9403083205935493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9"/>
  <sheetViews>
    <sheetView topLeftCell="A186" workbookViewId="0">
      <selection activeCell="J220" sqref="J220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D76"/>
  <sheetViews>
    <sheetView tabSelected="1" topLeftCell="A6" zoomScaleNormal="100" workbookViewId="0">
      <pane xSplit="1" topLeftCell="AO1" activePane="topRight" state="frozen"/>
      <selection pane="topRight" activeCell="A17" sqref="A17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56" width="10.453125" bestFit="1" customWidth="1"/>
  </cols>
  <sheetData>
    <row r="1" spans="1:56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</row>
    <row r="2" spans="1:56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</row>
    <row r="3" spans="1:56" hidden="1" x14ac:dyDescent="0.35">
      <c r="A3" t="s">
        <v>24</v>
      </c>
    </row>
    <row r="4" spans="1:56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56" hidden="1" x14ac:dyDescent="0.35">
      <c r="A5" t="s">
        <v>365</v>
      </c>
    </row>
    <row r="6" spans="1:56" x14ac:dyDescent="0.35">
      <c r="A6" t="s">
        <v>77</v>
      </c>
      <c r="G6">
        <v>3</v>
      </c>
    </row>
    <row r="7" spans="1:56" x14ac:dyDescent="0.35">
      <c r="A7" t="s">
        <v>364</v>
      </c>
      <c r="AH7">
        <v>3</v>
      </c>
      <c r="AQ7">
        <v>2</v>
      </c>
    </row>
    <row r="8" spans="1:56" x14ac:dyDescent="0.35">
      <c r="A8" t="s">
        <v>7</v>
      </c>
      <c r="K8">
        <v>1</v>
      </c>
    </row>
    <row r="9" spans="1:56" x14ac:dyDescent="0.35">
      <c r="A9" t="s">
        <v>353</v>
      </c>
      <c r="G9">
        <v>1</v>
      </c>
    </row>
    <row r="10" spans="1:56" hidden="1" x14ac:dyDescent="0.35">
      <c r="A10" t="s">
        <v>347</v>
      </c>
    </row>
    <row r="11" spans="1:56" x14ac:dyDescent="0.35">
      <c r="A11" t="s">
        <v>48</v>
      </c>
    </row>
    <row r="12" spans="1:56" x14ac:dyDescent="0.35">
      <c r="A12" t="s">
        <v>362</v>
      </c>
    </row>
    <row r="13" spans="1:56" hidden="1" x14ac:dyDescent="0.35">
      <c r="A13" t="s">
        <v>18</v>
      </c>
    </row>
    <row r="14" spans="1:56" x14ac:dyDescent="0.35">
      <c r="A14" t="s">
        <v>25</v>
      </c>
      <c r="C14">
        <v>1</v>
      </c>
      <c r="E14">
        <v>1</v>
      </c>
      <c r="G14">
        <v>1</v>
      </c>
      <c r="J14">
        <v>3</v>
      </c>
      <c r="K14">
        <v>3</v>
      </c>
      <c r="M14">
        <v>1</v>
      </c>
      <c r="R14">
        <v>1</v>
      </c>
      <c r="V14">
        <v>1</v>
      </c>
      <c r="AE14">
        <v>1</v>
      </c>
      <c r="AF14">
        <v>1</v>
      </c>
      <c r="AH14">
        <v>2</v>
      </c>
      <c r="AT14">
        <v>1</v>
      </c>
      <c r="BA14">
        <v>1</v>
      </c>
    </row>
    <row r="15" spans="1:56" x14ac:dyDescent="0.35">
      <c r="A15" t="s">
        <v>14</v>
      </c>
      <c r="E15">
        <v>1</v>
      </c>
      <c r="F15">
        <v>1</v>
      </c>
      <c r="J15">
        <v>1</v>
      </c>
      <c r="P15">
        <v>1</v>
      </c>
      <c r="S15">
        <v>1</v>
      </c>
      <c r="W15">
        <v>1</v>
      </c>
      <c r="Z15">
        <v>2</v>
      </c>
      <c r="AA15">
        <v>0.5</v>
      </c>
      <c r="AK15">
        <v>1</v>
      </c>
      <c r="AR15">
        <v>2</v>
      </c>
      <c r="AX15">
        <v>1</v>
      </c>
    </row>
    <row r="16" spans="1:56" x14ac:dyDescent="0.35">
      <c r="A16" t="s">
        <v>378</v>
      </c>
    </row>
    <row r="17" spans="1:56" x14ac:dyDescent="0.35">
      <c r="A17" t="s">
        <v>54</v>
      </c>
      <c r="C17">
        <v>2</v>
      </c>
      <c r="D17">
        <v>3</v>
      </c>
      <c r="V17">
        <v>2</v>
      </c>
    </row>
    <row r="18" spans="1:56" x14ac:dyDescent="0.35">
      <c r="A18" t="s">
        <v>66</v>
      </c>
      <c r="D18">
        <v>2</v>
      </c>
      <c r="I18">
        <v>3</v>
      </c>
      <c r="J18">
        <v>1</v>
      </c>
      <c r="T18">
        <v>1</v>
      </c>
      <c r="W18">
        <v>1</v>
      </c>
      <c r="X18">
        <v>1</v>
      </c>
      <c r="Y18">
        <v>1</v>
      </c>
      <c r="Z18">
        <v>1</v>
      </c>
      <c r="AA18">
        <v>1</v>
      </c>
      <c r="AC18">
        <v>1</v>
      </c>
      <c r="AD18">
        <v>1</v>
      </c>
      <c r="AH18">
        <v>1</v>
      </c>
      <c r="AI18">
        <v>1</v>
      </c>
      <c r="BA18">
        <v>3</v>
      </c>
    </row>
    <row r="19" spans="1:56" x14ac:dyDescent="0.35">
      <c r="A19" t="s">
        <v>84</v>
      </c>
      <c r="I19">
        <v>2</v>
      </c>
      <c r="J19">
        <v>1</v>
      </c>
      <c r="L19">
        <v>3</v>
      </c>
      <c r="N19">
        <v>2</v>
      </c>
      <c r="O19">
        <v>2</v>
      </c>
      <c r="P19">
        <v>1</v>
      </c>
      <c r="S19">
        <v>2</v>
      </c>
      <c r="V19">
        <v>4</v>
      </c>
      <c r="W19">
        <v>6</v>
      </c>
      <c r="X19">
        <v>3</v>
      </c>
      <c r="AB19">
        <v>1</v>
      </c>
      <c r="AC19">
        <v>2</v>
      </c>
      <c r="AD19">
        <v>3</v>
      </c>
      <c r="AE19">
        <v>1</v>
      </c>
      <c r="AH19">
        <v>4</v>
      </c>
      <c r="AI19">
        <v>5</v>
      </c>
      <c r="AK19">
        <v>1</v>
      </c>
      <c r="AL19">
        <v>1</v>
      </c>
      <c r="AN19">
        <v>2</v>
      </c>
      <c r="AU19">
        <v>4</v>
      </c>
      <c r="AV19">
        <v>1</v>
      </c>
      <c r="AX19">
        <v>1</v>
      </c>
    </row>
    <row r="20" spans="1:56" x14ac:dyDescent="0.35">
      <c r="A20" t="s">
        <v>15</v>
      </c>
      <c r="F20">
        <v>1</v>
      </c>
      <c r="H20">
        <v>2</v>
      </c>
      <c r="I20">
        <v>1</v>
      </c>
      <c r="AK20">
        <v>1</v>
      </c>
      <c r="AL20">
        <v>4</v>
      </c>
      <c r="AO20">
        <v>2</v>
      </c>
      <c r="AR20">
        <v>3</v>
      </c>
      <c r="AS20">
        <v>2</v>
      </c>
      <c r="AT20">
        <v>1</v>
      </c>
      <c r="AY20">
        <v>1</v>
      </c>
    </row>
    <row r="21" spans="1:56" x14ac:dyDescent="0.35">
      <c r="A21" t="s">
        <v>375</v>
      </c>
      <c r="AW21">
        <v>1</v>
      </c>
    </row>
    <row r="22" spans="1:56" x14ac:dyDescent="0.35">
      <c r="A22" t="s">
        <v>6</v>
      </c>
      <c r="B22">
        <v>3</v>
      </c>
      <c r="E22">
        <v>2</v>
      </c>
      <c r="H22">
        <v>1</v>
      </c>
      <c r="L22">
        <v>2</v>
      </c>
      <c r="M22">
        <v>2</v>
      </c>
      <c r="N22">
        <v>6</v>
      </c>
      <c r="O22">
        <v>1</v>
      </c>
      <c r="Q22">
        <v>3</v>
      </c>
      <c r="R22">
        <v>1</v>
      </c>
      <c r="S22">
        <v>1</v>
      </c>
      <c r="T22">
        <v>3</v>
      </c>
      <c r="U22">
        <v>3</v>
      </c>
      <c r="V22">
        <v>6</v>
      </c>
      <c r="W22">
        <v>2</v>
      </c>
      <c r="X22">
        <v>3</v>
      </c>
      <c r="Y22">
        <v>1</v>
      </c>
      <c r="Z22">
        <v>3.5</v>
      </c>
      <c r="AA22">
        <v>3.5</v>
      </c>
      <c r="AB22">
        <v>3</v>
      </c>
      <c r="AC22">
        <v>1</v>
      </c>
      <c r="AE22">
        <v>10</v>
      </c>
      <c r="AF22">
        <v>3</v>
      </c>
      <c r="AG22">
        <v>3</v>
      </c>
      <c r="AH22">
        <v>2</v>
      </c>
      <c r="AJ22">
        <v>3</v>
      </c>
      <c r="AK22">
        <v>3</v>
      </c>
      <c r="AL22">
        <v>5</v>
      </c>
      <c r="AN22">
        <v>1</v>
      </c>
      <c r="AO22">
        <v>6</v>
      </c>
      <c r="AP22">
        <v>4</v>
      </c>
      <c r="AQ22">
        <v>3</v>
      </c>
      <c r="AR22">
        <v>4</v>
      </c>
      <c r="AS22">
        <v>2</v>
      </c>
      <c r="AT22">
        <v>4</v>
      </c>
      <c r="AU22">
        <v>4</v>
      </c>
      <c r="AV22">
        <v>6</v>
      </c>
      <c r="AW22">
        <v>1</v>
      </c>
      <c r="AY22">
        <v>4</v>
      </c>
      <c r="AZ22">
        <v>1</v>
      </c>
      <c r="BA22">
        <v>3</v>
      </c>
      <c r="BC22">
        <v>5</v>
      </c>
      <c r="BD22">
        <v>2</v>
      </c>
    </row>
    <row r="23" spans="1:56" x14ac:dyDescent="0.35">
      <c r="A23" t="s">
        <v>342</v>
      </c>
      <c r="T23">
        <v>4</v>
      </c>
      <c r="AH23">
        <v>1</v>
      </c>
      <c r="AK23">
        <v>1</v>
      </c>
    </row>
    <row r="24" spans="1:56" hidden="1" x14ac:dyDescent="0.35">
      <c r="A24" t="s">
        <v>52</v>
      </c>
    </row>
    <row r="25" spans="1:56" x14ac:dyDescent="0.35">
      <c r="A25" t="s">
        <v>78</v>
      </c>
    </row>
    <row r="26" spans="1:56" x14ac:dyDescent="0.35">
      <c r="A26" t="s">
        <v>12</v>
      </c>
      <c r="N26">
        <v>2</v>
      </c>
      <c r="U26">
        <v>1</v>
      </c>
      <c r="AI26">
        <v>1</v>
      </c>
    </row>
    <row r="27" spans="1:56" x14ac:dyDescent="0.35">
      <c r="A27" t="s">
        <v>4</v>
      </c>
      <c r="E27">
        <v>1</v>
      </c>
      <c r="F27">
        <v>3</v>
      </c>
      <c r="H27">
        <v>1</v>
      </c>
      <c r="J27">
        <v>1</v>
      </c>
      <c r="K27">
        <v>3</v>
      </c>
      <c r="P27">
        <v>3</v>
      </c>
      <c r="U27">
        <v>3</v>
      </c>
      <c r="W27">
        <v>1</v>
      </c>
      <c r="AD27">
        <v>1</v>
      </c>
      <c r="AF27">
        <v>1</v>
      </c>
      <c r="AH27">
        <v>1</v>
      </c>
      <c r="AI27">
        <v>1</v>
      </c>
      <c r="AJ27">
        <v>2</v>
      </c>
      <c r="AO27">
        <v>2</v>
      </c>
      <c r="AP27">
        <v>2</v>
      </c>
      <c r="AQ27">
        <v>4</v>
      </c>
      <c r="AR27">
        <v>2</v>
      </c>
      <c r="AT27">
        <v>1</v>
      </c>
      <c r="AU27">
        <v>2</v>
      </c>
      <c r="AV27">
        <v>1</v>
      </c>
      <c r="AW27">
        <v>1</v>
      </c>
      <c r="AX27">
        <v>1</v>
      </c>
      <c r="AZ27">
        <v>2</v>
      </c>
      <c r="BA27">
        <v>2</v>
      </c>
      <c r="BB27">
        <v>1</v>
      </c>
      <c r="BD27">
        <v>2</v>
      </c>
    </row>
    <row r="28" spans="1:56" x14ac:dyDescent="0.35">
      <c r="A28" t="s">
        <v>361</v>
      </c>
      <c r="AD28">
        <v>2</v>
      </c>
      <c r="AM28">
        <v>1</v>
      </c>
      <c r="AU28">
        <v>1</v>
      </c>
    </row>
    <row r="29" spans="1:56" x14ac:dyDescent="0.35">
      <c r="A29" t="s">
        <v>1</v>
      </c>
      <c r="B29">
        <v>1</v>
      </c>
      <c r="C29">
        <v>1</v>
      </c>
      <c r="D29">
        <v>1</v>
      </c>
      <c r="E29">
        <v>1</v>
      </c>
      <c r="F29">
        <v>2</v>
      </c>
      <c r="I29">
        <v>2</v>
      </c>
      <c r="J29">
        <v>1</v>
      </c>
      <c r="K29">
        <v>2</v>
      </c>
      <c r="L29">
        <v>1</v>
      </c>
      <c r="M29">
        <v>2</v>
      </c>
      <c r="N29">
        <v>1</v>
      </c>
      <c r="O29">
        <v>1</v>
      </c>
      <c r="P29">
        <v>2</v>
      </c>
      <c r="R29">
        <v>1</v>
      </c>
      <c r="T29">
        <v>1</v>
      </c>
      <c r="U29">
        <v>2</v>
      </c>
      <c r="Y29">
        <v>2</v>
      </c>
      <c r="AB29">
        <v>2</v>
      </c>
      <c r="AD29">
        <v>1</v>
      </c>
      <c r="AH29">
        <v>1</v>
      </c>
      <c r="AJ29">
        <v>1</v>
      </c>
      <c r="AN29">
        <v>2</v>
      </c>
      <c r="AO29">
        <v>1</v>
      </c>
      <c r="AP29">
        <v>2</v>
      </c>
      <c r="AQ29">
        <v>1</v>
      </c>
      <c r="AS29">
        <v>2</v>
      </c>
      <c r="AW29">
        <v>1</v>
      </c>
      <c r="AX29">
        <v>1</v>
      </c>
      <c r="AY29">
        <v>2</v>
      </c>
      <c r="AZ29">
        <v>2</v>
      </c>
      <c r="BA29">
        <v>1</v>
      </c>
      <c r="BB29">
        <v>2</v>
      </c>
      <c r="BC29">
        <v>4</v>
      </c>
      <c r="BD29">
        <v>1</v>
      </c>
    </row>
    <row r="30" spans="1:56" hidden="1" x14ac:dyDescent="0.35">
      <c r="A30" t="s">
        <v>351</v>
      </c>
      <c r="Z30">
        <v>1</v>
      </c>
    </row>
    <row r="31" spans="1:56" x14ac:dyDescent="0.35">
      <c r="A31" t="s">
        <v>9</v>
      </c>
      <c r="C31">
        <v>1</v>
      </c>
      <c r="D31">
        <v>1</v>
      </c>
      <c r="G31">
        <v>2</v>
      </c>
      <c r="H31">
        <v>2</v>
      </c>
      <c r="I31">
        <v>1</v>
      </c>
      <c r="J31">
        <v>1</v>
      </c>
      <c r="K31">
        <v>2</v>
      </c>
      <c r="L31">
        <v>5</v>
      </c>
      <c r="M31">
        <v>1</v>
      </c>
      <c r="O31">
        <v>4</v>
      </c>
      <c r="P31">
        <v>1</v>
      </c>
      <c r="Q31">
        <v>2</v>
      </c>
      <c r="T31">
        <v>6</v>
      </c>
      <c r="X31">
        <v>2</v>
      </c>
      <c r="Y31">
        <v>2</v>
      </c>
      <c r="Z31">
        <v>1</v>
      </c>
      <c r="AA31">
        <v>1</v>
      </c>
      <c r="AB31">
        <v>1</v>
      </c>
      <c r="AC31">
        <v>3</v>
      </c>
      <c r="AF31">
        <v>4</v>
      </c>
      <c r="AI31">
        <v>1</v>
      </c>
      <c r="AL31">
        <v>1</v>
      </c>
      <c r="AN31">
        <v>1</v>
      </c>
      <c r="AR31">
        <v>2</v>
      </c>
      <c r="AS31">
        <v>3</v>
      </c>
      <c r="AT31">
        <v>1</v>
      </c>
      <c r="AW31">
        <v>2</v>
      </c>
      <c r="AX31">
        <v>5</v>
      </c>
      <c r="AY31">
        <v>3</v>
      </c>
      <c r="AZ31">
        <v>1</v>
      </c>
      <c r="BA31">
        <v>3</v>
      </c>
      <c r="BB31">
        <v>2</v>
      </c>
      <c r="BD31">
        <v>3</v>
      </c>
    </row>
    <row r="32" spans="1:56" x14ac:dyDescent="0.35">
      <c r="A32" t="s">
        <v>20</v>
      </c>
      <c r="B32">
        <v>1</v>
      </c>
      <c r="D32">
        <v>1</v>
      </c>
      <c r="F32">
        <v>2</v>
      </c>
      <c r="G32">
        <v>2</v>
      </c>
      <c r="H32">
        <v>4</v>
      </c>
      <c r="J32">
        <v>2</v>
      </c>
      <c r="K32">
        <v>2</v>
      </c>
      <c r="L32">
        <v>1</v>
      </c>
      <c r="M32">
        <v>1</v>
      </c>
      <c r="P32">
        <v>1</v>
      </c>
      <c r="Q32">
        <v>1</v>
      </c>
      <c r="R32">
        <v>3</v>
      </c>
      <c r="S32">
        <v>2</v>
      </c>
      <c r="T32">
        <v>2</v>
      </c>
      <c r="U32">
        <v>2</v>
      </c>
      <c r="W32">
        <v>3</v>
      </c>
      <c r="X32">
        <v>3</v>
      </c>
      <c r="Y32">
        <v>2</v>
      </c>
      <c r="AA32">
        <v>2</v>
      </c>
      <c r="AB32">
        <v>2</v>
      </c>
      <c r="AC32">
        <v>2</v>
      </c>
      <c r="AE32">
        <v>2</v>
      </c>
      <c r="AF32">
        <v>1</v>
      </c>
      <c r="AG32">
        <v>2</v>
      </c>
      <c r="AJ32">
        <v>4</v>
      </c>
      <c r="AK32">
        <v>2</v>
      </c>
      <c r="AM32">
        <v>1</v>
      </c>
      <c r="AN32">
        <v>1</v>
      </c>
      <c r="AO32">
        <v>1</v>
      </c>
      <c r="AP32">
        <v>1</v>
      </c>
      <c r="AU32">
        <v>1</v>
      </c>
      <c r="AV32">
        <v>1</v>
      </c>
      <c r="AW32">
        <v>2</v>
      </c>
      <c r="BA32">
        <v>1</v>
      </c>
    </row>
    <row r="33" spans="1:56" x14ac:dyDescent="0.35">
      <c r="A33" t="s">
        <v>80</v>
      </c>
      <c r="F33">
        <v>1</v>
      </c>
    </row>
    <row r="34" spans="1:56" hidden="1" x14ac:dyDescent="0.35">
      <c r="A34" t="s">
        <v>61</v>
      </c>
      <c r="D34">
        <v>1</v>
      </c>
    </row>
    <row r="35" spans="1:56" x14ac:dyDescent="0.35">
      <c r="A35" t="s">
        <v>374</v>
      </c>
      <c r="AW35">
        <v>2</v>
      </c>
    </row>
    <row r="36" spans="1:56" x14ac:dyDescent="0.35">
      <c r="A36" t="s">
        <v>19</v>
      </c>
      <c r="B36">
        <v>2</v>
      </c>
      <c r="C36">
        <v>1</v>
      </c>
      <c r="D36">
        <v>1</v>
      </c>
      <c r="F36">
        <v>4</v>
      </c>
      <c r="G36">
        <v>3</v>
      </c>
      <c r="H36">
        <v>1</v>
      </c>
      <c r="I36">
        <v>1</v>
      </c>
      <c r="M36">
        <v>2</v>
      </c>
      <c r="N36">
        <v>3</v>
      </c>
      <c r="T36">
        <v>1</v>
      </c>
      <c r="X36">
        <v>1</v>
      </c>
      <c r="AA36">
        <v>2</v>
      </c>
      <c r="AB36">
        <v>2</v>
      </c>
      <c r="AC36">
        <v>1</v>
      </c>
      <c r="AD36">
        <v>2</v>
      </c>
      <c r="AE36">
        <v>1</v>
      </c>
      <c r="AG36">
        <v>1</v>
      </c>
      <c r="AH36">
        <v>2</v>
      </c>
      <c r="AJ36">
        <v>1</v>
      </c>
      <c r="AM36">
        <v>4</v>
      </c>
      <c r="AN36">
        <v>1</v>
      </c>
      <c r="AP36">
        <v>1</v>
      </c>
      <c r="AR36">
        <v>1</v>
      </c>
      <c r="AS36">
        <v>1</v>
      </c>
      <c r="AT36">
        <v>1</v>
      </c>
      <c r="AV36">
        <v>1</v>
      </c>
      <c r="AZ36">
        <v>2</v>
      </c>
      <c r="BA36">
        <v>1</v>
      </c>
      <c r="BC36">
        <v>3</v>
      </c>
      <c r="BD36">
        <v>1</v>
      </c>
    </row>
    <row r="37" spans="1:56" x14ac:dyDescent="0.35">
      <c r="A37" t="s">
        <v>43</v>
      </c>
      <c r="AQ37">
        <v>2</v>
      </c>
    </row>
    <row r="38" spans="1:56" x14ac:dyDescent="0.35">
      <c r="A38" t="s">
        <v>68</v>
      </c>
      <c r="E38">
        <v>1</v>
      </c>
      <c r="I38">
        <v>1</v>
      </c>
      <c r="N38">
        <v>1</v>
      </c>
      <c r="W38">
        <v>2</v>
      </c>
      <c r="AQ38">
        <v>1</v>
      </c>
    </row>
    <row r="39" spans="1:56" hidden="1" x14ac:dyDescent="0.35">
      <c r="A39" t="s">
        <v>53</v>
      </c>
      <c r="N39">
        <v>1</v>
      </c>
    </row>
    <row r="40" spans="1:56" x14ac:dyDescent="0.35">
      <c r="A40" t="s">
        <v>368</v>
      </c>
      <c r="AM40">
        <v>5</v>
      </c>
      <c r="BB40">
        <v>9</v>
      </c>
    </row>
    <row r="41" spans="1:56" x14ac:dyDescent="0.35">
      <c r="A41" t="s">
        <v>345</v>
      </c>
      <c r="U41">
        <v>1</v>
      </c>
    </row>
    <row r="42" spans="1:56" x14ac:dyDescent="0.35">
      <c r="A42" t="s">
        <v>343</v>
      </c>
      <c r="AN42">
        <v>1</v>
      </c>
    </row>
    <row r="43" spans="1:56" x14ac:dyDescent="0.35">
      <c r="A43" t="s">
        <v>344</v>
      </c>
      <c r="X43">
        <v>1</v>
      </c>
      <c r="Y43">
        <v>2</v>
      </c>
      <c r="AF43">
        <v>2</v>
      </c>
    </row>
    <row r="44" spans="1:56" x14ac:dyDescent="0.35">
      <c r="A44" t="s">
        <v>10</v>
      </c>
      <c r="B44">
        <v>2</v>
      </c>
      <c r="C44">
        <v>3</v>
      </c>
      <c r="F44">
        <v>2</v>
      </c>
      <c r="I44">
        <v>2</v>
      </c>
      <c r="J44">
        <v>2</v>
      </c>
      <c r="K44">
        <v>1</v>
      </c>
      <c r="L44">
        <v>1</v>
      </c>
      <c r="M44">
        <v>1</v>
      </c>
      <c r="O44">
        <v>2</v>
      </c>
      <c r="R44">
        <v>3</v>
      </c>
      <c r="S44">
        <v>1</v>
      </c>
      <c r="T44">
        <v>1</v>
      </c>
      <c r="V44">
        <v>1</v>
      </c>
      <c r="W44">
        <v>3</v>
      </c>
      <c r="X44">
        <v>1</v>
      </c>
      <c r="Y44">
        <v>1</v>
      </c>
      <c r="Z44">
        <v>1.5</v>
      </c>
      <c r="AC44">
        <v>1</v>
      </c>
      <c r="AD44">
        <v>2</v>
      </c>
      <c r="AE44">
        <v>1</v>
      </c>
      <c r="AF44">
        <v>2</v>
      </c>
      <c r="AH44">
        <v>2</v>
      </c>
      <c r="AL44">
        <v>3</v>
      </c>
      <c r="AP44">
        <v>2</v>
      </c>
      <c r="AQ44">
        <v>4</v>
      </c>
      <c r="AR44">
        <v>3</v>
      </c>
      <c r="AS44">
        <v>0.5</v>
      </c>
      <c r="AU44">
        <v>2</v>
      </c>
      <c r="AV44">
        <v>1</v>
      </c>
      <c r="BC44">
        <v>1</v>
      </c>
      <c r="BD44">
        <v>1</v>
      </c>
    </row>
    <row r="45" spans="1:56" x14ac:dyDescent="0.35">
      <c r="A45" t="s">
        <v>46</v>
      </c>
      <c r="B45">
        <v>1</v>
      </c>
      <c r="O45">
        <v>3</v>
      </c>
      <c r="P45">
        <v>1</v>
      </c>
      <c r="Q45">
        <v>2</v>
      </c>
      <c r="AM45">
        <v>1</v>
      </c>
      <c r="AN45">
        <v>1</v>
      </c>
      <c r="AP45">
        <v>1</v>
      </c>
      <c r="AS45">
        <v>1</v>
      </c>
      <c r="AV45">
        <v>1</v>
      </c>
      <c r="AX45">
        <v>5</v>
      </c>
      <c r="AY45">
        <v>1</v>
      </c>
      <c r="BA45">
        <v>2</v>
      </c>
      <c r="BB45">
        <v>4</v>
      </c>
    </row>
    <row r="46" spans="1:56" x14ac:dyDescent="0.35">
      <c r="A46" t="s">
        <v>377</v>
      </c>
    </row>
    <row r="47" spans="1:56" x14ac:dyDescent="0.35">
      <c r="A47" t="s">
        <v>3</v>
      </c>
      <c r="F47">
        <v>3</v>
      </c>
      <c r="L47">
        <v>1</v>
      </c>
      <c r="S47">
        <v>3</v>
      </c>
      <c r="AH47">
        <v>1</v>
      </c>
    </row>
    <row r="48" spans="1:56" hidden="1" x14ac:dyDescent="0.35">
      <c r="A48" t="s">
        <v>350</v>
      </c>
    </row>
    <row r="49" spans="1:56" x14ac:dyDescent="0.35">
      <c r="A49" t="s">
        <v>56</v>
      </c>
      <c r="C49">
        <v>3</v>
      </c>
      <c r="E49">
        <v>2</v>
      </c>
      <c r="F49">
        <v>1</v>
      </c>
      <c r="G49">
        <v>2</v>
      </c>
      <c r="I49">
        <v>1</v>
      </c>
      <c r="J49">
        <v>1</v>
      </c>
      <c r="K49">
        <v>1</v>
      </c>
      <c r="L49">
        <v>1</v>
      </c>
      <c r="M49">
        <v>1</v>
      </c>
      <c r="P49">
        <v>1</v>
      </c>
      <c r="R49">
        <v>1</v>
      </c>
      <c r="S49">
        <v>4</v>
      </c>
      <c r="T49">
        <v>1</v>
      </c>
      <c r="V49">
        <v>1</v>
      </c>
      <c r="W49">
        <v>2</v>
      </c>
      <c r="Z49">
        <v>2</v>
      </c>
      <c r="AA49">
        <v>1</v>
      </c>
      <c r="AB49">
        <v>4</v>
      </c>
      <c r="AC49">
        <v>1</v>
      </c>
      <c r="AD49">
        <v>1</v>
      </c>
      <c r="AX49">
        <v>1</v>
      </c>
      <c r="AY49">
        <v>1</v>
      </c>
      <c r="AZ49">
        <v>2</v>
      </c>
      <c r="BD49">
        <v>1</v>
      </c>
    </row>
    <row r="50" spans="1:56" x14ac:dyDescent="0.35">
      <c r="A50" t="s">
        <v>369</v>
      </c>
      <c r="AN50">
        <v>3</v>
      </c>
    </row>
    <row r="51" spans="1:56" x14ac:dyDescent="0.35">
      <c r="A51" t="s">
        <v>60</v>
      </c>
      <c r="B51">
        <v>2</v>
      </c>
    </row>
    <row r="52" spans="1:56" x14ac:dyDescent="0.35">
      <c r="A52" t="s">
        <v>340</v>
      </c>
      <c r="Q52">
        <v>1</v>
      </c>
      <c r="U52">
        <v>1</v>
      </c>
      <c r="W52">
        <v>1</v>
      </c>
      <c r="X52">
        <v>3</v>
      </c>
      <c r="Y52">
        <v>1</v>
      </c>
      <c r="Z52">
        <v>1</v>
      </c>
    </row>
    <row r="53" spans="1:56" x14ac:dyDescent="0.35">
      <c r="A53" t="s">
        <v>339</v>
      </c>
    </row>
    <row r="54" spans="1:56" x14ac:dyDescent="0.35">
      <c r="A54" t="s">
        <v>11</v>
      </c>
    </row>
    <row r="55" spans="1:56" x14ac:dyDescent="0.35">
      <c r="A55" t="s">
        <v>55</v>
      </c>
      <c r="B55">
        <v>2</v>
      </c>
      <c r="C55">
        <v>1</v>
      </c>
      <c r="D55">
        <v>1</v>
      </c>
      <c r="E55">
        <v>1</v>
      </c>
      <c r="F55">
        <v>3</v>
      </c>
      <c r="G55">
        <v>2</v>
      </c>
      <c r="H55">
        <v>3</v>
      </c>
      <c r="J55">
        <v>1</v>
      </c>
      <c r="K55">
        <v>1</v>
      </c>
      <c r="M55">
        <v>3</v>
      </c>
      <c r="N55">
        <v>4</v>
      </c>
      <c r="X55">
        <v>6</v>
      </c>
      <c r="Y55">
        <v>5</v>
      </c>
      <c r="Z55">
        <v>1</v>
      </c>
      <c r="AD55">
        <v>2</v>
      </c>
      <c r="AG55">
        <v>3</v>
      </c>
      <c r="AJ55">
        <v>2</v>
      </c>
      <c r="AM55">
        <v>2</v>
      </c>
      <c r="AO55">
        <v>3</v>
      </c>
      <c r="AQ55">
        <v>2</v>
      </c>
      <c r="AT55">
        <v>1</v>
      </c>
      <c r="AU55">
        <v>4</v>
      </c>
      <c r="AV55">
        <v>2</v>
      </c>
      <c r="AX55">
        <v>1</v>
      </c>
      <c r="AY55">
        <v>2</v>
      </c>
      <c r="AZ55">
        <v>1</v>
      </c>
      <c r="BA55">
        <v>4</v>
      </c>
      <c r="BB55">
        <v>2</v>
      </c>
    </row>
    <row r="56" spans="1:56" x14ac:dyDescent="0.35">
      <c r="A56" t="s">
        <v>21</v>
      </c>
    </row>
    <row r="57" spans="1:56" x14ac:dyDescent="0.35">
      <c r="A57" t="s">
        <v>81</v>
      </c>
      <c r="G57">
        <v>3</v>
      </c>
      <c r="K57">
        <v>1</v>
      </c>
    </row>
    <row r="58" spans="1:56" x14ac:dyDescent="0.35">
      <c r="A58" t="s">
        <v>63</v>
      </c>
      <c r="B58">
        <v>2</v>
      </c>
      <c r="D58">
        <v>1</v>
      </c>
      <c r="AF58">
        <v>2</v>
      </c>
      <c r="AQ58">
        <v>3</v>
      </c>
    </row>
    <row r="59" spans="1:56" hidden="1" x14ac:dyDescent="0.35">
      <c r="A59" t="s">
        <v>83</v>
      </c>
    </row>
    <row r="60" spans="1:56" x14ac:dyDescent="0.35">
      <c r="A60" t="s">
        <v>22</v>
      </c>
      <c r="Y60">
        <v>1</v>
      </c>
      <c r="AB60">
        <v>2</v>
      </c>
      <c r="AD60">
        <v>3</v>
      </c>
      <c r="AI60">
        <v>1</v>
      </c>
      <c r="AR60">
        <v>4</v>
      </c>
      <c r="AV60">
        <v>3</v>
      </c>
      <c r="BA60">
        <v>2</v>
      </c>
      <c r="BB60">
        <v>5</v>
      </c>
    </row>
    <row r="61" spans="1:56" x14ac:dyDescent="0.35">
      <c r="A61" t="s">
        <v>376</v>
      </c>
      <c r="AU61">
        <v>1</v>
      </c>
      <c r="AV61">
        <v>1</v>
      </c>
      <c r="AW61">
        <v>3</v>
      </c>
      <c r="AX61">
        <v>1</v>
      </c>
      <c r="AZ61">
        <v>1</v>
      </c>
      <c r="BC61">
        <v>2</v>
      </c>
    </row>
    <row r="62" spans="1:56" x14ac:dyDescent="0.35">
      <c r="A62" t="s">
        <v>44</v>
      </c>
      <c r="N62">
        <v>3</v>
      </c>
      <c r="S62">
        <v>2</v>
      </c>
      <c r="AG62">
        <v>2</v>
      </c>
      <c r="AI62">
        <v>1</v>
      </c>
      <c r="AP62">
        <v>2</v>
      </c>
      <c r="AQ62">
        <v>1</v>
      </c>
      <c r="AR62">
        <v>3</v>
      </c>
      <c r="AW62">
        <v>1</v>
      </c>
      <c r="BA62">
        <v>1</v>
      </c>
    </row>
    <row r="63" spans="1:56" x14ac:dyDescent="0.35">
      <c r="A63" t="s">
        <v>8</v>
      </c>
      <c r="B63">
        <v>1</v>
      </c>
      <c r="H63">
        <v>1</v>
      </c>
      <c r="J63">
        <v>2</v>
      </c>
      <c r="Q63">
        <v>2</v>
      </c>
    </row>
    <row r="64" spans="1:56" hidden="1" x14ac:dyDescent="0.35">
      <c r="A64" t="s">
        <v>354</v>
      </c>
    </row>
    <row r="65" spans="1:56" x14ac:dyDescent="0.35">
      <c r="A65" t="s">
        <v>82</v>
      </c>
      <c r="B65">
        <v>2</v>
      </c>
      <c r="C65">
        <v>2</v>
      </c>
      <c r="D65">
        <v>1</v>
      </c>
      <c r="E65">
        <v>2</v>
      </c>
      <c r="F65">
        <v>1</v>
      </c>
      <c r="G65">
        <v>2</v>
      </c>
      <c r="H65">
        <v>2</v>
      </c>
      <c r="I65">
        <v>3</v>
      </c>
      <c r="J65">
        <v>4</v>
      </c>
      <c r="L65">
        <v>4</v>
      </c>
      <c r="M65">
        <v>1</v>
      </c>
      <c r="N65">
        <v>2</v>
      </c>
      <c r="O65">
        <v>1</v>
      </c>
      <c r="P65">
        <v>1</v>
      </c>
      <c r="Q65">
        <v>1</v>
      </c>
      <c r="R65">
        <v>3</v>
      </c>
      <c r="S65">
        <v>3</v>
      </c>
      <c r="U65">
        <v>3</v>
      </c>
      <c r="V65">
        <v>1</v>
      </c>
      <c r="W65">
        <v>3</v>
      </c>
      <c r="AC65">
        <v>1</v>
      </c>
      <c r="AF65">
        <v>1</v>
      </c>
      <c r="AH65">
        <v>2</v>
      </c>
      <c r="AI65">
        <v>3</v>
      </c>
      <c r="AJ65">
        <v>1</v>
      </c>
      <c r="AK65">
        <v>4</v>
      </c>
      <c r="AL65">
        <v>3</v>
      </c>
      <c r="AN65">
        <v>1</v>
      </c>
      <c r="AP65">
        <v>2</v>
      </c>
      <c r="AT65">
        <v>2</v>
      </c>
      <c r="AU65">
        <v>3</v>
      </c>
      <c r="AV65">
        <v>1</v>
      </c>
      <c r="AW65">
        <v>1</v>
      </c>
      <c r="AX65">
        <v>1</v>
      </c>
      <c r="AY65">
        <v>1</v>
      </c>
      <c r="AZ65">
        <v>2</v>
      </c>
      <c r="BC65">
        <v>2</v>
      </c>
      <c r="BD65">
        <v>1</v>
      </c>
    </row>
    <row r="66" spans="1:56" x14ac:dyDescent="0.35">
      <c r="A66" t="s">
        <v>49</v>
      </c>
      <c r="G66">
        <v>2</v>
      </c>
    </row>
    <row r="67" spans="1:56" x14ac:dyDescent="0.35">
      <c r="A67" t="s">
        <v>85</v>
      </c>
      <c r="K67">
        <v>4</v>
      </c>
      <c r="L67">
        <v>2</v>
      </c>
      <c r="M67">
        <v>5</v>
      </c>
    </row>
    <row r="68" spans="1:56" x14ac:dyDescent="0.35">
      <c r="A68" t="s">
        <v>5</v>
      </c>
      <c r="B68">
        <v>1</v>
      </c>
      <c r="C68">
        <v>2</v>
      </c>
      <c r="D68">
        <v>2</v>
      </c>
      <c r="E68">
        <v>3</v>
      </c>
      <c r="F68">
        <v>2</v>
      </c>
      <c r="G68">
        <v>3</v>
      </c>
      <c r="H68">
        <v>1</v>
      </c>
      <c r="M68">
        <v>4</v>
      </c>
      <c r="N68">
        <v>6</v>
      </c>
      <c r="P68">
        <v>2</v>
      </c>
      <c r="Q68">
        <v>1</v>
      </c>
      <c r="R68">
        <v>2</v>
      </c>
      <c r="S68">
        <v>3</v>
      </c>
      <c r="V68">
        <v>2</v>
      </c>
      <c r="W68">
        <v>1</v>
      </c>
      <c r="X68">
        <v>1</v>
      </c>
      <c r="Y68">
        <v>4</v>
      </c>
      <c r="Z68">
        <v>5</v>
      </c>
      <c r="AA68">
        <v>1</v>
      </c>
      <c r="AB68">
        <v>3</v>
      </c>
      <c r="AC68">
        <v>4</v>
      </c>
      <c r="AD68">
        <v>3</v>
      </c>
      <c r="AE68">
        <v>3</v>
      </c>
      <c r="AF68">
        <v>2</v>
      </c>
      <c r="AG68">
        <v>5</v>
      </c>
      <c r="AH68">
        <v>7</v>
      </c>
      <c r="AI68">
        <v>3</v>
      </c>
      <c r="AJ68">
        <v>1</v>
      </c>
      <c r="AK68">
        <v>1</v>
      </c>
      <c r="AL68">
        <v>6</v>
      </c>
      <c r="AR68">
        <v>3</v>
      </c>
      <c r="AS68">
        <v>2</v>
      </c>
      <c r="AV68">
        <v>2</v>
      </c>
      <c r="AW68">
        <v>1</v>
      </c>
      <c r="AX68">
        <v>4</v>
      </c>
      <c r="AY68">
        <v>3</v>
      </c>
      <c r="AZ68">
        <v>4</v>
      </c>
      <c r="BA68">
        <v>5</v>
      </c>
      <c r="BB68">
        <v>6</v>
      </c>
      <c r="BC68">
        <v>2</v>
      </c>
      <c r="BD68">
        <v>2</v>
      </c>
    </row>
    <row r="69" spans="1:56" x14ac:dyDescent="0.35">
      <c r="A69" t="s">
        <v>45</v>
      </c>
      <c r="K69">
        <v>1</v>
      </c>
    </row>
    <row r="70" spans="1:56" x14ac:dyDescent="0.35">
      <c r="A70" t="s">
        <v>367</v>
      </c>
      <c r="B70">
        <v>1</v>
      </c>
      <c r="D70">
        <v>1</v>
      </c>
      <c r="E70">
        <v>3</v>
      </c>
      <c r="O70">
        <v>2</v>
      </c>
      <c r="P70">
        <v>2</v>
      </c>
      <c r="Q70">
        <v>1</v>
      </c>
      <c r="R70">
        <v>1</v>
      </c>
      <c r="AD70">
        <v>1</v>
      </c>
      <c r="AE70">
        <v>1</v>
      </c>
      <c r="AG70">
        <v>1</v>
      </c>
      <c r="AH70">
        <v>2</v>
      </c>
      <c r="AL70">
        <v>3</v>
      </c>
      <c r="AM70">
        <v>2</v>
      </c>
      <c r="AN70">
        <v>1</v>
      </c>
      <c r="AO70">
        <v>1</v>
      </c>
      <c r="AR70">
        <v>1</v>
      </c>
      <c r="AS70">
        <v>1</v>
      </c>
      <c r="AT70">
        <v>1</v>
      </c>
      <c r="AV70">
        <v>1</v>
      </c>
      <c r="AW70">
        <v>2</v>
      </c>
      <c r="BD70">
        <v>1</v>
      </c>
    </row>
    <row r="71" spans="1:56" hidden="1" x14ac:dyDescent="0.35">
      <c r="A71" t="s">
        <v>352</v>
      </c>
      <c r="Z71">
        <v>1</v>
      </c>
    </row>
    <row r="72" spans="1:56" hidden="1" x14ac:dyDescent="0.35">
      <c r="A72" t="s">
        <v>366</v>
      </c>
    </row>
    <row r="73" spans="1:56" x14ac:dyDescent="0.35">
      <c r="A73" t="s">
        <v>17</v>
      </c>
      <c r="F73">
        <v>2</v>
      </c>
      <c r="J73">
        <v>1</v>
      </c>
      <c r="K73">
        <v>1</v>
      </c>
    </row>
    <row r="74" spans="1:56" hidden="1" x14ac:dyDescent="0.35">
      <c r="A74" t="s">
        <v>86</v>
      </c>
      <c r="K74">
        <v>5</v>
      </c>
    </row>
    <row r="75" spans="1:56" x14ac:dyDescent="0.35">
      <c r="A75" t="s">
        <v>16</v>
      </c>
      <c r="C75">
        <v>4</v>
      </c>
      <c r="D75">
        <v>3</v>
      </c>
      <c r="F75">
        <v>2</v>
      </c>
      <c r="G75">
        <v>5</v>
      </c>
      <c r="H75">
        <v>3</v>
      </c>
      <c r="I75">
        <v>2</v>
      </c>
      <c r="J75">
        <v>5</v>
      </c>
      <c r="K75">
        <v>3</v>
      </c>
      <c r="L75">
        <v>2</v>
      </c>
      <c r="M75">
        <v>3</v>
      </c>
      <c r="O75">
        <v>5</v>
      </c>
      <c r="P75">
        <v>5</v>
      </c>
      <c r="Q75">
        <v>3</v>
      </c>
      <c r="R75">
        <v>2</v>
      </c>
      <c r="S75">
        <v>3</v>
      </c>
      <c r="T75">
        <v>1</v>
      </c>
      <c r="U75">
        <v>1</v>
      </c>
      <c r="V75">
        <v>3</v>
      </c>
      <c r="W75">
        <v>3</v>
      </c>
      <c r="X75">
        <v>5</v>
      </c>
      <c r="Y75">
        <v>4</v>
      </c>
      <c r="Z75">
        <v>1</v>
      </c>
      <c r="AA75">
        <v>3</v>
      </c>
      <c r="AC75">
        <v>1</v>
      </c>
      <c r="AE75">
        <v>4</v>
      </c>
      <c r="AF75">
        <v>2</v>
      </c>
      <c r="AG75">
        <v>3</v>
      </c>
      <c r="AH75">
        <v>2</v>
      </c>
      <c r="AI75">
        <v>2</v>
      </c>
      <c r="AJ75">
        <v>7</v>
      </c>
      <c r="AK75">
        <v>3</v>
      </c>
      <c r="AL75">
        <v>5</v>
      </c>
      <c r="AM75">
        <v>1</v>
      </c>
      <c r="AN75">
        <v>4</v>
      </c>
      <c r="AO75">
        <v>3</v>
      </c>
      <c r="AP75">
        <v>6</v>
      </c>
      <c r="AQ75">
        <v>4</v>
      </c>
      <c r="AR75">
        <v>5</v>
      </c>
      <c r="AS75">
        <v>3</v>
      </c>
      <c r="AT75">
        <v>2</v>
      </c>
      <c r="AU75">
        <v>2</v>
      </c>
      <c r="AW75">
        <v>3</v>
      </c>
      <c r="AY75">
        <v>1</v>
      </c>
      <c r="AZ75">
        <v>3</v>
      </c>
      <c r="BB75">
        <v>4</v>
      </c>
      <c r="BC75">
        <v>4</v>
      </c>
      <c r="BD75">
        <v>3</v>
      </c>
    </row>
    <row r="76" spans="1:56" hidden="1" x14ac:dyDescent="0.35">
      <c r="A76" t="s">
        <v>47</v>
      </c>
    </row>
  </sheetData>
  <autoFilter ref="A1:AB76" xr:uid="{130C2564-D265-4C41-A3E0-02A62EDAC91D}">
    <sortState ref="A2:AB76">
      <sortCondition ref="A1:A7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2025-11-13T13:37:36Z</dcterms:modified>
</cp:coreProperties>
</file>