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25" documentId="14_{A1B3B906-E661-414D-BCC5-34D6B6413D4C}" xr6:coauthVersionLast="36" xr6:coauthVersionMax="36" xr10:uidLastSave="{9E077DE4-6DF7-41DE-84B8-4AC9CFC503E2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artilharia!$A$1:$AB$80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notas!$CH$1:$CL$79</definedName>
  </definedNames>
  <calcPr calcId="191029"/>
</workbook>
</file>

<file path=xl/calcChain.xml><?xml version="1.0" encoding="utf-8"?>
<calcChain xmlns="http://schemas.openxmlformats.org/spreadsheetml/2006/main">
  <c r="CH80" i="1" l="1"/>
  <c r="CI80" i="1"/>
  <c r="CJ80" i="1"/>
  <c r="CL80" i="1"/>
  <c r="CM80" i="1"/>
  <c r="T82" i="4" l="1"/>
  <c r="T81" i="4" l="1"/>
  <c r="CL3" i="1"/>
  <c r="CM3" i="1" s="1"/>
  <c r="CL4" i="1"/>
  <c r="CM4" i="1" s="1"/>
  <c r="CL5" i="1"/>
  <c r="CM5" i="1" s="1"/>
  <c r="CL6" i="1"/>
  <c r="CM6" i="1" s="1"/>
  <c r="CL7" i="1"/>
  <c r="CM7" i="1" s="1"/>
  <c r="CL8" i="1"/>
  <c r="CM8" i="1" s="1"/>
  <c r="CL9" i="1"/>
  <c r="CM9" i="1" s="1"/>
  <c r="CL10" i="1"/>
  <c r="CM10" i="1" s="1"/>
  <c r="CL11" i="1"/>
  <c r="CM11" i="1" s="1"/>
  <c r="CL12" i="1"/>
  <c r="CM12" i="1" s="1"/>
  <c r="CL13" i="1"/>
  <c r="CM13" i="1" s="1"/>
  <c r="CL14" i="1"/>
  <c r="CM14" i="1" s="1"/>
  <c r="CL15" i="1"/>
  <c r="CM15" i="1" s="1"/>
  <c r="CL16" i="1"/>
  <c r="CM16" i="1" s="1"/>
  <c r="CL17" i="1"/>
  <c r="CM17" i="1" s="1"/>
  <c r="CL18" i="1"/>
  <c r="CM18" i="1" s="1"/>
  <c r="CL19" i="1"/>
  <c r="CM19" i="1" s="1"/>
  <c r="CL20" i="1"/>
  <c r="CM20" i="1" s="1"/>
  <c r="CL21" i="1"/>
  <c r="CM21" i="1" s="1"/>
  <c r="CL22" i="1"/>
  <c r="CM22" i="1" s="1"/>
  <c r="CL23" i="1"/>
  <c r="CM23" i="1" s="1"/>
  <c r="CL24" i="1"/>
  <c r="CM24" i="1" s="1"/>
  <c r="CL25" i="1"/>
  <c r="CM25" i="1" s="1"/>
  <c r="CL26" i="1"/>
  <c r="CM26" i="1" s="1"/>
  <c r="CL27" i="1"/>
  <c r="CM27" i="1" s="1"/>
  <c r="CL28" i="1"/>
  <c r="CM28" i="1" s="1"/>
  <c r="CL29" i="1"/>
  <c r="CM29" i="1" s="1"/>
  <c r="CL30" i="1"/>
  <c r="CM30" i="1" s="1"/>
  <c r="CL31" i="1"/>
  <c r="CM31" i="1" s="1"/>
  <c r="CL32" i="1"/>
  <c r="CM32" i="1" s="1"/>
  <c r="CL33" i="1"/>
  <c r="CM33" i="1" s="1"/>
  <c r="CL34" i="1"/>
  <c r="CM34" i="1" s="1"/>
  <c r="CL35" i="1"/>
  <c r="CM35" i="1" s="1"/>
  <c r="CL36" i="1"/>
  <c r="CM36" i="1" s="1"/>
  <c r="CL37" i="1"/>
  <c r="CM37" i="1" s="1"/>
  <c r="CL38" i="1"/>
  <c r="CM38" i="1" s="1"/>
  <c r="CL39" i="1"/>
  <c r="CM39" i="1" s="1"/>
  <c r="CL40" i="1"/>
  <c r="CM40" i="1" s="1"/>
  <c r="CL41" i="1"/>
  <c r="CM41" i="1" s="1"/>
  <c r="CL42" i="1"/>
  <c r="CM42" i="1" s="1"/>
  <c r="CL43" i="1"/>
  <c r="CM43" i="1" s="1"/>
  <c r="CL44" i="1"/>
  <c r="CM44" i="1" s="1"/>
  <c r="CL45" i="1"/>
  <c r="CM45" i="1" s="1"/>
  <c r="CL46" i="1"/>
  <c r="CM46" i="1" s="1"/>
  <c r="CL47" i="1"/>
  <c r="CM47" i="1" s="1"/>
  <c r="CL48" i="1"/>
  <c r="CM48" i="1" s="1"/>
  <c r="CL49" i="1"/>
  <c r="CM49" i="1" s="1"/>
  <c r="CL50" i="1"/>
  <c r="CM50" i="1" s="1"/>
  <c r="CL51" i="1"/>
  <c r="CM51" i="1" s="1"/>
  <c r="CL52" i="1"/>
  <c r="CM52" i="1" s="1"/>
  <c r="CL53" i="1"/>
  <c r="CM53" i="1" s="1"/>
  <c r="CL54" i="1"/>
  <c r="CM54" i="1" s="1"/>
  <c r="CL55" i="1"/>
  <c r="CM55" i="1" s="1"/>
  <c r="CL56" i="1"/>
  <c r="CM56" i="1" s="1"/>
  <c r="CL57" i="1"/>
  <c r="CM57" i="1" s="1"/>
  <c r="CL58" i="1"/>
  <c r="CM58" i="1" s="1"/>
  <c r="CL59" i="1"/>
  <c r="CM59" i="1" s="1"/>
  <c r="CL60" i="1"/>
  <c r="CM60" i="1" s="1"/>
  <c r="CL61" i="1"/>
  <c r="CM61" i="1" s="1"/>
  <c r="CL62" i="1"/>
  <c r="CM62" i="1" s="1"/>
  <c r="CL63" i="1"/>
  <c r="CM63" i="1" s="1"/>
  <c r="CL64" i="1"/>
  <c r="CM64" i="1" s="1"/>
  <c r="CL65" i="1"/>
  <c r="CM65" i="1" s="1"/>
  <c r="CL66" i="1"/>
  <c r="CM66" i="1" s="1"/>
  <c r="CL67" i="1"/>
  <c r="CM67" i="1" s="1"/>
  <c r="CL68" i="1"/>
  <c r="CM68" i="1" s="1"/>
  <c r="CL69" i="1"/>
  <c r="CM69" i="1" s="1"/>
  <c r="CL70" i="1"/>
  <c r="CM70" i="1" s="1"/>
  <c r="CL71" i="1"/>
  <c r="CM71" i="1" s="1"/>
  <c r="CL72" i="1"/>
  <c r="CM72" i="1" s="1"/>
  <c r="CL73" i="1"/>
  <c r="CM73" i="1" s="1"/>
  <c r="CL74" i="1"/>
  <c r="CM74" i="1" s="1"/>
  <c r="CL75" i="1"/>
  <c r="CM75" i="1" s="1"/>
  <c r="CL76" i="1"/>
  <c r="CM76" i="1" s="1"/>
  <c r="CL77" i="1"/>
  <c r="CM77" i="1" s="1"/>
  <c r="CL78" i="1"/>
  <c r="CM78" i="1" s="1"/>
  <c r="CL79" i="1"/>
  <c r="CM79" i="1" s="1"/>
  <c r="CL2" i="1"/>
  <c r="CM2" i="1" s="1"/>
  <c r="S82" i="4"/>
  <c r="R82" i="4"/>
  <c r="N82" i="4"/>
  <c r="K82" i="4"/>
  <c r="T83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CH78" i="1"/>
  <c r="CI78" i="1"/>
  <c r="CJ78" i="1"/>
  <c r="CH79" i="1"/>
  <c r="CJ79" i="1" s="1"/>
  <c r="CI79" i="1"/>
  <c r="U5" i="6" l="1"/>
  <c r="W4" i="6"/>
  <c r="S5" i="6"/>
  <c r="Q6" i="6"/>
  <c r="Q82" i="4"/>
  <c r="U6" i="6" l="1"/>
  <c r="W5" i="6"/>
  <c r="Q7" i="6"/>
  <c r="S6" i="6"/>
  <c r="S81" i="4"/>
  <c r="S83" i="4" s="1"/>
  <c r="CH76" i="1"/>
  <c r="CJ76" i="1" s="1"/>
  <c r="CI76" i="1"/>
  <c r="CH77" i="1"/>
  <c r="CJ77" i="1" s="1"/>
  <c r="CI77" i="1"/>
  <c r="W6" i="6" l="1"/>
  <c r="U7" i="6"/>
  <c r="S7" i="6"/>
  <c r="Q8" i="6"/>
  <c r="P82" i="4"/>
  <c r="W7" i="6" l="1"/>
  <c r="U8" i="6"/>
  <c r="S8" i="6"/>
  <c r="Q9" i="6"/>
  <c r="R32" i="4"/>
  <c r="R72" i="4"/>
  <c r="R26" i="4"/>
  <c r="R53" i="4"/>
  <c r="R17" i="4"/>
  <c r="R81" i="4" s="1"/>
  <c r="U9" i="6" l="1"/>
  <c r="W8" i="6"/>
  <c r="Q10" i="6"/>
  <c r="S9" i="6"/>
  <c r="R83" i="4"/>
  <c r="U10" i="6" l="1"/>
  <c r="W9" i="6"/>
  <c r="Q11" i="6"/>
  <c r="S10" i="6"/>
  <c r="CI3" i="1"/>
  <c r="CI20" i="1"/>
  <c r="CI4" i="1"/>
  <c r="CI5" i="1"/>
  <c r="CI6" i="1"/>
  <c r="CI7" i="1"/>
  <c r="CI8" i="1"/>
  <c r="CI22" i="1"/>
  <c r="CI9" i="1"/>
  <c r="CI10" i="1"/>
  <c r="CI11" i="1"/>
  <c r="CI18" i="1"/>
  <c r="CI12" i="1"/>
  <c r="CI13" i="1"/>
  <c r="CI21" i="1"/>
  <c r="CI19" i="1"/>
  <c r="CI14" i="1"/>
  <c r="CI15" i="1"/>
  <c r="CI16" i="1"/>
  <c r="CI17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2" i="1"/>
  <c r="CH3" i="1"/>
  <c r="CJ3" i="1" s="1"/>
  <c r="CH20" i="1"/>
  <c r="CJ20" i="1" s="1"/>
  <c r="CH4" i="1"/>
  <c r="CJ4" i="1" s="1"/>
  <c r="CH5" i="1"/>
  <c r="CJ5" i="1" s="1"/>
  <c r="CH6" i="1"/>
  <c r="CJ6" i="1" s="1"/>
  <c r="CH7" i="1"/>
  <c r="CJ7" i="1" s="1"/>
  <c r="CH8" i="1"/>
  <c r="CJ8" i="1" s="1"/>
  <c r="CH22" i="1"/>
  <c r="CJ22" i="1" s="1"/>
  <c r="CH9" i="1"/>
  <c r="CJ9" i="1" s="1"/>
  <c r="CH10" i="1"/>
  <c r="CJ10" i="1" s="1"/>
  <c r="CH11" i="1"/>
  <c r="CJ11" i="1" s="1"/>
  <c r="CH18" i="1"/>
  <c r="CJ18" i="1" s="1"/>
  <c r="CH12" i="1"/>
  <c r="CJ12" i="1" s="1"/>
  <c r="CH13" i="1"/>
  <c r="CJ13" i="1" s="1"/>
  <c r="CH21" i="1"/>
  <c r="CJ21" i="1" s="1"/>
  <c r="CH19" i="1"/>
  <c r="CJ19" i="1" s="1"/>
  <c r="CH14" i="1"/>
  <c r="CJ14" i="1" s="1"/>
  <c r="CH15" i="1"/>
  <c r="CJ15" i="1" s="1"/>
  <c r="CH16" i="1"/>
  <c r="CJ16" i="1" s="1"/>
  <c r="CH17" i="1"/>
  <c r="CJ17" i="1" s="1"/>
  <c r="CH23" i="1"/>
  <c r="CJ23" i="1" s="1"/>
  <c r="CH24" i="1"/>
  <c r="CJ24" i="1" s="1"/>
  <c r="CH25" i="1"/>
  <c r="CJ25" i="1" s="1"/>
  <c r="CH26" i="1"/>
  <c r="CJ26" i="1" s="1"/>
  <c r="CH27" i="1"/>
  <c r="CJ27" i="1" s="1"/>
  <c r="CH28" i="1"/>
  <c r="CJ28" i="1" s="1"/>
  <c r="CH29" i="1"/>
  <c r="CJ29" i="1" s="1"/>
  <c r="CH30" i="1"/>
  <c r="CJ30" i="1" s="1"/>
  <c r="CH31" i="1"/>
  <c r="CJ31" i="1" s="1"/>
  <c r="CH32" i="1"/>
  <c r="CJ32" i="1" s="1"/>
  <c r="CH33" i="1"/>
  <c r="CJ33" i="1" s="1"/>
  <c r="CH34" i="1"/>
  <c r="CJ34" i="1" s="1"/>
  <c r="CH35" i="1"/>
  <c r="CJ35" i="1" s="1"/>
  <c r="CH36" i="1"/>
  <c r="CJ36" i="1" s="1"/>
  <c r="CH37" i="1"/>
  <c r="CJ37" i="1" s="1"/>
  <c r="CH38" i="1"/>
  <c r="CJ38" i="1" s="1"/>
  <c r="CH39" i="1"/>
  <c r="CJ39" i="1" s="1"/>
  <c r="CH40" i="1"/>
  <c r="CJ40" i="1" s="1"/>
  <c r="CH41" i="1"/>
  <c r="CJ41" i="1" s="1"/>
  <c r="CH42" i="1"/>
  <c r="CJ42" i="1" s="1"/>
  <c r="CH43" i="1"/>
  <c r="CJ43" i="1" s="1"/>
  <c r="CH44" i="1"/>
  <c r="CJ44" i="1" s="1"/>
  <c r="CH45" i="1"/>
  <c r="CJ45" i="1" s="1"/>
  <c r="CH46" i="1"/>
  <c r="CJ46" i="1" s="1"/>
  <c r="CH47" i="1"/>
  <c r="CJ47" i="1" s="1"/>
  <c r="CH48" i="1"/>
  <c r="CJ48" i="1" s="1"/>
  <c r="CH49" i="1"/>
  <c r="CJ49" i="1" s="1"/>
  <c r="CH50" i="1"/>
  <c r="CJ50" i="1" s="1"/>
  <c r="CH51" i="1"/>
  <c r="CJ51" i="1" s="1"/>
  <c r="CH52" i="1"/>
  <c r="CJ52" i="1" s="1"/>
  <c r="CH53" i="1"/>
  <c r="CJ53" i="1" s="1"/>
  <c r="CH54" i="1"/>
  <c r="CJ54" i="1" s="1"/>
  <c r="CH55" i="1"/>
  <c r="CJ55" i="1" s="1"/>
  <c r="CH56" i="1"/>
  <c r="CJ56" i="1" s="1"/>
  <c r="CH57" i="1"/>
  <c r="CJ57" i="1" s="1"/>
  <c r="CH58" i="1"/>
  <c r="CJ58" i="1" s="1"/>
  <c r="CH59" i="1"/>
  <c r="CJ59" i="1" s="1"/>
  <c r="CH60" i="1"/>
  <c r="CJ60" i="1" s="1"/>
  <c r="CH61" i="1"/>
  <c r="CJ61" i="1" s="1"/>
  <c r="CH62" i="1"/>
  <c r="CJ62" i="1" s="1"/>
  <c r="CH63" i="1"/>
  <c r="CJ63" i="1" s="1"/>
  <c r="CH64" i="1"/>
  <c r="CJ64" i="1" s="1"/>
  <c r="CH65" i="1"/>
  <c r="CJ65" i="1" s="1"/>
  <c r="CH66" i="1"/>
  <c r="CJ66" i="1" s="1"/>
  <c r="CH67" i="1"/>
  <c r="CJ67" i="1" s="1"/>
  <c r="CH68" i="1"/>
  <c r="CJ68" i="1" s="1"/>
  <c r="CH69" i="1"/>
  <c r="CJ69" i="1" s="1"/>
  <c r="CH70" i="1"/>
  <c r="CJ70" i="1" s="1"/>
  <c r="CH71" i="1"/>
  <c r="CJ71" i="1" s="1"/>
  <c r="CH72" i="1"/>
  <c r="CJ72" i="1" s="1"/>
  <c r="CH73" i="1"/>
  <c r="CJ73" i="1" s="1"/>
  <c r="CH74" i="1"/>
  <c r="CJ74" i="1" s="1"/>
  <c r="CH75" i="1"/>
  <c r="CJ75" i="1" s="1"/>
  <c r="CH2" i="1"/>
  <c r="U11" i="6" l="1"/>
  <c r="W10" i="6"/>
  <c r="Q12" i="6"/>
  <c r="S11" i="6"/>
  <c r="CJ2" i="1"/>
  <c r="W11" i="6" l="1"/>
  <c r="U12" i="6"/>
  <c r="Q13" i="6"/>
  <c r="S12" i="6"/>
  <c r="U13" i="6" l="1"/>
  <c r="W12" i="6"/>
  <c r="S13" i="6"/>
  <c r="Q14" i="6"/>
  <c r="Q81" i="4"/>
  <c r="Q83" i="4" s="1"/>
  <c r="W13" i="6" l="1"/>
  <c r="U14" i="6"/>
  <c r="Q15" i="6"/>
  <c r="S14" i="6"/>
  <c r="O82" i="4"/>
  <c r="W14" i="6" l="1"/>
  <c r="U15" i="6"/>
  <c r="S15" i="6"/>
  <c r="Q16" i="6"/>
  <c r="P43" i="4"/>
  <c r="P81" i="4" s="1"/>
  <c r="P83" i="4" s="1"/>
  <c r="W15" i="6" l="1"/>
  <c r="U16" i="6"/>
  <c r="Q17" i="6"/>
  <c r="S16" i="6"/>
  <c r="W16" i="6" l="1"/>
  <c r="U17" i="6"/>
  <c r="Q18" i="6"/>
  <c r="S17" i="6"/>
  <c r="O30" i="4"/>
  <c r="O59" i="4"/>
  <c r="O81" i="4"/>
  <c r="X6" i="4"/>
  <c r="U18" i="6" l="1"/>
  <c r="W17" i="6"/>
  <c r="Q19" i="6"/>
  <c r="S18" i="6"/>
  <c r="O83" i="4"/>
  <c r="U19" i="6" l="1"/>
  <c r="W18" i="6"/>
  <c r="Q20" i="6"/>
  <c r="S19" i="6"/>
  <c r="M82" i="4"/>
  <c r="U20" i="6" l="1"/>
  <c r="W19" i="6"/>
  <c r="Q21" i="6"/>
  <c r="S20" i="6"/>
  <c r="L82" i="4"/>
  <c r="X7" i="4"/>
  <c r="X8" i="4" s="1"/>
  <c r="M81" i="4"/>
  <c r="N81" i="4"/>
  <c r="U21" i="6" l="1"/>
  <c r="W20" i="6"/>
  <c r="S21" i="6"/>
  <c r="Q22" i="6"/>
  <c r="N83" i="4"/>
  <c r="U22" i="6" l="1"/>
  <c r="W21" i="6"/>
  <c r="Q23" i="6"/>
  <c r="S22" i="6"/>
  <c r="M83" i="4"/>
  <c r="W22" i="6" l="1"/>
  <c r="U23" i="6"/>
  <c r="S23" i="6"/>
  <c r="Q24" i="6"/>
  <c r="L81" i="4"/>
  <c r="W23" i="6" l="1"/>
  <c r="U24" i="6"/>
  <c r="Q25" i="6"/>
  <c r="S24" i="6"/>
  <c r="L83" i="4"/>
  <c r="W24" i="6" l="1"/>
  <c r="U25" i="6"/>
  <c r="S25" i="6"/>
  <c r="Q26" i="6"/>
  <c r="J82" i="4"/>
  <c r="I82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1" i="4" s="1"/>
  <c r="K2" i="4"/>
  <c r="U27" i="6" l="1"/>
  <c r="W26" i="6"/>
  <c r="Q28" i="6"/>
  <c r="S27" i="6"/>
  <c r="K83" i="4"/>
  <c r="U28" i="6" l="1"/>
  <c r="W27" i="6"/>
  <c r="Q29" i="6"/>
  <c r="S28" i="6"/>
  <c r="J81" i="4"/>
  <c r="U29" i="6" l="1"/>
  <c r="W28" i="6"/>
  <c r="S29" i="6"/>
  <c r="Q30" i="6"/>
  <c r="J83" i="4"/>
  <c r="U30" i="6" l="1"/>
  <c r="W29" i="6"/>
  <c r="Q31" i="6"/>
  <c r="S30" i="6"/>
  <c r="E82" i="4"/>
  <c r="U31" i="6" l="1"/>
  <c r="W30" i="6"/>
  <c r="S31" i="6"/>
  <c r="Q32" i="6"/>
  <c r="G82" i="4"/>
  <c r="H82" i="4"/>
  <c r="W31" i="6" l="1"/>
  <c r="U32" i="6"/>
  <c r="S32" i="6"/>
  <c r="Q33" i="6"/>
  <c r="I81" i="4"/>
  <c r="I83" i="4" s="1"/>
  <c r="U33" i="6" l="1"/>
  <c r="W32" i="6"/>
  <c r="Q34" i="6"/>
  <c r="S33" i="6"/>
  <c r="D82" i="4"/>
  <c r="C82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2" i="4"/>
  <c r="H81" i="4"/>
  <c r="U37" i="6" l="1"/>
  <c r="W36" i="6"/>
  <c r="S37" i="6"/>
  <c r="Q38" i="6"/>
  <c r="H7" i="6"/>
  <c r="I6" i="6"/>
  <c r="J6" i="6" s="1"/>
  <c r="H83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1" i="4"/>
  <c r="I10" i="6" l="1"/>
  <c r="J10" i="6" s="1"/>
  <c r="H11" i="6"/>
  <c r="G83" i="4"/>
  <c r="B82" i="4"/>
  <c r="E81" i="4"/>
  <c r="D81" i="4"/>
  <c r="C81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3" i="4" l="1"/>
  <c r="F81" i="4"/>
  <c r="F83" i="4" s="1"/>
  <c r="H12" i="6"/>
  <c r="I11" i="6"/>
  <c r="J11" i="6" s="1"/>
  <c r="C83" i="4"/>
  <c r="D83" i="4"/>
  <c r="B81" i="4"/>
  <c r="B83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<sst xmlns="http://schemas.openxmlformats.org/spreadsheetml/2006/main" count="4822" uniqueCount="387">
  <si>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</si>
  <si>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</si>
  <si>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</si>
  <si>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</si>
  <si>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</si>
  <si>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</si>
  <si>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</si>
  <si>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</si>
  <si>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</si>
  <si>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</si>
  <si>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</si>
  <si>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</si>
  <si>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</si>
  <si>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</si>
  <si>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</si>
  <si>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</si>
  <si>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</si>
  <si>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</si>
  <si>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</si>
  <si>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</si>
  <si>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</si>
  <si>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</si>
  <si>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</si>
  <si>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</si>
  <si>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</si>
  <si>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</si>
  <si>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</si>
  <si>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</si>
  <si>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</si>
  <si>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</si>
  <si>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</si>
  <si>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</si>
  <si>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</si>
  <si>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</si>
  <si>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</si>
  <si>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</si>
  <si>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</si>
  <si>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</si>
  <si>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</si>
  <si>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</si>
  <si>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</si>
  <si>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</si>
  <si>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</si>
  <si>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</si>
  <si>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</si>
  <si>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</si>
  <si>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</si>
  <si>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</si>
  <si>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</si>
  <si>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</si>
  <si>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</si>
  <si>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</si>
  <si>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</si>
  <si>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</si>
  <si>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</si>
  <si>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</si>
  <si>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</si>
  <si>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</si>
  <si>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</si>
  <si>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</si>
  <si>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</si>
  <si>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</si>
  <si>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</si>
  <si>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</si>
  <si>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</si>
  <si>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</si>
  <si>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</si>
  <si>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</si>
  <si>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</si>
  <si>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</si>
  <si>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</si>
  <si>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</si>
  <si>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</si>
  <si>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</si>
  <si>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</si>
  <si>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</si>
  <si>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</si>
  <si>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</si>
  <si>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</si>
  <si>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</si>
  <si>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</si>
  <si>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</si>
  <si>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</si>
  <si>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</si>
  <si>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</si>
  <si>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</si>
  <si>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</si>
  <si>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</si>
  <si>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</si>
  <si>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</si>
  <si>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</si>
  <si>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</si>
  <si>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</si>
  <si>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</si>
  <si>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</si>
  <si>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</si>
  <si>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</si>
  <si>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</si>
  <si>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</si>
  <si>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</si>
  <si>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</si>
  <si>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</si>
  <si>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</si>
  <si>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</si>
  <si>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</si>
  <si>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</si>
  <si>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</si>
  <si>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</si>
  <si>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</si>
  <si>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</si>
  <si>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</si>
  <si>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</si>
  <si>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</si>
  <si>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</si>
  <si>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</si>
  <si>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</si>
  <si>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</si>
  <si>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</si>
  <si>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</si>
  <si>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</si>
  <si>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</si>
  <si>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</si>
  <si>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</si>
  <si>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</si>
  <si>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</si>
  <si>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</si>
  <si>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</si>
  <si>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</si>
  <si>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</si>
  <si>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</si>
  <si>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</si>
  <si>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</si>
  <si>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</si>
  <si>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</si>
  <si>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</si>
  <si>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</si>
  <si>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</si>
  <si>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</si>
  <si>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</si>
  <si>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</si>
  <si>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</si>
  <si>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</si>
  <si>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</si>
  <si>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</si>
  <si>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</si>
  <si>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</si>
  <si>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</si>
  <si>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</si>
  <si>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</si>
  <si>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</si>
  <si>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</si>
  <si>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</si>
  <si>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</si>
  <si>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</si>
  <si>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</si>
  <si>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</si>
  <si>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</si>
  <si>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</si>
  <si>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</si>
  <si>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</si>
  <si>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</si>
  <si>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</si>
  <si>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</si>
  <si>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</si>
  <si>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</si>
  <si>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</si>
  <si>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</si>
  <si>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</si>
  <si>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</si>
  <si>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</si>
  <si>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</si>
  <si>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</si>
  <si>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</si>
  <si>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</si>
  <si>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</si>
  <si>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</si>
  <si>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</si>
  <si>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</si>
  <si>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</si>
  <si>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</si>
  <si>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</si>
  <si>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</si>
  <si>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</si>
  <si>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</si>
  <si>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</si>
  <si>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</si>
  <si>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</si>
  <si>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</si>
  <si>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</si>
  <si>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</si>
  <si>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</si>
  <si>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</si>
  <si>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</si>
  <si>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</si>
  <si>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</si>
  <si>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</si>
  <si>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</si>
  <si>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</si>
  <si>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</si>
  <si>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</si>
  <si>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</si>
  <si>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</si>
  <si>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</si>
  <si>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</si>
  <si>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</si>
  <si>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</si>
  <si>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</si>
  <si>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</si>
  <si>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</si>
  <si>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</si>
  <si>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</si>
  <si>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</si>
  <si>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</si>
  <si>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</si>
  <si>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</si>
  <si>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</si>
  <si>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</si>
  <si>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</si>
  <si>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</si>
  <si>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</si>
  <si>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</si>
  <si>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</si>
  <si>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</si>
  <si>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</si>
  <si>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</si>
  <si>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</si>
  <si>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</si>
  <si>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</si>
  <si>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</si>
  <si>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</si>
  <si>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</si>
  <si>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</si>
  <si>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</si>
  <si>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</si>
  <si>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</si>
  <si>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</si>
  <si>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</si>
  <si>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</si>
  <si>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</si>
  <si>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</si>
  <si>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</si>
  <si>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</si>
  <si>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</si>
  <si>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</si>
  <si>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</si>
  <si>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</si>
  <si>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</si>
  <si>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</si>
  <si>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</si>
  <si>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</si>
  <si>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</si>
  <si>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</si>
  <si>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</si>
  <si>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</si>
  <si>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</si>
  <si>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</si>
  <si>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</si>
  <si>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</si>
  <si>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</si>
  <si>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</si>
  <si>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</si>
  <si>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</si>
  <si>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</si>
  <si>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</si>
  <si>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</si>
  <si>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</si>
  <si>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</si>
  <si>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</si>
  <si>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</si>
  <si>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</si>
  <si>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</si>
  <si>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</si>
  <si>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</si>
  <si>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</si>
  <si>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</si>
  <si>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</si>
  <si>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</si>
  <si>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</si>
  <si>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</si>
  <si>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</si>
  <si>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</si>
  <si>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</si>
  <si>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</si>
  <si>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</si>
  <si>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</si>
  <si>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</si>
  <si>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</si>
  <si>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</si>
  <si>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</si>
  <si>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</si>
  <si>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</si>
  <si>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</si>
  <si>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</si>
  <si>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</si>
  <si>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</si>
  <si>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</si>
  <si>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</si>
  <si>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</si>
  <si>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</si>
  <si>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</si>
  <si>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</si>
  <si>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</si>
  <si>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</si>
  <si>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</si>
  <si>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</si>
  <si>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</si>
  <si>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</si>
  <si>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</si>
  <si>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</si>
  <si>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</si>
  <si>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</si>
  <si>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</si>
  <si>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</si>
  <si>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</si>
  <si>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</si>
  <si>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</si>
  <si>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</si>
  <si>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</si>
  <si>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</si>
  <si>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</si>
  <si>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</si>
  <si>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</si>
  <si>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</si>
  <si>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</si>
  <si>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</si>
  <si>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</si>
  <si>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</si>
  <si>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</si>
  <si>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</si>
  <si>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</si>
  <si>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</si>
  <si>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</si>
  <si>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</si>
  <si>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</si>
  <si>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</si>
  <si>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</si>
  <si>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</si>
  <si>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</si>
  <si>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</si>
  <si>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</si>
  <si>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</si>
  <si>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</si>
  <si>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</si>
  <si>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</si>
  <si>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</si>
  <si>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</si>
  <si>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</si>
  <si>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</si>
  <si>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</si>
  <si>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</si>
  <si>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</si>
  <si>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</si>
  <si>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</si>
  <si>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</si>
  <si>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</si>
  <si>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</si>
  <si>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</si>
  <si>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</si>
  <si>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</si>
  <si>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</si>
  <si>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</si>
  <si>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</si>
  <si>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</si>
  <si>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</si>
  <si>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</si>
  <si>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</si>
  <si>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</si>
  <si>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</si>
  <si>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</si>
  <si>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</si>
  <si>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</si>
  <si>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</si>
  <si>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</si>
  <si>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</si>
  <si>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</si>
  <si>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</si>
  <si>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</si>
  <si>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</si>
  <si>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</si>
  <si>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</si>
  <si>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</si>
  <si>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</si>
  <si>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</si>
  <si>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</si>
  <si>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dez</t>
  </si>
  <si>
    <t>conv</t>
  </si>
  <si>
    <t>Thiago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</si>
</sst>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80"/>
  <sheetViews>
    <sheetView tabSelected="1" zoomScale="85" zoomScaleNormal="85" workbookViewId="0">
      <pane xSplit="1" topLeftCell="BL1" activePane="topRight" state="frozen"/>
      <selection pane="topRight" activeCell="CF17" sqref="CF17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5" width="11" customWidth="1"/>
  </cols>
  <sheetData>
    <row r="1" spans="1:91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/>
      <c r="CH1" t="s">
        <v>57</v>
      </c>
      <c r="CI1" t="s">
        <v>58</v>
      </c>
      <c r="CJ1" t="s">
        <v>59</v>
      </c>
      <c r="CK1" t="s">
        <v>62</v>
      </c>
      <c r="CL1" t="s">
        <v>384</v>
      </c>
      <c r="CM1" t="s">
        <v>385</v>
      </c>
    </row>
    <row r="2" spans="1:91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B2">
        <v>5</v>
      </c>
      <c r="CC2">
        <v>5.5</v>
      </c>
      <c r="CD2">
        <v>5.5</v>
      </c>
      <c r="CF2">
        <v>6</v>
      </c>
      <c r="CH2">
        <f t="shared" ref="CH2:CH33" si="0">COUNT(B2:CG2)</f>
        <v>77</v>
      </c>
      <c r="CI2" s="18">
        <f t="shared" ref="CI2:CI33" si="1">AVERAGE(B2:CG2)</f>
        <v>5.6818181818181817</v>
      </c>
      <c r="CJ2">
        <f t="shared" ref="CJ2:CJ33" si="2">IF(CH2&gt;1,_xlfn.STDEV.S(B2:CG2),"")</f>
        <v>1.0062603085744963</v>
      </c>
      <c r="CK2">
        <v>1</v>
      </c>
      <c r="CL2">
        <f>COUNT(BZ2:CB2)</f>
        <v>3</v>
      </c>
      <c r="CM2">
        <f>CL2*27</f>
        <v>81</v>
      </c>
    </row>
    <row r="3" spans="1:91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B3">
        <v>4.5</v>
      </c>
      <c r="CC3">
        <v>6.5</v>
      </c>
      <c r="CD3">
        <v>7</v>
      </c>
      <c r="CE3">
        <v>5.5</v>
      </c>
      <c r="CF3">
        <v>5.5</v>
      </c>
      <c r="CH3">
        <f t="shared" si="0"/>
        <v>74</v>
      </c>
      <c r="CI3" s="18">
        <f t="shared" si="1"/>
        <v>5.4121621621621623</v>
      </c>
      <c r="CJ3">
        <f t="shared" si="2"/>
        <v>0.89273363508171999</v>
      </c>
      <c r="CK3">
        <v>1</v>
      </c>
      <c r="CL3">
        <f t="shared" ref="CL3:CL66" si="3">COUNT(BZ3:CB3)</f>
        <v>3</v>
      </c>
      <c r="CM3">
        <f t="shared" ref="CM3:CM66" si="4">CL3*27</f>
        <v>81</v>
      </c>
    </row>
    <row r="4" spans="1:91" x14ac:dyDescent="0.35">
      <c r="A4" t="s">
        <v>82</v>
      </c>
      <c r="B4">
        <v>9</v>
      </c>
      <c r="C4" t="s">
        <v>26</v>
      </c>
      <c r="D4">
        <v>7.5</v>
      </c>
      <c r="E4">
        <v>7</v>
      </c>
      <c r="F4">
        <v>6</v>
      </c>
      <c r="G4">
        <v>7</v>
      </c>
      <c r="H4">
        <v>6</v>
      </c>
      <c r="I4">
        <v>7</v>
      </c>
      <c r="J4">
        <v>7</v>
      </c>
      <c r="K4">
        <v>7</v>
      </c>
      <c r="L4">
        <v>6</v>
      </c>
      <c r="M4">
        <v>6</v>
      </c>
      <c r="N4">
        <v>7</v>
      </c>
      <c r="O4">
        <v>7</v>
      </c>
      <c r="P4">
        <v>7</v>
      </c>
      <c r="Q4">
        <v>7</v>
      </c>
      <c r="R4">
        <v>7.5</v>
      </c>
      <c r="S4">
        <v>7</v>
      </c>
      <c r="T4">
        <v>7.5</v>
      </c>
      <c r="U4">
        <v>7</v>
      </c>
      <c r="V4">
        <v>7</v>
      </c>
      <c r="W4">
        <v>7</v>
      </c>
      <c r="X4">
        <v>6</v>
      </c>
      <c r="Y4">
        <v>6</v>
      </c>
      <c r="Z4">
        <v>6</v>
      </c>
      <c r="AA4">
        <v>7</v>
      </c>
      <c r="AB4">
        <v>7</v>
      </c>
      <c r="AC4">
        <v>7</v>
      </c>
      <c r="AD4" t="s">
        <v>26</v>
      </c>
      <c r="AE4">
        <v>7</v>
      </c>
      <c r="AF4">
        <v>6</v>
      </c>
      <c r="AG4">
        <v>6</v>
      </c>
      <c r="AH4">
        <v>5</v>
      </c>
      <c r="AI4">
        <v>6.5</v>
      </c>
      <c r="AJ4">
        <v>5.5</v>
      </c>
      <c r="AK4">
        <v>6.5</v>
      </c>
      <c r="AL4">
        <v>5.5</v>
      </c>
      <c r="AN4">
        <v>6.5</v>
      </c>
      <c r="AO4">
        <v>5.5</v>
      </c>
      <c r="AP4">
        <v>6</v>
      </c>
      <c r="AV4">
        <v>5</v>
      </c>
      <c r="AY4">
        <v>6</v>
      </c>
      <c r="BA4">
        <v>5</v>
      </c>
      <c r="BB4">
        <v>6</v>
      </c>
      <c r="BC4">
        <v>5</v>
      </c>
      <c r="BD4">
        <v>6.5</v>
      </c>
      <c r="BE4">
        <v>6</v>
      </c>
      <c r="BF4">
        <v>5</v>
      </c>
      <c r="BG4">
        <v>5.5</v>
      </c>
      <c r="BH4">
        <v>5.5</v>
      </c>
      <c r="BI4">
        <v>5</v>
      </c>
      <c r="BL4">
        <v>5</v>
      </c>
      <c r="BM4">
        <v>5.5</v>
      </c>
      <c r="BN4">
        <v>6.5</v>
      </c>
      <c r="BO4">
        <v>6</v>
      </c>
      <c r="BP4">
        <v>5</v>
      </c>
      <c r="BQ4">
        <v>5</v>
      </c>
      <c r="BR4">
        <v>5.5</v>
      </c>
      <c r="BS4">
        <v>5.5</v>
      </c>
      <c r="BV4">
        <v>5.5</v>
      </c>
      <c r="BW4">
        <v>5</v>
      </c>
      <c r="BY4">
        <v>5.5</v>
      </c>
      <c r="CA4">
        <v>5.5</v>
      </c>
      <c r="CB4">
        <v>5</v>
      </c>
      <c r="CC4">
        <v>6.5</v>
      </c>
      <c r="CD4">
        <v>7.5</v>
      </c>
      <c r="CF4">
        <v>6.5</v>
      </c>
      <c r="CH4">
        <f t="shared" si="0"/>
        <v>65</v>
      </c>
      <c r="CI4" s="18">
        <f t="shared" si="1"/>
        <v>6.2</v>
      </c>
      <c r="CJ4">
        <f t="shared" si="2"/>
        <v>0.86512282364991466</v>
      </c>
      <c r="CK4">
        <v>1</v>
      </c>
      <c r="CL4">
        <f t="shared" si="3"/>
        <v>2</v>
      </c>
      <c r="CM4">
        <f t="shared" si="4"/>
        <v>54</v>
      </c>
    </row>
    <row r="5" spans="1:91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B5">
        <v>6</v>
      </c>
      <c r="CC5">
        <v>5.5</v>
      </c>
      <c r="CD5">
        <v>5.5</v>
      </c>
      <c r="CE5">
        <v>5</v>
      </c>
      <c r="CH5">
        <f t="shared" si="0"/>
        <v>68</v>
      </c>
      <c r="CI5" s="18">
        <f t="shared" si="1"/>
        <v>5.8455882352941178</v>
      </c>
      <c r="CJ5">
        <f t="shared" si="2"/>
        <v>0.99722507879112954</v>
      </c>
      <c r="CK5">
        <v>1</v>
      </c>
      <c r="CL5">
        <f t="shared" si="3"/>
        <v>3</v>
      </c>
      <c r="CM5">
        <f t="shared" si="4"/>
        <v>81</v>
      </c>
    </row>
    <row r="6" spans="1:91" x14ac:dyDescent="0.35">
      <c r="A6" t="s">
        <v>4</v>
      </c>
      <c r="B6">
        <v>4.5</v>
      </c>
      <c r="C6" t="s">
        <v>26</v>
      </c>
      <c r="D6">
        <v>6</v>
      </c>
      <c r="E6">
        <v>5.5</v>
      </c>
      <c r="F6">
        <v>6</v>
      </c>
      <c r="G6" t="s">
        <v>26</v>
      </c>
      <c r="H6">
        <v>7</v>
      </c>
      <c r="I6">
        <v>5.5</v>
      </c>
      <c r="J6">
        <v>6</v>
      </c>
      <c r="K6">
        <v>5.5</v>
      </c>
      <c r="L6">
        <v>7</v>
      </c>
      <c r="M6">
        <v>6</v>
      </c>
      <c r="N6">
        <v>7</v>
      </c>
      <c r="O6">
        <v>5.5</v>
      </c>
      <c r="P6">
        <v>5.5</v>
      </c>
      <c r="Q6">
        <v>7</v>
      </c>
      <c r="R6">
        <v>6</v>
      </c>
      <c r="S6">
        <v>6</v>
      </c>
      <c r="T6">
        <v>7</v>
      </c>
      <c r="U6">
        <v>6</v>
      </c>
      <c r="V6">
        <v>5.5</v>
      </c>
      <c r="W6">
        <v>5.5</v>
      </c>
      <c r="X6">
        <v>6</v>
      </c>
      <c r="Y6">
        <v>5.5</v>
      </c>
      <c r="Z6" t="s">
        <v>26</v>
      </c>
      <c r="AA6">
        <v>7</v>
      </c>
      <c r="AB6">
        <v>6</v>
      </c>
      <c r="AC6">
        <v>6</v>
      </c>
      <c r="AD6">
        <v>6</v>
      </c>
      <c r="AE6">
        <v>6.5</v>
      </c>
      <c r="AF6">
        <v>6</v>
      </c>
      <c r="AG6">
        <v>6</v>
      </c>
      <c r="AH6">
        <v>5</v>
      </c>
      <c r="AI6">
        <v>6</v>
      </c>
      <c r="AL6">
        <v>3</v>
      </c>
      <c r="AM6">
        <v>4</v>
      </c>
      <c r="AN6">
        <v>5.5</v>
      </c>
      <c r="AO6">
        <v>5</v>
      </c>
      <c r="AP6">
        <v>4.5</v>
      </c>
      <c r="AV6">
        <v>4</v>
      </c>
      <c r="AW6">
        <v>4.5</v>
      </c>
      <c r="AX6">
        <v>4.5</v>
      </c>
      <c r="AY6">
        <v>5</v>
      </c>
      <c r="AZ6">
        <v>4</v>
      </c>
      <c r="BA6">
        <v>5</v>
      </c>
      <c r="BB6">
        <v>5</v>
      </c>
      <c r="BC6">
        <v>6</v>
      </c>
      <c r="BH6">
        <v>5.5</v>
      </c>
      <c r="BI6">
        <v>5.5</v>
      </c>
      <c r="BJ6">
        <v>5.5</v>
      </c>
      <c r="BK6">
        <v>5</v>
      </c>
      <c r="BL6">
        <v>4.5</v>
      </c>
      <c r="BM6">
        <v>5</v>
      </c>
      <c r="BN6">
        <v>6</v>
      </c>
      <c r="BO6">
        <v>5</v>
      </c>
      <c r="BP6">
        <v>5</v>
      </c>
      <c r="BQ6">
        <v>5</v>
      </c>
      <c r="BR6">
        <v>5</v>
      </c>
      <c r="BS6">
        <v>5</v>
      </c>
      <c r="BT6">
        <v>5.5</v>
      </c>
      <c r="BU6">
        <v>5.5</v>
      </c>
      <c r="BV6">
        <v>5</v>
      </c>
      <c r="BW6">
        <v>5.5</v>
      </c>
      <c r="BX6">
        <v>5</v>
      </c>
      <c r="BY6">
        <v>5</v>
      </c>
      <c r="BZ6">
        <v>5</v>
      </c>
      <c r="CA6">
        <v>5</v>
      </c>
      <c r="CB6">
        <v>5</v>
      </c>
      <c r="CC6">
        <v>7</v>
      </c>
      <c r="CD6">
        <v>6</v>
      </c>
      <c r="CE6">
        <v>6.5</v>
      </c>
      <c r="CF6">
        <v>7</v>
      </c>
      <c r="CH6">
        <f t="shared" si="0"/>
        <v>69</v>
      </c>
      <c r="CI6" s="18">
        <f t="shared" si="1"/>
        <v>5.5217391304347823</v>
      </c>
      <c r="CJ6">
        <f t="shared" si="2"/>
        <v>0.828866973861342</v>
      </c>
      <c r="CK6">
        <v>1</v>
      </c>
      <c r="CL6">
        <f t="shared" si="3"/>
        <v>3</v>
      </c>
      <c r="CM6">
        <f t="shared" si="4"/>
        <v>81</v>
      </c>
    </row>
    <row r="7" spans="1:91" x14ac:dyDescent="0.35">
      <c r="A7" t="s">
        <v>9</v>
      </c>
      <c r="B7">
        <v>7</v>
      </c>
      <c r="C7" t="s">
        <v>26</v>
      </c>
      <c r="D7">
        <v>7</v>
      </c>
      <c r="E7">
        <v>6</v>
      </c>
      <c r="F7">
        <v>7.5</v>
      </c>
      <c r="G7">
        <v>7</v>
      </c>
      <c r="H7">
        <v>7</v>
      </c>
      <c r="I7" t="s">
        <v>26</v>
      </c>
      <c r="J7">
        <v>6</v>
      </c>
      <c r="K7" t="s">
        <v>26</v>
      </c>
      <c r="L7">
        <v>7</v>
      </c>
      <c r="M7">
        <v>7</v>
      </c>
      <c r="N7">
        <v>7.5</v>
      </c>
      <c r="O7">
        <v>6</v>
      </c>
      <c r="P7">
        <v>6</v>
      </c>
      <c r="Q7">
        <v>7</v>
      </c>
      <c r="R7" t="s">
        <v>26</v>
      </c>
      <c r="S7">
        <v>6</v>
      </c>
      <c r="T7">
        <v>7.5</v>
      </c>
      <c r="U7" t="s">
        <v>26</v>
      </c>
      <c r="V7">
        <v>6</v>
      </c>
      <c r="W7">
        <v>7</v>
      </c>
      <c r="X7">
        <v>7</v>
      </c>
      <c r="Y7" t="s">
        <v>26</v>
      </c>
      <c r="Z7">
        <v>7.5</v>
      </c>
      <c r="AA7">
        <v>7</v>
      </c>
      <c r="AB7">
        <v>7</v>
      </c>
      <c r="AC7">
        <v>6</v>
      </c>
      <c r="AD7">
        <v>7</v>
      </c>
      <c r="AE7">
        <v>8</v>
      </c>
      <c r="AF7">
        <v>6.5</v>
      </c>
      <c r="AH7">
        <v>7.5</v>
      </c>
      <c r="AI7">
        <v>5.5</v>
      </c>
      <c r="AJ7">
        <v>5.5</v>
      </c>
      <c r="AK7">
        <v>5.5</v>
      </c>
      <c r="AM7">
        <v>7</v>
      </c>
      <c r="AQ7">
        <v>5</v>
      </c>
      <c r="AR7">
        <v>5.5</v>
      </c>
      <c r="AS7">
        <v>5</v>
      </c>
      <c r="AT7">
        <v>5.5</v>
      </c>
      <c r="AU7">
        <v>5.5</v>
      </c>
      <c r="AV7">
        <v>5.5</v>
      </c>
      <c r="AX7">
        <v>6</v>
      </c>
      <c r="AY7">
        <v>6.5</v>
      </c>
      <c r="AZ7">
        <v>5.5</v>
      </c>
      <c r="BA7">
        <v>5.5</v>
      </c>
      <c r="BB7">
        <v>4.5</v>
      </c>
      <c r="BC7">
        <v>4</v>
      </c>
      <c r="BD7">
        <v>4.5</v>
      </c>
      <c r="BE7">
        <v>5.5</v>
      </c>
      <c r="BF7">
        <v>5</v>
      </c>
      <c r="BG7">
        <v>5</v>
      </c>
      <c r="BH7">
        <v>5</v>
      </c>
      <c r="BK7">
        <v>5</v>
      </c>
      <c r="BL7">
        <v>5.5</v>
      </c>
      <c r="BM7">
        <v>5</v>
      </c>
      <c r="BP7">
        <v>5.5</v>
      </c>
      <c r="BQ7">
        <v>7</v>
      </c>
      <c r="BR7">
        <v>6</v>
      </c>
      <c r="BS7">
        <v>5.5</v>
      </c>
      <c r="BT7">
        <v>5.5</v>
      </c>
      <c r="BU7">
        <v>5.5</v>
      </c>
      <c r="BW7">
        <v>6</v>
      </c>
      <c r="BY7">
        <v>6</v>
      </c>
      <c r="BZ7">
        <v>6</v>
      </c>
      <c r="CA7">
        <v>5.5</v>
      </c>
      <c r="CB7">
        <v>5.5</v>
      </c>
      <c r="CC7">
        <v>6.5</v>
      </c>
      <c r="CD7">
        <v>6</v>
      </c>
      <c r="CE7">
        <v>6</v>
      </c>
      <c r="CF7">
        <v>7</v>
      </c>
      <c r="CH7">
        <f t="shared" si="0"/>
        <v>65</v>
      </c>
      <c r="CI7" s="18">
        <f t="shared" si="1"/>
        <v>6.0846153846153843</v>
      </c>
      <c r="CJ7">
        <f t="shared" si="2"/>
        <v>0.88639557500283961</v>
      </c>
      <c r="CK7">
        <v>1</v>
      </c>
      <c r="CL7">
        <f t="shared" si="3"/>
        <v>3</v>
      </c>
      <c r="CM7">
        <f t="shared" si="4"/>
        <v>81</v>
      </c>
    </row>
    <row r="8" spans="1:91" x14ac:dyDescent="0.35">
      <c r="A8" t="s">
        <v>5</v>
      </c>
      <c r="B8">
        <v>10</v>
      </c>
      <c r="C8">
        <v>8.5</v>
      </c>
      <c r="D8">
        <v>8.5</v>
      </c>
      <c r="E8">
        <v>7.5</v>
      </c>
      <c r="F8">
        <v>7</v>
      </c>
      <c r="G8">
        <v>7.5</v>
      </c>
      <c r="H8">
        <v>7</v>
      </c>
      <c r="I8" t="s">
        <v>26</v>
      </c>
      <c r="J8">
        <v>8.5</v>
      </c>
      <c r="K8">
        <v>7.5</v>
      </c>
      <c r="L8">
        <v>8.5</v>
      </c>
      <c r="M8">
        <v>7</v>
      </c>
      <c r="N8">
        <v>7.5</v>
      </c>
      <c r="O8">
        <v>7.5</v>
      </c>
      <c r="P8">
        <v>7</v>
      </c>
      <c r="Q8">
        <v>7</v>
      </c>
      <c r="R8" t="s">
        <v>26</v>
      </c>
      <c r="S8" t="s">
        <v>26</v>
      </c>
      <c r="T8" t="s">
        <v>26</v>
      </c>
      <c r="U8">
        <v>7</v>
      </c>
      <c r="V8">
        <v>6</v>
      </c>
      <c r="W8">
        <v>7.5</v>
      </c>
      <c r="X8">
        <v>7</v>
      </c>
      <c r="Y8">
        <v>7</v>
      </c>
      <c r="Z8">
        <v>7</v>
      </c>
      <c r="AA8">
        <v>7</v>
      </c>
      <c r="AB8" t="s">
        <v>26</v>
      </c>
      <c r="AC8" t="s">
        <v>26</v>
      </c>
      <c r="AD8" t="s">
        <v>26</v>
      </c>
      <c r="AF8">
        <v>6.5</v>
      </c>
      <c r="AG8">
        <v>10</v>
      </c>
      <c r="AI8">
        <v>6.5</v>
      </c>
      <c r="AJ8">
        <v>5.5</v>
      </c>
      <c r="AK8">
        <v>6.5</v>
      </c>
      <c r="AL8">
        <v>6</v>
      </c>
      <c r="AO8">
        <v>6</v>
      </c>
      <c r="AP8">
        <v>5</v>
      </c>
      <c r="AQ8">
        <v>5.5</v>
      </c>
      <c r="AR8">
        <v>6.5</v>
      </c>
      <c r="AS8">
        <v>6</v>
      </c>
      <c r="AT8">
        <v>5.5</v>
      </c>
      <c r="AU8">
        <v>6.5</v>
      </c>
      <c r="AV8">
        <v>6</v>
      </c>
      <c r="AW8">
        <v>6</v>
      </c>
      <c r="AX8">
        <v>6</v>
      </c>
      <c r="AY8">
        <v>5.5</v>
      </c>
      <c r="AZ8">
        <v>7</v>
      </c>
      <c r="BA8">
        <v>8.5</v>
      </c>
      <c r="BB8">
        <v>5.5</v>
      </c>
      <c r="BC8">
        <v>4.5</v>
      </c>
      <c r="BD8">
        <v>5.5</v>
      </c>
      <c r="BE8">
        <v>6.5</v>
      </c>
      <c r="BF8">
        <v>5.5</v>
      </c>
      <c r="BG8">
        <v>5</v>
      </c>
      <c r="BK8">
        <v>5.5</v>
      </c>
      <c r="BL8">
        <v>6</v>
      </c>
      <c r="BO8">
        <v>5.5</v>
      </c>
      <c r="BP8">
        <v>5.5</v>
      </c>
      <c r="BQ8">
        <v>6</v>
      </c>
      <c r="BR8">
        <v>5.5</v>
      </c>
      <c r="BS8">
        <v>6</v>
      </c>
      <c r="BT8">
        <v>6</v>
      </c>
      <c r="BU8">
        <v>6.5</v>
      </c>
      <c r="BV8">
        <v>5.5</v>
      </c>
      <c r="BW8">
        <v>5.5</v>
      </c>
      <c r="BX8">
        <v>6.5</v>
      </c>
      <c r="BZ8">
        <v>6</v>
      </c>
      <c r="CA8">
        <v>5.5</v>
      </c>
      <c r="CB8">
        <v>6</v>
      </c>
      <c r="CD8">
        <v>5.5</v>
      </c>
      <c r="CE8">
        <v>9</v>
      </c>
      <c r="CF8">
        <v>7</v>
      </c>
      <c r="CH8">
        <f t="shared" si="0"/>
        <v>65</v>
      </c>
      <c r="CI8" s="18">
        <f t="shared" si="1"/>
        <v>6.5769230769230766</v>
      </c>
      <c r="CJ8">
        <f t="shared" si="2"/>
        <v>1.1599796914667888</v>
      </c>
      <c r="CK8">
        <v>1</v>
      </c>
      <c r="CL8">
        <f t="shared" si="3"/>
        <v>3</v>
      </c>
      <c r="CM8">
        <f t="shared" si="4"/>
        <v>81</v>
      </c>
    </row>
    <row r="9" spans="1:91" x14ac:dyDescent="0.35">
      <c r="A9" t="s">
        <v>11</v>
      </c>
      <c r="B9">
        <v>5.5</v>
      </c>
      <c r="C9" t="s">
        <v>26</v>
      </c>
      <c r="D9">
        <v>7.5</v>
      </c>
      <c r="E9">
        <v>7.5</v>
      </c>
      <c r="F9">
        <v>7.5</v>
      </c>
      <c r="G9">
        <v>5.5</v>
      </c>
      <c r="H9" t="s">
        <v>26</v>
      </c>
      <c r="I9">
        <v>4.5</v>
      </c>
      <c r="J9">
        <v>7</v>
      </c>
      <c r="K9">
        <v>6</v>
      </c>
      <c r="L9" t="s">
        <v>26</v>
      </c>
      <c r="M9" t="s">
        <v>26</v>
      </c>
      <c r="N9">
        <v>6</v>
      </c>
      <c r="O9">
        <v>5.5</v>
      </c>
      <c r="P9">
        <v>6</v>
      </c>
      <c r="Q9" t="s">
        <v>26</v>
      </c>
      <c r="R9" t="s">
        <v>26</v>
      </c>
      <c r="S9">
        <v>4.5</v>
      </c>
      <c r="T9">
        <v>7</v>
      </c>
      <c r="U9" t="s">
        <v>26</v>
      </c>
      <c r="V9" t="s">
        <v>26</v>
      </c>
      <c r="W9" t="s">
        <v>26</v>
      </c>
      <c r="X9">
        <v>6</v>
      </c>
      <c r="Y9">
        <v>6</v>
      </c>
      <c r="Z9" t="s">
        <v>26</v>
      </c>
      <c r="AA9">
        <v>4.5</v>
      </c>
      <c r="AB9" t="s">
        <v>26</v>
      </c>
      <c r="AC9">
        <v>7</v>
      </c>
      <c r="AD9" t="s">
        <v>26</v>
      </c>
      <c r="AE9">
        <v>3</v>
      </c>
      <c r="AF9">
        <v>6</v>
      </c>
      <c r="AG9">
        <v>4.5</v>
      </c>
      <c r="AH9">
        <v>6</v>
      </c>
      <c r="AI9">
        <v>6</v>
      </c>
      <c r="AJ9">
        <v>5.5</v>
      </c>
      <c r="AK9">
        <v>7</v>
      </c>
      <c r="AL9">
        <v>5</v>
      </c>
      <c r="AM9">
        <v>4.5</v>
      </c>
      <c r="AN9">
        <v>4.5</v>
      </c>
      <c r="AO9">
        <v>5</v>
      </c>
      <c r="AP9">
        <v>5</v>
      </c>
      <c r="AR9">
        <v>5.5</v>
      </c>
      <c r="AS9">
        <v>5.5</v>
      </c>
      <c r="AT9">
        <v>5</v>
      </c>
      <c r="AU9">
        <v>6</v>
      </c>
      <c r="AV9">
        <v>5</v>
      </c>
      <c r="AX9">
        <v>5</v>
      </c>
      <c r="AY9">
        <v>4.5</v>
      </c>
      <c r="BD9">
        <v>4</v>
      </c>
      <c r="BE9">
        <v>6</v>
      </c>
      <c r="BG9">
        <v>3.5</v>
      </c>
      <c r="BH9">
        <v>5.5</v>
      </c>
      <c r="BI9">
        <v>5</v>
      </c>
      <c r="BJ9">
        <v>5</v>
      </c>
      <c r="BK9">
        <v>5</v>
      </c>
      <c r="BM9">
        <v>4.5</v>
      </c>
      <c r="BN9">
        <v>7</v>
      </c>
      <c r="BO9">
        <v>5</v>
      </c>
      <c r="BR9">
        <v>7</v>
      </c>
      <c r="BS9">
        <v>5.5</v>
      </c>
      <c r="BT9">
        <v>5.5</v>
      </c>
      <c r="BU9">
        <v>5.5</v>
      </c>
      <c r="BV9">
        <v>5</v>
      </c>
      <c r="BW9">
        <v>5</v>
      </c>
      <c r="BX9">
        <v>5</v>
      </c>
      <c r="BY9">
        <v>3.5</v>
      </c>
      <c r="BZ9">
        <v>4.5</v>
      </c>
      <c r="CA9">
        <v>4</v>
      </c>
      <c r="CB9">
        <v>3.5</v>
      </c>
      <c r="CC9">
        <v>7</v>
      </c>
      <c r="CD9">
        <v>4.5</v>
      </c>
      <c r="CE9">
        <v>6</v>
      </c>
      <c r="CF9">
        <v>5</v>
      </c>
      <c r="CH9">
        <f t="shared" si="0"/>
        <v>61</v>
      </c>
      <c r="CI9" s="18">
        <f t="shared" si="1"/>
        <v>5.3934426229508201</v>
      </c>
      <c r="CJ9">
        <f t="shared" si="2"/>
        <v>1.0492646397134546</v>
      </c>
      <c r="CK9">
        <v>1</v>
      </c>
      <c r="CL9">
        <f t="shared" si="3"/>
        <v>3</v>
      </c>
      <c r="CM9">
        <f t="shared" si="4"/>
        <v>81</v>
      </c>
    </row>
    <row r="10" spans="1:91" x14ac:dyDescent="0.35">
      <c r="A10" t="s">
        <v>367</v>
      </c>
      <c r="B10">
        <v>8.5</v>
      </c>
      <c r="C10" t="s">
        <v>26</v>
      </c>
      <c r="D10" t="s">
        <v>26</v>
      </c>
      <c r="E10">
        <v>7</v>
      </c>
      <c r="F10">
        <v>7</v>
      </c>
      <c r="G10" t="s">
        <v>26</v>
      </c>
      <c r="H10">
        <v>10</v>
      </c>
      <c r="I10">
        <v>7</v>
      </c>
      <c r="J10" t="s">
        <v>26</v>
      </c>
      <c r="K10">
        <v>6</v>
      </c>
      <c r="L10">
        <v>7</v>
      </c>
      <c r="M10">
        <v>6</v>
      </c>
      <c r="N10">
        <v>6</v>
      </c>
      <c r="O10">
        <v>6</v>
      </c>
      <c r="P10">
        <v>7</v>
      </c>
      <c r="Q10">
        <v>5.5</v>
      </c>
      <c r="R10">
        <v>7.5</v>
      </c>
      <c r="S10">
        <v>7</v>
      </c>
      <c r="T10">
        <v>7</v>
      </c>
      <c r="U10">
        <v>6</v>
      </c>
      <c r="V10">
        <v>7</v>
      </c>
      <c r="W10">
        <v>7</v>
      </c>
      <c r="X10">
        <v>7</v>
      </c>
      <c r="Y10" t="s">
        <v>26</v>
      </c>
      <c r="Z10">
        <v>6</v>
      </c>
      <c r="AA10">
        <v>6</v>
      </c>
      <c r="AB10" t="s">
        <v>26</v>
      </c>
      <c r="AC10">
        <v>6</v>
      </c>
      <c r="AD10" t="s">
        <v>26</v>
      </c>
      <c r="AF10">
        <v>7</v>
      </c>
      <c r="AG10">
        <v>5.5</v>
      </c>
      <c r="AH10">
        <v>5.5</v>
      </c>
      <c r="AI10">
        <v>5.5</v>
      </c>
      <c r="AJ10">
        <v>5.5</v>
      </c>
      <c r="AK10">
        <v>6.5</v>
      </c>
      <c r="AL10">
        <v>4.5</v>
      </c>
      <c r="AV10">
        <v>4.5</v>
      </c>
      <c r="AW10">
        <v>4.5</v>
      </c>
      <c r="AX10">
        <v>5</v>
      </c>
      <c r="AY10">
        <v>5.5</v>
      </c>
      <c r="AZ10">
        <v>5.5</v>
      </c>
      <c r="BA10">
        <v>5</v>
      </c>
      <c r="BD10">
        <v>4.5</v>
      </c>
      <c r="BE10">
        <v>6</v>
      </c>
      <c r="BF10">
        <v>6.5</v>
      </c>
      <c r="BG10">
        <v>5.5</v>
      </c>
      <c r="BH10">
        <v>5</v>
      </c>
      <c r="BK10">
        <v>4.5</v>
      </c>
      <c r="BL10">
        <v>5</v>
      </c>
      <c r="BM10">
        <v>5.5</v>
      </c>
      <c r="BN10">
        <v>5.5</v>
      </c>
      <c r="BO10">
        <v>5</v>
      </c>
      <c r="BP10">
        <v>5.5</v>
      </c>
      <c r="BQ10">
        <v>5</v>
      </c>
      <c r="BR10">
        <v>4.5</v>
      </c>
      <c r="BS10">
        <v>5.5</v>
      </c>
      <c r="BT10">
        <v>5</v>
      </c>
      <c r="BV10">
        <v>5.5</v>
      </c>
      <c r="BW10">
        <v>5</v>
      </c>
      <c r="BY10">
        <v>5</v>
      </c>
      <c r="CB10">
        <v>5</v>
      </c>
      <c r="CH10">
        <f t="shared" si="0"/>
        <v>54</v>
      </c>
      <c r="CI10" s="18">
        <f t="shared" si="1"/>
        <v>5.8981481481481479</v>
      </c>
      <c r="CJ10">
        <f t="shared" si="2"/>
        <v>1.083232538449153</v>
      </c>
      <c r="CK10">
        <v>0</v>
      </c>
      <c r="CL10">
        <f t="shared" si="3"/>
        <v>1</v>
      </c>
      <c r="CM10">
        <f t="shared" si="4"/>
        <v>27</v>
      </c>
    </row>
    <row r="11" spans="1:91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C11">
        <v>7</v>
      </c>
      <c r="CD11">
        <v>5.5</v>
      </c>
      <c r="CE11">
        <v>7.5</v>
      </c>
      <c r="CF11">
        <v>6</v>
      </c>
      <c r="CH11">
        <f t="shared" si="0"/>
        <v>57</v>
      </c>
      <c r="CI11" s="18">
        <f t="shared" si="1"/>
        <v>5.9736842105263159</v>
      </c>
      <c r="CJ11">
        <f t="shared" si="2"/>
        <v>0.94689837963394019</v>
      </c>
      <c r="CK11">
        <v>1</v>
      </c>
      <c r="CL11">
        <f t="shared" si="3"/>
        <v>2</v>
      </c>
      <c r="CM11">
        <f t="shared" si="4"/>
        <v>54</v>
      </c>
    </row>
    <row r="12" spans="1:91" x14ac:dyDescent="0.35">
      <c r="A12" t="s">
        <v>25</v>
      </c>
      <c r="B12" t="s">
        <v>26</v>
      </c>
      <c r="C12" t="s">
        <v>26</v>
      </c>
      <c r="D12" t="s">
        <v>26</v>
      </c>
      <c r="E12">
        <v>4.5</v>
      </c>
      <c r="F12">
        <v>6</v>
      </c>
      <c r="G12">
        <v>4</v>
      </c>
      <c r="H12" t="s">
        <v>26</v>
      </c>
      <c r="I12" t="s">
        <v>26</v>
      </c>
      <c r="J12">
        <v>4.5</v>
      </c>
      <c r="K12" t="s">
        <v>26</v>
      </c>
      <c r="L12">
        <v>2.5</v>
      </c>
      <c r="M12">
        <v>4.5</v>
      </c>
      <c r="N12">
        <v>5.5</v>
      </c>
      <c r="O12">
        <v>6</v>
      </c>
      <c r="P12">
        <v>4.5</v>
      </c>
      <c r="Q12" t="s">
        <v>26</v>
      </c>
      <c r="R12" t="s">
        <v>26</v>
      </c>
      <c r="S12">
        <v>4</v>
      </c>
      <c r="T12">
        <v>6</v>
      </c>
      <c r="U12">
        <v>2.5</v>
      </c>
      <c r="V12">
        <v>5.5</v>
      </c>
      <c r="W12">
        <v>6</v>
      </c>
      <c r="X12">
        <v>6</v>
      </c>
      <c r="Y12" t="s">
        <v>26</v>
      </c>
      <c r="Z12">
        <v>5.5</v>
      </c>
      <c r="AA12" t="s">
        <v>26</v>
      </c>
      <c r="AB12" t="s">
        <v>26</v>
      </c>
      <c r="AC12">
        <v>4</v>
      </c>
      <c r="AD12">
        <v>4.5</v>
      </c>
      <c r="AE12">
        <v>4</v>
      </c>
      <c r="AF12">
        <v>2.5</v>
      </c>
      <c r="AG12">
        <v>3</v>
      </c>
      <c r="AH12">
        <v>5</v>
      </c>
      <c r="AK12">
        <v>5</v>
      </c>
      <c r="AL12">
        <v>2.5</v>
      </c>
      <c r="AM12">
        <v>4</v>
      </c>
      <c r="AO12">
        <v>5.5</v>
      </c>
      <c r="AP12">
        <v>5.5</v>
      </c>
      <c r="AQ12">
        <v>4</v>
      </c>
      <c r="AR12">
        <v>3.5</v>
      </c>
      <c r="AT12">
        <v>5</v>
      </c>
      <c r="AU12">
        <v>4</v>
      </c>
      <c r="AX12">
        <v>5.5</v>
      </c>
      <c r="AY12">
        <v>4.5</v>
      </c>
      <c r="AZ12">
        <v>4.5</v>
      </c>
      <c r="BA12">
        <v>5</v>
      </c>
      <c r="BC12">
        <v>4</v>
      </c>
      <c r="BE12">
        <v>4.5</v>
      </c>
      <c r="BK12">
        <v>4.5</v>
      </c>
      <c r="BL12">
        <v>4</v>
      </c>
      <c r="BM12">
        <v>5</v>
      </c>
      <c r="BO12">
        <v>4.5</v>
      </c>
      <c r="BR12">
        <v>4.5</v>
      </c>
      <c r="BT12">
        <v>5</v>
      </c>
      <c r="CA12">
        <v>5</v>
      </c>
      <c r="CC12">
        <v>4.5</v>
      </c>
      <c r="CE12">
        <v>5</v>
      </c>
      <c r="CF12">
        <v>5.5</v>
      </c>
      <c r="CH12">
        <f t="shared" si="0"/>
        <v>47</v>
      </c>
      <c r="CI12" s="18">
        <f t="shared" si="1"/>
        <v>4.5744680851063828</v>
      </c>
      <c r="CJ12">
        <f t="shared" si="2"/>
        <v>0.94970661032680381</v>
      </c>
      <c r="CK12">
        <v>1</v>
      </c>
      <c r="CL12">
        <f t="shared" si="3"/>
        <v>1</v>
      </c>
      <c r="CM12">
        <f t="shared" si="4"/>
        <v>27</v>
      </c>
    </row>
    <row r="13" spans="1:91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B13">
        <v>5</v>
      </c>
      <c r="CC13">
        <v>7</v>
      </c>
      <c r="CD13">
        <v>7</v>
      </c>
      <c r="CE13">
        <v>6</v>
      </c>
      <c r="CF13">
        <v>7</v>
      </c>
      <c r="CH13">
        <f t="shared" si="0"/>
        <v>49</v>
      </c>
      <c r="CI13" s="18">
        <f t="shared" si="1"/>
        <v>5.9795918367346941</v>
      </c>
      <c r="CJ13">
        <f t="shared" si="2"/>
        <v>1.0152954397277538</v>
      </c>
      <c r="CK13">
        <v>1</v>
      </c>
      <c r="CL13">
        <f t="shared" si="3"/>
        <v>1</v>
      </c>
      <c r="CM13">
        <f t="shared" si="4"/>
        <v>27</v>
      </c>
    </row>
    <row r="14" spans="1:91" x14ac:dyDescent="0.35">
      <c r="A14" t="s">
        <v>44</v>
      </c>
      <c r="B14" t="s">
        <v>26</v>
      </c>
      <c r="C14" t="s">
        <v>26</v>
      </c>
      <c r="D14" t="s">
        <v>26</v>
      </c>
      <c r="E14" t="s">
        <v>26</v>
      </c>
      <c r="F14">
        <v>5.5</v>
      </c>
      <c r="G14">
        <v>4.5</v>
      </c>
      <c r="H14">
        <v>6</v>
      </c>
      <c r="I14" t="s">
        <v>26</v>
      </c>
      <c r="J14" t="s">
        <v>26</v>
      </c>
      <c r="K14" t="s">
        <v>26</v>
      </c>
      <c r="L14" t="s">
        <v>26</v>
      </c>
      <c r="M14" t="s">
        <v>26</v>
      </c>
      <c r="N14" t="s">
        <v>26</v>
      </c>
      <c r="O14" t="s">
        <v>26</v>
      </c>
      <c r="P14" t="s">
        <v>26</v>
      </c>
      <c r="Q14">
        <v>6</v>
      </c>
      <c r="R14" t="s">
        <v>26</v>
      </c>
      <c r="S14">
        <v>6</v>
      </c>
      <c r="T14">
        <v>6</v>
      </c>
      <c r="U14" t="s">
        <v>26</v>
      </c>
      <c r="V14" t="s">
        <v>26</v>
      </c>
      <c r="W14" t="s">
        <v>26</v>
      </c>
      <c r="X14" t="s">
        <v>26</v>
      </c>
      <c r="Y14" t="s">
        <v>26</v>
      </c>
      <c r="Z14" t="s">
        <v>26</v>
      </c>
      <c r="AA14" t="s">
        <v>26</v>
      </c>
      <c r="AB14" t="s">
        <v>26</v>
      </c>
      <c r="AC14" t="s">
        <v>26</v>
      </c>
      <c r="AD14" t="s">
        <v>26</v>
      </c>
      <c r="AG14">
        <v>6.5</v>
      </c>
      <c r="AI14">
        <v>4</v>
      </c>
      <c r="AJ14">
        <v>3.5</v>
      </c>
      <c r="AK14">
        <v>3</v>
      </c>
      <c r="AL14">
        <v>5</v>
      </c>
      <c r="AN14">
        <v>5</v>
      </c>
      <c r="AO14">
        <v>5</v>
      </c>
      <c r="AW14">
        <v>4.5</v>
      </c>
      <c r="AX14">
        <v>4.5</v>
      </c>
      <c r="AY14">
        <v>4.5</v>
      </c>
      <c r="AZ14">
        <v>4.5</v>
      </c>
      <c r="BB14">
        <v>5.5</v>
      </c>
      <c r="BC14">
        <v>2.5</v>
      </c>
      <c r="BE14">
        <v>4</v>
      </c>
      <c r="BF14">
        <v>5</v>
      </c>
      <c r="BG14">
        <v>3.5</v>
      </c>
      <c r="BH14">
        <v>4</v>
      </c>
      <c r="BI14">
        <v>5</v>
      </c>
      <c r="BJ14">
        <v>4.5</v>
      </c>
      <c r="BK14">
        <v>5</v>
      </c>
      <c r="BL14">
        <v>4.5</v>
      </c>
      <c r="BO14">
        <v>4</v>
      </c>
      <c r="BP14">
        <v>5</v>
      </c>
      <c r="BQ14">
        <v>4.5</v>
      </c>
      <c r="BS14">
        <v>4.5</v>
      </c>
      <c r="BT14">
        <v>4.5</v>
      </c>
      <c r="BV14">
        <v>4</v>
      </c>
      <c r="BX14">
        <v>5</v>
      </c>
      <c r="CB14">
        <v>5</v>
      </c>
      <c r="CC14">
        <v>5.5</v>
      </c>
      <c r="CD14">
        <v>4.5</v>
      </c>
      <c r="CE14">
        <v>5.5</v>
      </c>
      <c r="CH14">
        <f t="shared" si="0"/>
        <v>38</v>
      </c>
      <c r="CI14" s="18">
        <f t="shared" si="1"/>
        <v>4.7236842105263159</v>
      </c>
      <c r="CJ14">
        <f t="shared" si="2"/>
        <v>0.8518451231286176</v>
      </c>
      <c r="CK14">
        <v>0</v>
      </c>
      <c r="CL14">
        <f t="shared" si="3"/>
        <v>1</v>
      </c>
      <c r="CM14">
        <f t="shared" si="4"/>
        <v>27</v>
      </c>
    </row>
    <row r="15" spans="1:91" x14ac:dyDescent="0.35">
      <c r="A15" t="s">
        <v>15</v>
      </c>
      <c r="B15">
        <v>7</v>
      </c>
      <c r="C15">
        <v>5.5</v>
      </c>
      <c r="D15" t="s">
        <v>26</v>
      </c>
      <c r="E15" t="s">
        <v>26</v>
      </c>
      <c r="F15" t="s">
        <v>26</v>
      </c>
      <c r="G15">
        <v>6</v>
      </c>
      <c r="H15">
        <v>4.5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>
        <v>6</v>
      </c>
      <c r="Q15">
        <v>5.5</v>
      </c>
      <c r="R15">
        <v>7</v>
      </c>
      <c r="S15">
        <v>6</v>
      </c>
      <c r="T15">
        <v>6</v>
      </c>
      <c r="U15">
        <v>7</v>
      </c>
      <c r="V15">
        <v>5.5</v>
      </c>
      <c r="W15">
        <v>6</v>
      </c>
      <c r="X15">
        <v>5.5</v>
      </c>
      <c r="Y15">
        <v>7</v>
      </c>
      <c r="Z15" t="s">
        <v>26</v>
      </c>
      <c r="AA15">
        <v>7</v>
      </c>
      <c r="AB15">
        <v>6</v>
      </c>
      <c r="AC15" t="s">
        <v>26</v>
      </c>
      <c r="AD15">
        <v>6</v>
      </c>
      <c r="BB15">
        <v>3.5</v>
      </c>
      <c r="BC15">
        <v>4</v>
      </c>
      <c r="BD15">
        <v>5</v>
      </c>
      <c r="BE15">
        <v>7</v>
      </c>
      <c r="BH15">
        <v>5</v>
      </c>
      <c r="BJ15">
        <v>4.5</v>
      </c>
      <c r="BK15">
        <v>5.5</v>
      </c>
      <c r="BL15">
        <v>5</v>
      </c>
      <c r="BM15">
        <v>5</v>
      </c>
      <c r="BN15">
        <v>5.5</v>
      </c>
      <c r="BR15">
        <v>5</v>
      </c>
      <c r="BS15">
        <v>5</v>
      </c>
      <c r="BW15">
        <v>5.5</v>
      </c>
      <c r="BX15">
        <v>5</v>
      </c>
      <c r="BY15">
        <v>5</v>
      </c>
      <c r="CA15">
        <v>4.5</v>
      </c>
      <c r="CB15">
        <v>5</v>
      </c>
      <c r="CC15">
        <v>5</v>
      </c>
      <c r="CH15">
        <f t="shared" si="0"/>
        <v>35</v>
      </c>
      <c r="CI15" s="18">
        <f t="shared" si="1"/>
        <v>5.5285714285714285</v>
      </c>
      <c r="CJ15">
        <f t="shared" si="2"/>
        <v>0.89066116504783599</v>
      </c>
      <c r="CK15">
        <v>1</v>
      </c>
      <c r="CL15">
        <f t="shared" si="3"/>
        <v>2</v>
      </c>
      <c r="CM15">
        <f t="shared" si="4"/>
        <v>54</v>
      </c>
    </row>
    <row r="16" spans="1:91" x14ac:dyDescent="0.35">
      <c r="A16" t="s">
        <v>56</v>
      </c>
      <c r="B16" t="s">
        <v>26</v>
      </c>
      <c r="C16" t="s">
        <v>26</v>
      </c>
      <c r="D16" t="s">
        <v>26</v>
      </c>
      <c r="E16" t="s">
        <v>26</v>
      </c>
      <c r="F16" t="s">
        <v>26</v>
      </c>
      <c r="G16" t="s">
        <v>26</v>
      </c>
      <c r="H16" t="s">
        <v>26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7</v>
      </c>
      <c r="T16" t="s">
        <v>26</v>
      </c>
      <c r="U16" t="s">
        <v>26</v>
      </c>
      <c r="V16">
        <v>7</v>
      </c>
      <c r="W16" t="s">
        <v>26</v>
      </c>
      <c r="X16">
        <v>6</v>
      </c>
      <c r="Y16">
        <v>7</v>
      </c>
      <c r="Z16">
        <v>7</v>
      </c>
      <c r="AA16" t="s">
        <v>26</v>
      </c>
      <c r="AB16">
        <v>7</v>
      </c>
      <c r="AC16">
        <v>4.5</v>
      </c>
      <c r="AD16">
        <v>7</v>
      </c>
      <c r="AE16">
        <v>6</v>
      </c>
      <c r="AF16">
        <v>5</v>
      </c>
      <c r="AG16">
        <v>6.5</v>
      </c>
      <c r="AH16">
        <v>6.5</v>
      </c>
      <c r="AI16">
        <v>6.5</v>
      </c>
      <c r="AJ16">
        <v>5</v>
      </c>
      <c r="AK16">
        <v>5</v>
      </c>
      <c r="AL16">
        <v>6</v>
      </c>
      <c r="AM16">
        <v>5</v>
      </c>
      <c r="AO16">
        <v>5</v>
      </c>
      <c r="AP16">
        <v>5.5</v>
      </c>
      <c r="AQ16">
        <v>4.5</v>
      </c>
      <c r="AR16">
        <v>5</v>
      </c>
      <c r="AS16">
        <v>5</v>
      </c>
      <c r="AT16">
        <v>5</v>
      </c>
      <c r="AU16">
        <v>6</v>
      </c>
      <c r="AV16">
        <v>4.5</v>
      </c>
      <c r="AW16">
        <v>5</v>
      </c>
      <c r="BP16">
        <v>5</v>
      </c>
      <c r="BQ16">
        <v>5</v>
      </c>
      <c r="BR16">
        <v>5.5</v>
      </c>
      <c r="BS16">
        <v>5.5</v>
      </c>
      <c r="BV16">
        <v>5</v>
      </c>
      <c r="BW16">
        <v>5.5</v>
      </c>
      <c r="BY16">
        <v>4.5</v>
      </c>
      <c r="CA16">
        <v>5</v>
      </c>
      <c r="CB16">
        <v>5.5</v>
      </c>
      <c r="CC16">
        <v>6</v>
      </c>
      <c r="CD16">
        <v>6</v>
      </c>
      <c r="CE16">
        <v>6</v>
      </c>
      <c r="CF16">
        <v>6.5</v>
      </c>
      <c r="CH16">
        <f t="shared" si="0"/>
        <v>40</v>
      </c>
      <c r="CI16" s="18">
        <f t="shared" si="1"/>
        <v>5.65</v>
      </c>
      <c r="CJ16">
        <f t="shared" si="2"/>
        <v>0.81019149366693188</v>
      </c>
      <c r="CK16">
        <v>1</v>
      </c>
      <c r="CL16">
        <f t="shared" si="3"/>
        <v>2</v>
      </c>
      <c r="CM16">
        <f t="shared" si="4"/>
        <v>54</v>
      </c>
    </row>
    <row r="17" spans="1:91" x14ac:dyDescent="0.35">
      <c r="A17" t="s">
        <v>46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>
        <v>6</v>
      </c>
      <c r="I17">
        <v>5.5</v>
      </c>
      <c r="J17">
        <v>5.5</v>
      </c>
      <c r="K17">
        <v>4</v>
      </c>
      <c r="L17" t="s">
        <v>26</v>
      </c>
      <c r="M17">
        <v>4</v>
      </c>
      <c r="N17">
        <v>4.5</v>
      </c>
      <c r="O17">
        <v>7.5</v>
      </c>
      <c r="P17">
        <v>7</v>
      </c>
      <c r="Q17">
        <v>4.5</v>
      </c>
      <c r="R17" t="s">
        <v>26</v>
      </c>
      <c r="S17" t="s">
        <v>26</v>
      </c>
      <c r="T17" t="s">
        <v>26</v>
      </c>
      <c r="U17">
        <v>5.5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 t="s">
        <v>26</v>
      </c>
      <c r="AC17" t="s">
        <v>26</v>
      </c>
      <c r="AD17" t="s">
        <v>26</v>
      </c>
      <c r="AH17">
        <v>5</v>
      </c>
      <c r="AI17">
        <v>5.5</v>
      </c>
      <c r="AJ17">
        <v>3.5</v>
      </c>
      <c r="BF17">
        <v>3.5</v>
      </c>
      <c r="BG17">
        <v>4.5</v>
      </c>
      <c r="BH17">
        <v>4</v>
      </c>
      <c r="BI17">
        <v>5</v>
      </c>
      <c r="BJ17">
        <v>3.5</v>
      </c>
      <c r="BK17">
        <v>4</v>
      </c>
      <c r="BL17">
        <v>5</v>
      </c>
      <c r="BO17">
        <v>5</v>
      </c>
      <c r="BQ17">
        <v>7</v>
      </c>
      <c r="BR17">
        <v>4.5</v>
      </c>
      <c r="BT17">
        <v>5</v>
      </c>
      <c r="BU17">
        <v>5.5</v>
      </c>
      <c r="BV17">
        <v>4.5</v>
      </c>
      <c r="BX17">
        <v>5</v>
      </c>
      <c r="BY17">
        <v>5</v>
      </c>
      <c r="CA17">
        <v>5</v>
      </c>
      <c r="CB17">
        <v>5</v>
      </c>
      <c r="CC17">
        <v>4</v>
      </c>
      <c r="CD17">
        <v>6.5</v>
      </c>
      <c r="CE17">
        <v>6</v>
      </c>
      <c r="CF17">
        <v>6</v>
      </c>
      <c r="CH17">
        <f t="shared" si="0"/>
        <v>34</v>
      </c>
      <c r="CI17" s="18">
        <f t="shared" si="1"/>
        <v>5.0441176470588234</v>
      </c>
      <c r="CJ17">
        <f t="shared" si="2"/>
        <v>1.010307836816922</v>
      </c>
      <c r="CK17">
        <v>1</v>
      </c>
      <c r="CL17">
        <f t="shared" si="3"/>
        <v>2</v>
      </c>
      <c r="CM17">
        <f t="shared" si="4"/>
        <v>54</v>
      </c>
    </row>
    <row r="18" spans="1:91" x14ac:dyDescent="0.35">
      <c r="A18" t="s">
        <v>2</v>
      </c>
      <c r="B18">
        <v>7</v>
      </c>
      <c r="C18" t="s">
        <v>26</v>
      </c>
      <c r="D18">
        <v>4.5</v>
      </c>
      <c r="E18">
        <v>4.5</v>
      </c>
      <c r="F18">
        <v>5.5</v>
      </c>
      <c r="G18">
        <v>5.5</v>
      </c>
      <c r="H18">
        <v>7</v>
      </c>
      <c r="I18" t="s">
        <v>26</v>
      </c>
      <c r="J18">
        <v>6</v>
      </c>
      <c r="K18">
        <v>6</v>
      </c>
      <c r="L18">
        <v>5.5</v>
      </c>
      <c r="M18">
        <v>6</v>
      </c>
      <c r="N18" t="s">
        <v>26</v>
      </c>
      <c r="O18">
        <v>5.5</v>
      </c>
      <c r="P18">
        <v>6</v>
      </c>
      <c r="Q18">
        <v>4.5</v>
      </c>
      <c r="R18">
        <v>6</v>
      </c>
      <c r="S18">
        <v>7</v>
      </c>
      <c r="T18">
        <v>5.5</v>
      </c>
      <c r="U18">
        <v>5.5</v>
      </c>
      <c r="V18">
        <v>5.5</v>
      </c>
      <c r="W18">
        <v>5.5</v>
      </c>
      <c r="X18">
        <v>6</v>
      </c>
      <c r="Y18">
        <v>5.5</v>
      </c>
      <c r="Z18" t="s">
        <v>26</v>
      </c>
      <c r="AA18">
        <v>7</v>
      </c>
      <c r="AB18">
        <v>6</v>
      </c>
      <c r="AC18">
        <v>6</v>
      </c>
      <c r="AD18" t="s">
        <v>26</v>
      </c>
      <c r="AE18">
        <v>7</v>
      </c>
      <c r="AH18">
        <v>6.5</v>
      </c>
      <c r="AI18">
        <v>4.5</v>
      </c>
      <c r="AK18">
        <v>5</v>
      </c>
      <c r="AL18">
        <v>5</v>
      </c>
      <c r="AM18">
        <v>5.5</v>
      </c>
      <c r="AN18">
        <v>4</v>
      </c>
      <c r="AT18">
        <v>4.5</v>
      </c>
      <c r="AZ18">
        <v>4.5</v>
      </c>
      <c r="BC18">
        <v>4</v>
      </c>
      <c r="BG18">
        <v>4.5</v>
      </c>
      <c r="BH18">
        <v>5.5</v>
      </c>
      <c r="BI18">
        <v>5</v>
      </c>
      <c r="BJ18">
        <v>4.5</v>
      </c>
      <c r="BK18">
        <v>4.5</v>
      </c>
      <c r="BL18">
        <v>4.5</v>
      </c>
      <c r="BM18">
        <v>5</v>
      </c>
      <c r="BN18">
        <v>5.5</v>
      </c>
      <c r="BQ18">
        <v>5</v>
      </c>
      <c r="BW18">
        <v>5</v>
      </c>
      <c r="BY18">
        <v>4</v>
      </c>
      <c r="BZ18">
        <v>5</v>
      </c>
      <c r="CA18">
        <v>5</v>
      </c>
      <c r="CB18">
        <v>4.5</v>
      </c>
      <c r="CC18">
        <v>7</v>
      </c>
      <c r="CD18">
        <v>5</v>
      </c>
      <c r="CE18">
        <v>6.5</v>
      </c>
      <c r="CF18">
        <v>5.5</v>
      </c>
      <c r="CH18">
        <f t="shared" si="0"/>
        <v>52</v>
      </c>
      <c r="CI18" s="18">
        <f t="shared" si="1"/>
        <v>5.4038461538461542</v>
      </c>
      <c r="CJ18">
        <f t="shared" si="2"/>
        <v>0.85197844455415417</v>
      </c>
      <c r="CK18">
        <v>1</v>
      </c>
      <c r="CL18">
        <f t="shared" si="3"/>
        <v>3</v>
      </c>
      <c r="CM18">
        <f t="shared" si="4"/>
        <v>81</v>
      </c>
    </row>
    <row r="19" spans="1:91" x14ac:dyDescent="0.35">
      <c r="A19" t="s">
        <v>84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 t="s">
        <v>26</v>
      </c>
      <c r="R19" t="s">
        <v>26</v>
      </c>
      <c r="S19" t="s">
        <v>26</v>
      </c>
      <c r="T19" t="s">
        <v>26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>
        <v>4.5</v>
      </c>
      <c r="AC19">
        <v>6</v>
      </c>
      <c r="AD19" t="s">
        <v>26</v>
      </c>
      <c r="AE19">
        <v>6.5</v>
      </c>
      <c r="AF19">
        <v>6</v>
      </c>
      <c r="AG19">
        <v>6.5</v>
      </c>
      <c r="AH19">
        <v>5</v>
      </c>
      <c r="AI19">
        <v>5.5</v>
      </c>
      <c r="AL19">
        <v>5</v>
      </c>
      <c r="AO19">
        <v>5.5</v>
      </c>
      <c r="AP19">
        <v>6</v>
      </c>
      <c r="AQ19">
        <v>5.5</v>
      </c>
      <c r="AT19">
        <v>4.5</v>
      </c>
      <c r="AU19">
        <v>5</v>
      </c>
      <c r="AV19">
        <v>5</v>
      </c>
      <c r="AW19">
        <v>4.5</v>
      </c>
      <c r="AX19">
        <v>5</v>
      </c>
      <c r="AZ19">
        <v>5</v>
      </c>
      <c r="BA19">
        <v>5.5</v>
      </c>
      <c r="BB19">
        <v>5.5</v>
      </c>
      <c r="BC19">
        <v>4</v>
      </c>
      <c r="BD19">
        <v>4.5</v>
      </c>
      <c r="BE19">
        <v>4.5</v>
      </c>
      <c r="BF19">
        <v>4.5</v>
      </c>
      <c r="BG19">
        <v>5</v>
      </c>
      <c r="BI19">
        <v>4.5</v>
      </c>
      <c r="BL19">
        <v>5</v>
      </c>
      <c r="BM19">
        <v>5</v>
      </c>
      <c r="BN19">
        <v>5.5</v>
      </c>
      <c r="BO19">
        <v>5</v>
      </c>
      <c r="BQ19">
        <v>5</v>
      </c>
      <c r="BR19">
        <v>4.5</v>
      </c>
      <c r="BW19">
        <v>5</v>
      </c>
      <c r="CA19">
        <v>5</v>
      </c>
      <c r="CB19">
        <v>5.5</v>
      </c>
      <c r="CC19">
        <v>6</v>
      </c>
      <c r="CD19">
        <v>5.5</v>
      </c>
      <c r="CH19">
        <f t="shared" si="0"/>
        <v>36</v>
      </c>
      <c r="CI19" s="18">
        <f t="shared" si="1"/>
        <v>5.166666666666667</v>
      </c>
      <c r="CJ19">
        <f t="shared" si="2"/>
        <v>0.59761430466719678</v>
      </c>
      <c r="CK19">
        <v>0</v>
      </c>
      <c r="CL19">
        <f t="shared" si="3"/>
        <v>2</v>
      </c>
      <c r="CM19">
        <f t="shared" si="4"/>
        <v>54</v>
      </c>
    </row>
    <row r="20" spans="1:91" x14ac:dyDescent="0.35">
      <c r="A20" t="s">
        <v>20</v>
      </c>
      <c r="B20" t="s">
        <v>26</v>
      </c>
      <c r="C20" t="s">
        <v>26</v>
      </c>
      <c r="D20">
        <v>7</v>
      </c>
      <c r="E20">
        <v>7</v>
      </c>
      <c r="F20">
        <v>7</v>
      </c>
      <c r="G20">
        <v>7</v>
      </c>
      <c r="H20">
        <v>7.5</v>
      </c>
      <c r="I20">
        <v>7</v>
      </c>
      <c r="J20">
        <v>7.5</v>
      </c>
      <c r="K20">
        <v>7</v>
      </c>
      <c r="L20">
        <v>6</v>
      </c>
      <c r="M20">
        <v>5.5</v>
      </c>
      <c r="N20">
        <v>5.5</v>
      </c>
      <c r="O20" t="s">
        <v>26</v>
      </c>
      <c r="P20">
        <v>7</v>
      </c>
      <c r="Q20">
        <v>4.5</v>
      </c>
      <c r="R20">
        <v>6</v>
      </c>
      <c r="S20">
        <v>7</v>
      </c>
      <c r="T20">
        <v>6</v>
      </c>
      <c r="U20">
        <v>7</v>
      </c>
      <c r="V20">
        <v>6</v>
      </c>
      <c r="W20">
        <v>6</v>
      </c>
      <c r="X20">
        <v>5.5</v>
      </c>
      <c r="Y20">
        <v>6</v>
      </c>
      <c r="Z20">
        <v>6</v>
      </c>
      <c r="AA20">
        <v>7</v>
      </c>
      <c r="AB20">
        <v>5.5</v>
      </c>
      <c r="AC20">
        <v>6</v>
      </c>
      <c r="AD20">
        <v>7</v>
      </c>
      <c r="AE20">
        <v>6</v>
      </c>
      <c r="AF20">
        <v>6</v>
      </c>
      <c r="AG20">
        <v>6.5</v>
      </c>
      <c r="AI20">
        <v>5.5</v>
      </c>
      <c r="AJ20">
        <v>5</v>
      </c>
      <c r="AK20">
        <v>5.5</v>
      </c>
      <c r="AL20">
        <v>5</v>
      </c>
      <c r="AM20">
        <v>5</v>
      </c>
      <c r="AN20">
        <v>5.5</v>
      </c>
      <c r="AP20">
        <v>5</v>
      </c>
      <c r="AQ20">
        <v>4.5</v>
      </c>
      <c r="AR20">
        <v>4.5</v>
      </c>
      <c r="AT20">
        <v>5.5</v>
      </c>
      <c r="AU20">
        <v>5.5</v>
      </c>
      <c r="AV20">
        <v>5</v>
      </c>
      <c r="AW20">
        <v>4.5</v>
      </c>
      <c r="AX20">
        <v>4.5</v>
      </c>
      <c r="AY20">
        <v>5</v>
      </c>
      <c r="AZ20">
        <v>5.5</v>
      </c>
      <c r="BB20">
        <v>4.5</v>
      </c>
      <c r="BC20">
        <v>6</v>
      </c>
      <c r="BD20">
        <v>5.5</v>
      </c>
      <c r="BE20">
        <v>4</v>
      </c>
      <c r="BF20">
        <v>4.5</v>
      </c>
      <c r="BG20">
        <v>5.5</v>
      </c>
      <c r="BH20">
        <v>5</v>
      </c>
      <c r="BI20">
        <v>5</v>
      </c>
      <c r="BJ20">
        <v>5.5</v>
      </c>
      <c r="BM20">
        <v>4</v>
      </c>
      <c r="BN20">
        <v>5.5</v>
      </c>
      <c r="BO20">
        <v>4.5</v>
      </c>
      <c r="BP20">
        <v>5</v>
      </c>
      <c r="BQ20">
        <v>5</v>
      </c>
      <c r="BR20">
        <v>5</v>
      </c>
      <c r="BT20">
        <v>5.5</v>
      </c>
      <c r="BZ20">
        <v>5</v>
      </c>
      <c r="CA20">
        <v>5</v>
      </c>
      <c r="CC20">
        <v>6.5</v>
      </c>
      <c r="CD20">
        <v>7</v>
      </c>
      <c r="CF20">
        <v>5.5</v>
      </c>
      <c r="CH20">
        <f t="shared" si="0"/>
        <v>66</v>
      </c>
      <c r="CI20" s="18">
        <f t="shared" si="1"/>
        <v>5.6818181818181817</v>
      </c>
      <c r="CJ20">
        <f t="shared" si="2"/>
        <v>0.9056929503312493</v>
      </c>
      <c r="CK20">
        <v>1</v>
      </c>
      <c r="CL20">
        <f t="shared" si="3"/>
        <v>2</v>
      </c>
      <c r="CM20">
        <f t="shared" si="4"/>
        <v>54</v>
      </c>
    </row>
    <row r="21" spans="1:91" x14ac:dyDescent="0.35">
      <c r="A21" t="s">
        <v>55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>
        <v>6</v>
      </c>
      <c r="P21" t="s">
        <v>26</v>
      </c>
      <c r="Q21">
        <v>4.5</v>
      </c>
      <c r="R21" t="s">
        <v>26</v>
      </c>
      <c r="S21" t="s">
        <v>26</v>
      </c>
      <c r="T21">
        <v>7</v>
      </c>
      <c r="U21">
        <v>7</v>
      </c>
      <c r="V21">
        <v>6</v>
      </c>
      <c r="W21">
        <v>6</v>
      </c>
      <c r="X21">
        <v>6</v>
      </c>
      <c r="Y21">
        <v>7.5</v>
      </c>
      <c r="Z21">
        <v>6</v>
      </c>
      <c r="AA21">
        <v>6</v>
      </c>
      <c r="AB21" t="s">
        <v>26</v>
      </c>
      <c r="AC21">
        <v>6</v>
      </c>
      <c r="AD21">
        <v>7</v>
      </c>
      <c r="AF21">
        <v>7</v>
      </c>
      <c r="AG21">
        <v>7</v>
      </c>
      <c r="AQ21">
        <v>7</v>
      </c>
      <c r="AR21">
        <v>6.5</v>
      </c>
      <c r="AS21">
        <v>5</v>
      </c>
      <c r="AT21">
        <v>5</v>
      </c>
      <c r="AU21">
        <v>5</v>
      </c>
      <c r="AV21">
        <v>5</v>
      </c>
      <c r="AW21">
        <v>5</v>
      </c>
      <c r="AZ21">
        <v>5.5</v>
      </c>
      <c r="BC21">
        <v>4.5</v>
      </c>
      <c r="BE21">
        <v>5.5</v>
      </c>
      <c r="BF21">
        <v>5.5</v>
      </c>
      <c r="BH21">
        <v>5.5</v>
      </c>
      <c r="BJ21">
        <v>5</v>
      </c>
      <c r="BM21">
        <v>5</v>
      </c>
      <c r="BN21">
        <v>4.5</v>
      </c>
      <c r="BO21">
        <v>5.5</v>
      </c>
      <c r="BQ21">
        <v>5</v>
      </c>
      <c r="BR21">
        <v>6</v>
      </c>
      <c r="BS21">
        <v>5.5</v>
      </c>
      <c r="BT21">
        <v>5.5</v>
      </c>
      <c r="BU21">
        <v>5</v>
      </c>
      <c r="BX21">
        <v>5</v>
      </c>
      <c r="BZ21">
        <v>5</v>
      </c>
      <c r="CA21">
        <v>5.5</v>
      </c>
      <c r="CH21">
        <f t="shared" si="0"/>
        <v>38</v>
      </c>
      <c r="CI21" s="18">
        <f t="shared" si="1"/>
        <v>5.6973684210526319</v>
      </c>
      <c r="CJ21">
        <f t="shared" si="2"/>
        <v>0.81820067653597328</v>
      </c>
      <c r="CK21">
        <v>1</v>
      </c>
      <c r="CL21">
        <f t="shared" si="3"/>
        <v>2</v>
      </c>
      <c r="CM21">
        <f t="shared" si="4"/>
        <v>54</v>
      </c>
    </row>
    <row r="22" spans="1:91" x14ac:dyDescent="0.35">
      <c r="A22" t="s">
        <v>14</v>
      </c>
      <c r="B22">
        <v>7</v>
      </c>
      <c r="C22" t="s">
        <v>26</v>
      </c>
      <c r="D22">
        <v>7.5</v>
      </c>
      <c r="E22" t="s">
        <v>26</v>
      </c>
      <c r="F22">
        <v>6</v>
      </c>
      <c r="G22">
        <v>7</v>
      </c>
      <c r="H22">
        <v>4.5</v>
      </c>
      <c r="I22">
        <v>5.5</v>
      </c>
      <c r="J22" t="s">
        <v>26</v>
      </c>
      <c r="K22">
        <v>6</v>
      </c>
      <c r="L22">
        <v>6</v>
      </c>
      <c r="M22">
        <v>6</v>
      </c>
      <c r="N22" t="s">
        <v>26</v>
      </c>
      <c r="O22">
        <v>6</v>
      </c>
      <c r="P22">
        <v>5.5</v>
      </c>
      <c r="Q22">
        <v>5.5</v>
      </c>
      <c r="R22">
        <v>6</v>
      </c>
      <c r="S22">
        <v>4.5</v>
      </c>
      <c r="T22">
        <v>7</v>
      </c>
      <c r="U22" t="s">
        <v>26</v>
      </c>
      <c r="V22">
        <v>6</v>
      </c>
      <c r="W22" t="s">
        <v>26</v>
      </c>
      <c r="X22">
        <v>7</v>
      </c>
      <c r="Y22">
        <v>6</v>
      </c>
      <c r="Z22" t="s">
        <v>26</v>
      </c>
      <c r="AA22">
        <v>6</v>
      </c>
      <c r="AB22">
        <v>5.5</v>
      </c>
      <c r="AC22">
        <v>6</v>
      </c>
      <c r="AD22">
        <v>5.5</v>
      </c>
      <c r="AI22">
        <v>5</v>
      </c>
      <c r="AL22">
        <v>5.5</v>
      </c>
      <c r="AM22">
        <v>5</v>
      </c>
      <c r="AN22">
        <v>5</v>
      </c>
      <c r="AO22">
        <v>5</v>
      </c>
      <c r="AP22">
        <v>5</v>
      </c>
      <c r="AQ22">
        <v>5</v>
      </c>
      <c r="AR22">
        <v>4.5</v>
      </c>
      <c r="AS22">
        <v>5.5</v>
      </c>
      <c r="AT22">
        <v>5.5</v>
      </c>
      <c r="AV22">
        <v>5</v>
      </c>
      <c r="AY22">
        <v>4.5</v>
      </c>
      <c r="AZ22">
        <v>5</v>
      </c>
      <c r="BB22">
        <v>5</v>
      </c>
      <c r="BC22">
        <v>6</v>
      </c>
      <c r="BD22">
        <v>6</v>
      </c>
      <c r="BE22">
        <v>6</v>
      </c>
      <c r="BF22">
        <v>5</v>
      </c>
      <c r="BG22">
        <v>5.5</v>
      </c>
      <c r="BH22">
        <v>5</v>
      </c>
      <c r="BI22">
        <v>5</v>
      </c>
      <c r="BK22">
        <v>5.5</v>
      </c>
      <c r="BL22">
        <v>5</v>
      </c>
      <c r="BM22">
        <v>5</v>
      </c>
      <c r="BN22">
        <v>5.5</v>
      </c>
      <c r="BO22">
        <v>4.5</v>
      </c>
      <c r="BP22">
        <v>4.5</v>
      </c>
      <c r="BQ22">
        <v>5</v>
      </c>
      <c r="BR22">
        <v>4.5</v>
      </c>
      <c r="CF22">
        <v>5.5</v>
      </c>
      <c r="CH22">
        <f t="shared" si="0"/>
        <v>52</v>
      </c>
      <c r="CI22" s="18">
        <f t="shared" si="1"/>
        <v>5.5</v>
      </c>
      <c r="CJ22">
        <f t="shared" si="2"/>
        <v>0.72760687510899891</v>
      </c>
      <c r="CK22">
        <v>0</v>
      </c>
      <c r="CL22">
        <f t="shared" si="3"/>
        <v>0</v>
      </c>
      <c r="CM22">
        <f t="shared" si="4"/>
        <v>0</v>
      </c>
    </row>
    <row r="23" spans="1:91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D23">
        <v>6</v>
      </c>
      <c r="CH23">
        <f t="shared" si="0"/>
        <v>24</v>
      </c>
      <c r="CI23" s="18">
        <f t="shared" si="1"/>
        <v>5.125</v>
      </c>
      <c r="CJ23">
        <f t="shared" si="2"/>
        <v>0.76966960726523825</v>
      </c>
      <c r="CK23">
        <v>0</v>
      </c>
      <c r="CL23">
        <f t="shared" si="3"/>
        <v>1</v>
      </c>
      <c r="CM23">
        <f t="shared" si="4"/>
        <v>27</v>
      </c>
    </row>
    <row r="24" spans="1:91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CH24">
        <f t="shared" si="0"/>
        <v>19</v>
      </c>
      <c r="CI24" s="18">
        <f t="shared" si="1"/>
        <v>5.8421052631578947</v>
      </c>
      <c r="CJ24">
        <f t="shared" si="2"/>
        <v>0.95819030206465661</v>
      </c>
      <c r="CK24">
        <v>0</v>
      </c>
      <c r="CL24">
        <f t="shared" si="3"/>
        <v>0</v>
      </c>
      <c r="CM24">
        <f t="shared" si="4"/>
        <v>0</v>
      </c>
    </row>
    <row r="25" spans="1:91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CH25">
        <f t="shared" si="0"/>
        <v>17</v>
      </c>
      <c r="CI25" s="18">
        <f t="shared" si="1"/>
        <v>5.4411764705882355</v>
      </c>
      <c r="CJ25">
        <f t="shared" si="2"/>
        <v>1.0880365478290537</v>
      </c>
      <c r="CK25">
        <v>0</v>
      </c>
      <c r="CL25">
        <f t="shared" si="3"/>
        <v>0</v>
      </c>
      <c r="CM25">
        <f t="shared" si="4"/>
        <v>0</v>
      </c>
    </row>
    <row r="26" spans="1:91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BZ26">
        <v>5</v>
      </c>
      <c r="CB26">
        <v>5.5</v>
      </c>
      <c r="CE26">
        <v>6</v>
      </c>
      <c r="CF26">
        <v>7</v>
      </c>
      <c r="CH26">
        <f t="shared" si="0"/>
        <v>22</v>
      </c>
      <c r="CI26" s="18">
        <f t="shared" si="1"/>
        <v>5.7954545454545459</v>
      </c>
      <c r="CJ26">
        <f t="shared" si="2"/>
        <v>0.94691341824108899</v>
      </c>
      <c r="CK26">
        <v>0</v>
      </c>
      <c r="CL26">
        <f t="shared" si="3"/>
        <v>2</v>
      </c>
      <c r="CM26">
        <f t="shared" si="4"/>
        <v>54</v>
      </c>
    </row>
    <row r="27" spans="1:91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CH27">
        <f t="shared" si="0"/>
        <v>16</v>
      </c>
      <c r="CI27" s="18">
        <f t="shared" si="1"/>
        <v>4.5</v>
      </c>
      <c r="CJ27">
        <f t="shared" si="2"/>
        <v>1.0165300454651272</v>
      </c>
      <c r="CK27">
        <v>0</v>
      </c>
      <c r="CL27">
        <f t="shared" si="3"/>
        <v>0</v>
      </c>
      <c r="CM27">
        <f t="shared" si="4"/>
        <v>0</v>
      </c>
    </row>
    <row r="28" spans="1:91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W28">
        <v>5.5</v>
      </c>
      <c r="BY28">
        <v>5.5</v>
      </c>
      <c r="CH28">
        <f t="shared" si="0"/>
        <v>18</v>
      </c>
      <c r="CI28" s="18">
        <f t="shared" si="1"/>
        <v>5.2222222222222223</v>
      </c>
      <c r="CJ28">
        <f t="shared" si="2"/>
        <v>0.49176220407782173</v>
      </c>
      <c r="CK28">
        <v>0</v>
      </c>
      <c r="CL28">
        <f t="shared" si="3"/>
        <v>0</v>
      </c>
      <c r="CM28">
        <f t="shared" si="4"/>
        <v>0</v>
      </c>
    </row>
    <row r="29" spans="1:91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H29">
        <f t="shared" si="0"/>
        <v>16</v>
      </c>
      <c r="CI29" s="18">
        <f t="shared" si="1"/>
        <v>6.125</v>
      </c>
      <c r="CJ29">
        <f t="shared" si="2"/>
        <v>0.84656167328001963</v>
      </c>
      <c r="CK29">
        <v>0</v>
      </c>
      <c r="CL29">
        <f t="shared" si="3"/>
        <v>0</v>
      </c>
      <c r="CM29">
        <f t="shared" si="4"/>
        <v>0</v>
      </c>
    </row>
    <row r="30" spans="1:91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B30">
        <v>5</v>
      </c>
      <c r="CH30">
        <f t="shared" si="0"/>
        <v>15</v>
      </c>
      <c r="CI30" s="18">
        <f t="shared" si="1"/>
        <v>4.5333333333333332</v>
      </c>
      <c r="CJ30">
        <f t="shared" si="2"/>
        <v>1.7471064513592047</v>
      </c>
      <c r="CK30">
        <v>1</v>
      </c>
      <c r="CL30">
        <f t="shared" si="3"/>
        <v>2</v>
      </c>
      <c r="CM30">
        <f t="shared" si="4"/>
        <v>54</v>
      </c>
    </row>
    <row r="31" spans="1:91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CH31">
        <f t="shared" si="0"/>
        <v>13</v>
      </c>
      <c r="CI31" s="18">
        <f t="shared" si="1"/>
        <v>6.9230769230769234</v>
      </c>
      <c r="CJ31">
        <f t="shared" si="2"/>
        <v>1.1336914969498575</v>
      </c>
      <c r="CK31">
        <v>0</v>
      </c>
      <c r="CL31">
        <f t="shared" si="3"/>
        <v>0</v>
      </c>
      <c r="CM31">
        <f t="shared" si="4"/>
        <v>0</v>
      </c>
    </row>
    <row r="32" spans="1:91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CH32">
        <f t="shared" si="0"/>
        <v>11</v>
      </c>
      <c r="CI32" s="18">
        <f t="shared" si="1"/>
        <v>4.9545454545454541</v>
      </c>
      <c r="CJ32">
        <f t="shared" si="2"/>
        <v>0.61051394146839499</v>
      </c>
      <c r="CK32">
        <v>0</v>
      </c>
      <c r="CL32">
        <f t="shared" si="3"/>
        <v>0</v>
      </c>
      <c r="CM32">
        <f t="shared" si="4"/>
        <v>0</v>
      </c>
    </row>
    <row r="33" spans="1:91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Y33">
        <v>5</v>
      </c>
      <c r="CF33">
        <v>5.5</v>
      </c>
      <c r="CH33">
        <f t="shared" si="0"/>
        <v>13</v>
      </c>
      <c r="CI33" s="18">
        <f t="shared" si="1"/>
        <v>4.7307692307692308</v>
      </c>
      <c r="CJ33">
        <f t="shared" si="2"/>
        <v>0.56330071214910904</v>
      </c>
      <c r="CK33">
        <v>0</v>
      </c>
      <c r="CL33">
        <f t="shared" si="3"/>
        <v>0</v>
      </c>
      <c r="CM33">
        <f t="shared" si="4"/>
        <v>0</v>
      </c>
    </row>
    <row r="34" spans="1:91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C34">
        <v>6</v>
      </c>
      <c r="CH34">
        <f t="shared" ref="CH34:CH65" si="5">COUNT(B34:CG34)</f>
        <v>10</v>
      </c>
      <c r="CI34" s="18">
        <f t="shared" ref="CI34:CI65" si="6">AVERAGE(B34:CG34)</f>
        <v>7.8</v>
      </c>
      <c r="CJ34">
        <f t="shared" ref="CJ34:CJ65" si="7">IF(CH34&gt;1,_xlfn.STDEV.S(B34:CG34),"")</f>
        <v>0.85634883857767674</v>
      </c>
      <c r="CK34">
        <v>0</v>
      </c>
      <c r="CL34">
        <f t="shared" si="3"/>
        <v>0</v>
      </c>
      <c r="CM34">
        <f t="shared" si="4"/>
        <v>0</v>
      </c>
    </row>
    <row r="35" spans="1:91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H35">
        <f t="shared" si="5"/>
        <v>8</v>
      </c>
      <c r="CI35" s="18">
        <f t="shared" si="6"/>
        <v>4.1875</v>
      </c>
      <c r="CJ35">
        <f t="shared" si="7"/>
        <v>1.0669549461635468</v>
      </c>
      <c r="CK35">
        <v>0</v>
      </c>
      <c r="CL35">
        <f t="shared" si="3"/>
        <v>0</v>
      </c>
      <c r="CM35">
        <f t="shared" si="4"/>
        <v>0</v>
      </c>
    </row>
    <row r="36" spans="1:91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H36">
        <f t="shared" si="5"/>
        <v>7</v>
      </c>
      <c r="CI36" s="18">
        <f t="shared" si="6"/>
        <v>5.0714285714285712</v>
      </c>
      <c r="CJ36">
        <f t="shared" si="7"/>
        <v>0.34503277967117707</v>
      </c>
      <c r="CK36">
        <v>0</v>
      </c>
      <c r="CL36">
        <f t="shared" si="3"/>
        <v>0</v>
      </c>
      <c r="CM36">
        <f t="shared" si="4"/>
        <v>0</v>
      </c>
    </row>
    <row r="37" spans="1:91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CH37">
        <f t="shared" si="5"/>
        <v>4</v>
      </c>
      <c r="CI37" s="18">
        <f t="shared" si="6"/>
        <v>7.625</v>
      </c>
      <c r="CJ37">
        <f t="shared" si="7"/>
        <v>0.62915286960589578</v>
      </c>
      <c r="CK37">
        <v>0</v>
      </c>
      <c r="CL37">
        <f t="shared" si="3"/>
        <v>0</v>
      </c>
      <c r="CM37">
        <f t="shared" si="4"/>
        <v>0</v>
      </c>
    </row>
    <row r="38" spans="1:91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CH38">
        <f t="shared" si="5"/>
        <v>4</v>
      </c>
      <c r="CI38" s="18">
        <f t="shared" si="6"/>
        <v>6</v>
      </c>
      <c r="CJ38">
        <f t="shared" si="7"/>
        <v>0.70710678118654757</v>
      </c>
      <c r="CK38">
        <v>0</v>
      </c>
      <c r="CL38">
        <f t="shared" si="3"/>
        <v>0</v>
      </c>
      <c r="CM38">
        <f t="shared" si="4"/>
        <v>0</v>
      </c>
    </row>
    <row r="39" spans="1:91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CH39">
        <f t="shared" si="5"/>
        <v>4</v>
      </c>
      <c r="CI39" s="18">
        <f t="shared" si="6"/>
        <v>6.5</v>
      </c>
      <c r="CJ39">
        <f t="shared" si="7"/>
        <v>0.9128709291752769</v>
      </c>
      <c r="CK39">
        <v>0</v>
      </c>
      <c r="CL39">
        <f t="shared" si="3"/>
        <v>0</v>
      </c>
      <c r="CM39">
        <f t="shared" si="4"/>
        <v>0</v>
      </c>
    </row>
    <row r="40" spans="1:91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CH40">
        <f t="shared" si="5"/>
        <v>4</v>
      </c>
      <c r="CI40" s="18">
        <f t="shared" si="6"/>
        <v>2.375</v>
      </c>
      <c r="CJ40">
        <f t="shared" si="7"/>
        <v>1.3768926368215255</v>
      </c>
      <c r="CK40">
        <v>0</v>
      </c>
      <c r="CL40">
        <f t="shared" si="3"/>
        <v>0</v>
      </c>
      <c r="CM40">
        <f t="shared" si="4"/>
        <v>0</v>
      </c>
    </row>
    <row r="41" spans="1:91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CH41">
        <f t="shared" si="5"/>
        <v>4</v>
      </c>
      <c r="CI41" s="18">
        <f t="shared" si="6"/>
        <v>4.25</v>
      </c>
      <c r="CJ41">
        <f t="shared" si="7"/>
        <v>0.9574271077563381</v>
      </c>
      <c r="CK41">
        <v>0</v>
      </c>
      <c r="CL41">
        <f t="shared" si="3"/>
        <v>0</v>
      </c>
      <c r="CM41">
        <f t="shared" si="4"/>
        <v>0</v>
      </c>
    </row>
    <row r="42" spans="1:91" x14ac:dyDescent="0.35">
      <c r="A42" t="s">
        <v>361</v>
      </c>
      <c r="AW42">
        <v>5</v>
      </c>
      <c r="BF42">
        <v>5</v>
      </c>
      <c r="BN42">
        <v>6</v>
      </c>
      <c r="BY42">
        <v>6</v>
      </c>
      <c r="CH42">
        <f t="shared" si="5"/>
        <v>4</v>
      </c>
      <c r="CI42" s="18">
        <f t="shared" si="6"/>
        <v>5.5</v>
      </c>
      <c r="CJ42">
        <f t="shared" si="7"/>
        <v>0.57735026918962573</v>
      </c>
      <c r="CK42">
        <v>0</v>
      </c>
      <c r="CL42">
        <f t="shared" si="3"/>
        <v>0</v>
      </c>
      <c r="CM42">
        <f t="shared" si="4"/>
        <v>0</v>
      </c>
    </row>
    <row r="43" spans="1:91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CH43">
        <f t="shared" si="5"/>
        <v>4</v>
      </c>
      <c r="CI43" s="18">
        <f t="shared" si="6"/>
        <v>3.375</v>
      </c>
      <c r="CJ43">
        <f t="shared" si="7"/>
        <v>1.6520189667999174</v>
      </c>
      <c r="CK43">
        <v>0</v>
      </c>
      <c r="CL43">
        <f t="shared" si="3"/>
        <v>0</v>
      </c>
      <c r="CM43">
        <f t="shared" si="4"/>
        <v>0</v>
      </c>
    </row>
    <row r="44" spans="1:91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CH44">
        <f t="shared" si="5"/>
        <v>3</v>
      </c>
      <c r="CI44" s="18">
        <f t="shared" si="6"/>
        <v>5.333333333333333</v>
      </c>
      <c r="CJ44">
        <f t="shared" si="7"/>
        <v>1.1547005383792526</v>
      </c>
      <c r="CK44">
        <v>0</v>
      </c>
      <c r="CL44">
        <f t="shared" si="3"/>
        <v>0</v>
      </c>
      <c r="CM44">
        <f t="shared" si="4"/>
        <v>0</v>
      </c>
    </row>
    <row r="45" spans="1:91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Y45">
        <v>4</v>
      </c>
      <c r="CH45">
        <f t="shared" si="5"/>
        <v>4</v>
      </c>
      <c r="CI45" s="18">
        <f t="shared" si="6"/>
        <v>4.125</v>
      </c>
      <c r="CJ45">
        <f t="shared" si="7"/>
        <v>0.25</v>
      </c>
      <c r="CK45">
        <v>0</v>
      </c>
      <c r="CL45">
        <f t="shared" si="3"/>
        <v>0</v>
      </c>
      <c r="CM45">
        <f t="shared" si="4"/>
        <v>0</v>
      </c>
    </row>
    <row r="46" spans="1:91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CH46">
        <f t="shared" si="5"/>
        <v>3</v>
      </c>
      <c r="CI46" s="18">
        <f t="shared" si="6"/>
        <v>7.666666666666667</v>
      </c>
      <c r="CJ46">
        <f t="shared" si="7"/>
        <v>1.1547005383792495</v>
      </c>
      <c r="CK46">
        <v>0</v>
      </c>
      <c r="CL46">
        <f t="shared" si="3"/>
        <v>0</v>
      </c>
      <c r="CM46">
        <f t="shared" si="4"/>
        <v>0</v>
      </c>
    </row>
    <row r="47" spans="1:91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CH47">
        <f t="shared" si="5"/>
        <v>3</v>
      </c>
      <c r="CI47" s="18">
        <f t="shared" si="6"/>
        <v>4.5</v>
      </c>
      <c r="CJ47">
        <f t="shared" si="7"/>
        <v>1.7320508075688772</v>
      </c>
      <c r="CK47">
        <v>0</v>
      </c>
      <c r="CL47">
        <f t="shared" si="3"/>
        <v>0</v>
      </c>
      <c r="CM47">
        <f t="shared" si="4"/>
        <v>0</v>
      </c>
    </row>
    <row r="48" spans="1:91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BZ48">
        <v>5.5</v>
      </c>
      <c r="CE48">
        <v>6.5</v>
      </c>
      <c r="CH48">
        <f t="shared" si="5"/>
        <v>5</v>
      </c>
      <c r="CI48" s="18">
        <f t="shared" si="6"/>
        <v>6.3</v>
      </c>
      <c r="CJ48">
        <f t="shared" si="7"/>
        <v>1.0368220676663875</v>
      </c>
      <c r="CK48">
        <v>0</v>
      </c>
      <c r="CL48">
        <f t="shared" si="3"/>
        <v>1</v>
      </c>
      <c r="CM48">
        <f t="shared" si="4"/>
        <v>27</v>
      </c>
    </row>
    <row r="49" spans="1:91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W49">
        <v>5</v>
      </c>
      <c r="CH49">
        <f t="shared" si="5"/>
        <v>7</v>
      </c>
      <c r="CI49" s="18">
        <f t="shared" si="6"/>
        <v>5.1428571428571432</v>
      </c>
      <c r="CJ49">
        <f t="shared" si="7"/>
        <v>0.2439750182371333</v>
      </c>
      <c r="CK49">
        <v>0</v>
      </c>
      <c r="CL49">
        <f t="shared" si="3"/>
        <v>0</v>
      </c>
      <c r="CM49">
        <f t="shared" si="4"/>
        <v>0</v>
      </c>
    </row>
    <row r="50" spans="1:91" x14ac:dyDescent="0.35">
      <c r="A50" t="s">
        <v>364</v>
      </c>
      <c r="BA50">
        <v>5.5</v>
      </c>
      <c r="BJ50">
        <v>5.5</v>
      </c>
      <c r="CH50">
        <f t="shared" si="5"/>
        <v>2</v>
      </c>
      <c r="CI50" s="18">
        <f t="shared" si="6"/>
        <v>5.5</v>
      </c>
      <c r="CJ50">
        <f t="shared" si="7"/>
        <v>0</v>
      </c>
      <c r="CK50">
        <v>0</v>
      </c>
      <c r="CL50">
        <f t="shared" si="3"/>
        <v>0</v>
      </c>
      <c r="CM50">
        <f t="shared" si="4"/>
        <v>0</v>
      </c>
    </row>
    <row r="51" spans="1:91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CH51">
        <f t="shared" si="5"/>
        <v>2</v>
      </c>
      <c r="CI51" s="18">
        <f t="shared" si="6"/>
        <v>5.25</v>
      </c>
      <c r="CJ51">
        <f t="shared" si="7"/>
        <v>0.35355339059327379</v>
      </c>
      <c r="CK51">
        <v>0</v>
      </c>
      <c r="CL51">
        <f t="shared" si="3"/>
        <v>0</v>
      </c>
      <c r="CM51">
        <f t="shared" si="4"/>
        <v>0</v>
      </c>
    </row>
    <row r="52" spans="1:91" x14ac:dyDescent="0.35">
      <c r="A52" t="s">
        <v>339</v>
      </c>
      <c r="AJ52">
        <v>7</v>
      </c>
      <c r="AW52">
        <v>4.5</v>
      </c>
      <c r="CH52">
        <f t="shared" si="5"/>
        <v>2</v>
      </c>
      <c r="CI52" s="18">
        <f t="shared" si="6"/>
        <v>5.75</v>
      </c>
      <c r="CJ52">
        <f t="shared" si="7"/>
        <v>1.7677669529663689</v>
      </c>
      <c r="CK52">
        <v>0</v>
      </c>
      <c r="CL52">
        <f t="shared" si="3"/>
        <v>0</v>
      </c>
      <c r="CM52">
        <f t="shared" si="4"/>
        <v>0</v>
      </c>
    </row>
    <row r="53" spans="1:91" x14ac:dyDescent="0.35">
      <c r="A53" t="s">
        <v>342</v>
      </c>
      <c r="AM53">
        <v>6</v>
      </c>
      <c r="BA53">
        <v>4</v>
      </c>
      <c r="CH53">
        <f t="shared" si="5"/>
        <v>2</v>
      </c>
      <c r="CI53" s="18">
        <f t="shared" si="6"/>
        <v>5</v>
      </c>
      <c r="CJ53">
        <f t="shared" si="7"/>
        <v>1.4142135623730951</v>
      </c>
      <c r="CK53">
        <v>0</v>
      </c>
      <c r="CL53">
        <f t="shared" si="3"/>
        <v>0</v>
      </c>
      <c r="CM53">
        <f t="shared" si="4"/>
        <v>0</v>
      </c>
    </row>
    <row r="54" spans="1:91" x14ac:dyDescent="0.35">
      <c r="A54" t="s">
        <v>369</v>
      </c>
      <c r="BG54">
        <v>5.5</v>
      </c>
      <c r="BH54">
        <v>4.5</v>
      </c>
      <c r="CH54">
        <f t="shared" si="5"/>
        <v>2</v>
      </c>
      <c r="CI54" s="18">
        <f t="shared" si="6"/>
        <v>5</v>
      </c>
      <c r="CJ54">
        <f t="shared" si="7"/>
        <v>0.70710678118654757</v>
      </c>
      <c r="CK54">
        <v>0</v>
      </c>
      <c r="CL54">
        <f t="shared" si="3"/>
        <v>0</v>
      </c>
      <c r="CM54">
        <f t="shared" si="4"/>
        <v>0</v>
      </c>
    </row>
    <row r="55" spans="1:91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CH55">
        <f t="shared" si="5"/>
        <v>1</v>
      </c>
      <c r="CI55" s="18">
        <f t="shared" si="6"/>
        <v>9</v>
      </c>
      <c r="CJ55" t="str">
        <f t="shared" si="7"/>
        <v/>
      </c>
      <c r="CK55">
        <v>0</v>
      </c>
      <c r="CL55">
        <f t="shared" si="3"/>
        <v>0</v>
      </c>
      <c r="CM55">
        <f t="shared" si="4"/>
        <v>0</v>
      </c>
    </row>
    <row r="56" spans="1:91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CH56">
        <f t="shared" si="5"/>
        <v>1</v>
      </c>
      <c r="CI56" s="18">
        <f t="shared" si="6"/>
        <v>7</v>
      </c>
      <c r="CJ56" t="str">
        <f t="shared" si="7"/>
        <v/>
      </c>
      <c r="CK56">
        <v>0</v>
      </c>
      <c r="CL56">
        <f t="shared" si="3"/>
        <v>0</v>
      </c>
      <c r="CM56">
        <f t="shared" si="4"/>
        <v>0</v>
      </c>
    </row>
    <row r="57" spans="1:91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CH57">
        <f t="shared" si="5"/>
        <v>1</v>
      </c>
      <c r="CI57" s="18">
        <f t="shared" si="6"/>
        <v>7</v>
      </c>
      <c r="CJ57" t="str">
        <f t="shared" si="7"/>
        <v/>
      </c>
      <c r="CK57">
        <v>0</v>
      </c>
      <c r="CL57">
        <f t="shared" si="3"/>
        <v>0</v>
      </c>
      <c r="CM57">
        <f t="shared" si="4"/>
        <v>0</v>
      </c>
    </row>
    <row r="58" spans="1:91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CH58">
        <f t="shared" si="5"/>
        <v>1</v>
      </c>
      <c r="CI58" s="18">
        <f t="shared" si="6"/>
        <v>7</v>
      </c>
      <c r="CJ58" t="str">
        <f t="shared" si="7"/>
        <v/>
      </c>
      <c r="CK58">
        <v>0</v>
      </c>
      <c r="CL58">
        <f t="shared" si="3"/>
        <v>0</v>
      </c>
      <c r="CM58">
        <f t="shared" si="4"/>
        <v>0</v>
      </c>
    </row>
    <row r="59" spans="1:91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CH59">
        <f t="shared" si="5"/>
        <v>2</v>
      </c>
      <c r="CI59" s="18">
        <f t="shared" si="6"/>
        <v>5.5</v>
      </c>
      <c r="CJ59">
        <f t="shared" si="7"/>
        <v>0.70710678118654757</v>
      </c>
      <c r="CK59">
        <v>0</v>
      </c>
      <c r="CL59">
        <f t="shared" si="3"/>
        <v>0</v>
      </c>
      <c r="CM59">
        <f t="shared" si="4"/>
        <v>0</v>
      </c>
    </row>
    <row r="60" spans="1:91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CH60">
        <f t="shared" si="5"/>
        <v>1</v>
      </c>
      <c r="CI60" s="18">
        <f t="shared" si="6"/>
        <v>4.5</v>
      </c>
      <c r="CJ60" t="str">
        <f t="shared" si="7"/>
        <v/>
      </c>
      <c r="CK60">
        <v>0</v>
      </c>
      <c r="CL60">
        <f t="shared" si="3"/>
        <v>0</v>
      </c>
      <c r="CM60">
        <f t="shared" si="4"/>
        <v>0</v>
      </c>
    </row>
    <row r="61" spans="1:91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CH61">
        <f t="shared" si="5"/>
        <v>1</v>
      </c>
      <c r="CI61" s="18">
        <f t="shared" si="6"/>
        <v>4.5</v>
      </c>
      <c r="CJ61" t="str">
        <f t="shared" si="7"/>
        <v/>
      </c>
      <c r="CK61">
        <v>0</v>
      </c>
      <c r="CL61">
        <f t="shared" si="3"/>
        <v>0</v>
      </c>
      <c r="CM61">
        <f t="shared" si="4"/>
        <v>0</v>
      </c>
    </row>
    <row r="62" spans="1:91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CH62">
        <f t="shared" si="5"/>
        <v>1</v>
      </c>
      <c r="CI62" s="18">
        <f t="shared" si="6"/>
        <v>4</v>
      </c>
      <c r="CJ62" t="str">
        <f t="shared" si="7"/>
        <v/>
      </c>
      <c r="CK62">
        <v>0</v>
      </c>
      <c r="CL62">
        <f t="shared" si="3"/>
        <v>0</v>
      </c>
      <c r="CM62">
        <f t="shared" si="4"/>
        <v>0</v>
      </c>
    </row>
    <row r="63" spans="1:91" x14ac:dyDescent="0.35">
      <c r="A63" t="s">
        <v>345</v>
      </c>
      <c r="AN63">
        <v>3</v>
      </c>
      <c r="CH63">
        <f t="shared" si="5"/>
        <v>1</v>
      </c>
      <c r="CI63" s="18">
        <f t="shared" si="6"/>
        <v>3</v>
      </c>
      <c r="CJ63" t="str">
        <f t="shared" si="7"/>
        <v/>
      </c>
      <c r="CK63">
        <v>0</v>
      </c>
      <c r="CL63">
        <f t="shared" si="3"/>
        <v>0</v>
      </c>
      <c r="CM63">
        <f t="shared" si="4"/>
        <v>0</v>
      </c>
    </row>
    <row r="64" spans="1:91" x14ac:dyDescent="0.35">
      <c r="A64" t="s">
        <v>347</v>
      </c>
      <c r="AP64">
        <v>5.5</v>
      </c>
      <c r="CH64">
        <f t="shared" si="5"/>
        <v>1</v>
      </c>
      <c r="CI64" s="18">
        <f t="shared" si="6"/>
        <v>5.5</v>
      </c>
      <c r="CJ64" t="str">
        <f t="shared" si="7"/>
        <v/>
      </c>
      <c r="CK64">
        <v>0</v>
      </c>
      <c r="CL64">
        <f t="shared" si="3"/>
        <v>0</v>
      </c>
      <c r="CM64">
        <f t="shared" si="4"/>
        <v>0</v>
      </c>
    </row>
    <row r="65" spans="1:91" x14ac:dyDescent="0.35">
      <c r="A65" t="s">
        <v>350</v>
      </c>
      <c r="AR65">
        <v>4</v>
      </c>
      <c r="CH65">
        <f t="shared" si="5"/>
        <v>1</v>
      </c>
      <c r="CI65" s="18">
        <f t="shared" si="6"/>
        <v>4</v>
      </c>
      <c r="CJ65" t="str">
        <f t="shared" si="7"/>
        <v/>
      </c>
      <c r="CK65">
        <v>0</v>
      </c>
      <c r="CL65">
        <f t="shared" si="3"/>
        <v>0</v>
      </c>
      <c r="CM65">
        <f t="shared" si="4"/>
        <v>0</v>
      </c>
    </row>
    <row r="66" spans="1:91" x14ac:dyDescent="0.35">
      <c r="A66" t="s">
        <v>351</v>
      </c>
      <c r="AS66">
        <v>5.5</v>
      </c>
      <c r="CH66">
        <f t="shared" ref="CH66:CH79" si="8">COUNT(B66:CG66)</f>
        <v>1</v>
      </c>
      <c r="CI66" s="18">
        <f t="shared" ref="CI66:CI79" si="9">AVERAGE(B66:CG66)</f>
        <v>5.5</v>
      </c>
      <c r="CJ66" t="str">
        <f t="shared" ref="CJ66:CJ79" si="10">IF(CH66&gt;1,_xlfn.STDEV.S(B66:CG66),"")</f>
        <v/>
      </c>
      <c r="CK66">
        <v>0</v>
      </c>
      <c r="CL66">
        <f t="shared" si="3"/>
        <v>0</v>
      </c>
      <c r="CM66">
        <f t="shared" si="4"/>
        <v>0</v>
      </c>
    </row>
    <row r="67" spans="1:91" x14ac:dyDescent="0.35">
      <c r="A67" t="s">
        <v>352</v>
      </c>
      <c r="AS67">
        <v>4.5</v>
      </c>
      <c r="CH67">
        <f t="shared" si="8"/>
        <v>1</v>
      </c>
      <c r="CI67" s="18">
        <f t="shared" si="9"/>
        <v>4.5</v>
      </c>
      <c r="CJ67" t="str">
        <f t="shared" si="10"/>
        <v/>
      </c>
      <c r="CK67">
        <v>0</v>
      </c>
      <c r="CL67">
        <f t="shared" ref="CL67:CL79" si="11">COUNT(BZ67:CB67)</f>
        <v>0</v>
      </c>
      <c r="CM67">
        <f t="shared" ref="CM67:CM79" si="12">CL67*27</f>
        <v>0</v>
      </c>
    </row>
    <row r="68" spans="1:91" x14ac:dyDescent="0.35">
      <c r="A68" t="s">
        <v>354</v>
      </c>
      <c r="AU68">
        <v>5</v>
      </c>
      <c r="CH68">
        <f t="shared" si="8"/>
        <v>1</v>
      </c>
      <c r="CI68" s="18">
        <f t="shared" si="9"/>
        <v>5</v>
      </c>
      <c r="CJ68" t="str">
        <f t="shared" si="10"/>
        <v/>
      </c>
      <c r="CK68">
        <v>0</v>
      </c>
      <c r="CL68">
        <f t="shared" si="11"/>
        <v>0</v>
      </c>
      <c r="CM68">
        <f t="shared" si="12"/>
        <v>0</v>
      </c>
    </row>
    <row r="69" spans="1:91" x14ac:dyDescent="0.35">
      <c r="A69" t="s">
        <v>362</v>
      </c>
      <c r="AW69">
        <v>4.5</v>
      </c>
      <c r="CD69">
        <v>5.5</v>
      </c>
      <c r="CH69">
        <f t="shared" si="8"/>
        <v>2</v>
      </c>
      <c r="CI69" s="18">
        <f t="shared" si="9"/>
        <v>5</v>
      </c>
      <c r="CJ69">
        <f t="shared" si="10"/>
        <v>0.70710678118654757</v>
      </c>
      <c r="CK69">
        <v>0</v>
      </c>
      <c r="CL69">
        <f t="shared" si="11"/>
        <v>0</v>
      </c>
      <c r="CM69">
        <f t="shared" si="12"/>
        <v>0</v>
      </c>
    </row>
    <row r="70" spans="1:91" x14ac:dyDescent="0.35">
      <c r="A70" t="s">
        <v>365</v>
      </c>
      <c r="AZ70">
        <v>2.5</v>
      </c>
      <c r="CH70">
        <f t="shared" si="8"/>
        <v>1</v>
      </c>
      <c r="CI70" s="18">
        <f t="shared" si="9"/>
        <v>2.5</v>
      </c>
      <c r="CJ70" t="str">
        <f t="shared" si="10"/>
        <v/>
      </c>
      <c r="CK70">
        <v>0</v>
      </c>
      <c r="CL70">
        <f t="shared" si="11"/>
        <v>0</v>
      </c>
      <c r="CM70">
        <f t="shared" si="12"/>
        <v>0</v>
      </c>
    </row>
    <row r="71" spans="1:91" x14ac:dyDescent="0.35">
      <c r="A71" t="s">
        <v>366</v>
      </c>
      <c r="BB71">
        <v>3</v>
      </c>
      <c r="CH71">
        <f t="shared" si="8"/>
        <v>1</v>
      </c>
      <c r="CI71" s="18">
        <f t="shared" si="9"/>
        <v>3</v>
      </c>
      <c r="CJ71" t="str">
        <f t="shared" si="10"/>
        <v/>
      </c>
      <c r="CK71">
        <v>0</v>
      </c>
      <c r="CL71">
        <f t="shared" si="11"/>
        <v>0</v>
      </c>
      <c r="CM71">
        <f t="shared" si="12"/>
        <v>0</v>
      </c>
    </row>
    <row r="72" spans="1:91" x14ac:dyDescent="0.35">
      <c r="A72" t="s">
        <v>368</v>
      </c>
      <c r="BF72">
        <v>7.5</v>
      </c>
      <c r="BU72">
        <v>9.5</v>
      </c>
      <c r="CH72">
        <f t="shared" si="8"/>
        <v>2</v>
      </c>
      <c r="CI72" s="18">
        <f t="shared" si="9"/>
        <v>8.5</v>
      </c>
      <c r="CJ72">
        <f t="shared" si="10"/>
        <v>1.4142135623730951</v>
      </c>
      <c r="CK72">
        <v>0</v>
      </c>
      <c r="CL72">
        <f t="shared" si="11"/>
        <v>0</v>
      </c>
      <c r="CM72">
        <f t="shared" si="12"/>
        <v>0</v>
      </c>
    </row>
    <row r="73" spans="1:91" x14ac:dyDescent="0.35">
      <c r="A73" t="s">
        <v>374</v>
      </c>
      <c r="BP73">
        <v>6</v>
      </c>
      <c r="CH73">
        <f t="shared" si="8"/>
        <v>1</v>
      </c>
      <c r="CI73" s="18">
        <f t="shared" si="9"/>
        <v>6</v>
      </c>
      <c r="CJ73" t="str">
        <f t="shared" si="10"/>
        <v/>
      </c>
      <c r="CK73">
        <v>0</v>
      </c>
      <c r="CL73">
        <f t="shared" si="11"/>
        <v>0</v>
      </c>
      <c r="CM73">
        <f t="shared" si="12"/>
        <v>0</v>
      </c>
    </row>
    <row r="74" spans="1:91" x14ac:dyDescent="0.35">
      <c r="A74" t="s">
        <v>375</v>
      </c>
      <c r="BP74">
        <v>5</v>
      </c>
      <c r="CH74">
        <f t="shared" si="8"/>
        <v>1</v>
      </c>
      <c r="CI74" s="18">
        <f t="shared" si="9"/>
        <v>5</v>
      </c>
      <c r="CJ74" t="str">
        <f t="shared" si="10"/>
        <v/>
      </c>
      <c r="CK74">
        <v>0</v>
      </c>
      <c r="CL74">
        <f t="shared" si="11"/>
        <v>0</v>
      </c>
      <c r="CM74">
        <f t="shared" si="12"/>
        <v>0</v>
      </c>
    </row>
    <row r="75" spans="1:91" x14ac:dyDescent="0.35">
      <c r="A75" t="s">
        <v>377</v>
      </c>
      <c r="BS75">
        <v>4.5</v>
      </c>
      <c r="CH75">
        <f t="shared" si="8"/>
        <v>1</v>
      </c>
      <c r="CI75" s="18">
        <f t="shared" si="9"/>
        <v>4.5</v>
      </c>
      <c r="CJ75" t="str">
        <f t="shared" si="10"/>
        <v/>
      </c>
      <c r="CK75">
        <v>0</v>
      </c>
      <c r="CL75">
        <f t="shared" si="11"/>
        <v>0</v>
      </c>
      <c r="CM75">
        <f t="shared" si="12"/>
        <v>0</v>
      </c>
    </row>
    <row r="76" spans="1:91" x14ac:dyDescent="0.35">
      <c r="A76" t="s">
        <v>378</v>
      </c>
      <c r="BW76">
        <v>5</v>
      </c>
      <c r="BY76">
        <v>4.5</v>
      </c>
      <c r="BZ76">
        <v>4.5</v>
      </c>
      <c r="CE76">
        <v>5.5</v>
      </c>
      <c r="CH76">
        <f t="shared" si="8"/>
        <v>4</v>
      </c>
      <c r="CI76" s="18">
        <f t="shared" si="9"/>
        <v>4.875</v>
      </c>
      <c r="CJ76">
        <f t="shared" si="10"/>
        <v>0.47871355387816905</v>
      </c>
      <c r="CK76">
        <v>0</v>
      </c>
      <c r="CL76">
        <f t="shared" si="11"/>
        <v>1</v>
      </c>
      <c r="CM76">
        <f t="shared" si="12"/>
        <v>27</v>
      </c>
    </row>
    <row r="77" spans="1:91" x14ac:dyDescent="0.35">
      <c r="A77" t="s">
        <v>379</v>
      </c>
      <c r="BY77">
        <v>5</v>
      </c>
      <c r="BZ77">
        <v>5</v>
      </c>
      <c r="CH77">
        <f t="shared" si="8"/>
        <v>2</v>
      </c>
      <c r="CI77" s="18">
        <f t="shared" si="9"/>
        <v>5</v>
      </c>
      <c r="CJ77">
        <f t="shared" si="10"/>
        <v>0</v>
      </c>
      <c r="CK77">
        <v>0</v>
      </c>
      <c r="CL77">
        <f t="shared" si="11"/>
        <v>1</v>
      </c>
      <c r="CM77">
        <f t="shared" si="12"/>
        <v>27</v>
      </c>
    </row>
    <row r="78" spans="1:91" x14ac:dyDescent="0.35">
      <c r="A78" t="s">
        <v>381</v>
      </c>
      <c r="BZ78">
        <v>5</v>
      </c>
      <c r="CH78">
        <f t="shared" si="8"/>
        <v>1</v>
      </c>
      <c r="CI78" s="18">
        <f t="shared" si="9"/>
        <v>5</v>
      </c>
      <c r="CJ78" t="str">
        <f t="shared" si="10"/>
        <v/>
      </c>
      <c r="CK78">
        <v>0</v>
      </c>
      <c r="CL78">
        <f t="shared" si="11"/>
        <v>1</v>
      </c>
      <c r="CM78">
        <f t="shared" si="12"/>
        <v>27</v>
      </c>
    </row>
    <row r="79" spans="1:91" x14ac:dyDescent="0.35">
      <c r="A79" t="s">
        <v>382</v>
      </c>
      <c r="BZ79">
        <v>5</v>
      </c>
      <c r="CH79">
        <f t="shared" si="8"/>
        <v>1</v>
      </c>
      <c r="CI79" s="18">
        <f t="shared" si="9"/>
        <v>5</v>
      </c>
      <c r="CJ79" t="str">
        <f t="shared" si="10"/>
        <v/>
      </c>
      <c r="CK79">
        <v>0</v>
      </c>
      <c r="CL79">
        <f t="shared" si="11"/>
        <v>1</v>
      </c>
      <c r="CM79">
        <f t="shared" si="12"/>
        <v>27</v>
      </c>
    </row>
    <row r="80" spans="1:91" x14ac:dyDescent="0.35">
      <c r="A80" t="s">
        <v>386</v>
      </c>
      <c r="CE80">
        <v>7</v>
      </c>
      <c r="CH80">
        <f t="shared" ref="CH80" si="13">COUNT(B80:CG80)</f>
        <v>1</v>
      </c>
      <c r="CI80" s="18">
        <f t="shared" ref="CI80" si="14">AVERAGE(B80:CG80)</f>
        <v>7</v>
      </c>
      <c r="CJ80" t="str">
        <f t="shared" ref="CJ80" si="15">IF(CH80&gt;1,_xlfn.STDEV.S(B80:CG80),"")</f>
        <v/>
      </c>
      <c r="CK80">
        <v>0</v>
      </c>
      <c r="CL80">
        <f t="shared" ref="CL80" si="16">COUNT(BZ80:CB80)</f>
        <v>0</v>
      </c>
      <c r="CM80">
        <f t="shared" ref="CM80" si="17">CL80*27</f>
        <v>0</v>
      </c>
    </row>
  </sheetData>
  <autoFilter ref="CH1:CL79" xr:uid="{CA9A1AE1-90F8-4952-9E1C-7E9DE36093D7}"/>
  <conditionalFormatting sqref="CH2:CH80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80"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H2:CH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80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80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8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8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G67 AA2:CG38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G67 AA2:CG47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G67 AA2:CG42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F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C7" workbookViewId="0">
      <selection activeCell="S38" sqref="S38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X83"/>
  <sheetViews>
    <sheetView workbookViewId="0">
      <pane xSplit="1" topLeftCell="F1" activePane="topRight" state="frozen"/>
      <selection activeCell="A31" sqref="A31"/>
      <selection pane="topRight" activeCell="X3" sqref="X3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19" max="19" width="11.6328125" style="22" customWidth="1"/>
    <col min="20" max="20" width="11.6328125" bestFit="1" customWidth="1"/>
    <col min="21" max="22" width="9.08984375" customWidth="1"/>
    <col min="24" max="24" width="16.6328125" bestFit="1" customWidth="1"/>
  </cols>
  <sheetData>
    <row r="1" spans="1:24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X1" t="s">
        <v>349</v>
      </c>
    </row>
    <row r="2" spans="1:24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X2" s="1">
        <v>46027</v>
      </c>
    </row>
    <row r="3" spans="1:24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21">
        <v>90.34</v>
      </c>
    </row>
    <row r="4" spans="1:24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4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21">
        <v>90.34</v>
      </c>
      <c r="U5" s="19">
        <v>45.7</v>
      </c>
      <c r="V5" s="19">
        <v>22.48</v>
      </c>
      <c r="W5" t="s">
        <v>370</v>
      </c>
      <c r="X5">
        <v>12</v>
      </c>
    </row>
    <row r="6" spans="1:24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W6" t="s">
        <v>371</v>
      </c>
      <c r="X6">
        <f>27*X5</f>
        <v>324</v>
      </c>
    </row>
    <row r="7" spans="1:24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21">
        <v>90.34</v>
      </c>
      <c r="U7" s="19"/>
      <c r="V7" s="19"/>
      <c r="W7" t="s">
        <v>372</v>
      </c>
      <c r="X7">
        <f>1950-X6</f>
        <v>1626</v>
      </c>
    </row>
    <row r="8" spans="1:24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W8" t="s">
        <v>373</v>
      </c>
      <c r="X8">
        <f>X7/18</f>
        <v>90.333333333333329</v>
      </c>
    </row>
    <row r="9" spans="1:24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4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</row>
    <row r="11" spans="1:24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</row>
    <row r="12" spans="1:24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</row>
    <row r="13" spans="1:24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21">
        <v>90.34</v>
      </c>
    </row>
    <row r="14" spans="1:24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21">
        <v>90.34</v>
      </c>
    </row>
    <row r="15" spans="1:24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</row>
    <row r="16" spans="1:24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W16" s="60"/>
    </row>
    <row r="17" spans="1:23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W17" s="60"/>
    </row>
    <row r="18" spans="1:23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/>
    </row>
    <row r="19" spans="1:23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</row>
    <row r="20" spans="1:23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21">
        <v>27</v>
      </c>
    </row>
    <row r="21" spans="1:23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3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3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3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</row>
    <row r="25" spans="1:23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3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1">
        <v>27</v>
      </c>
      <c r="U26" s="19">
        <v>45.7</v>
      </c>
      <c r="V26" s="22"/>
    </row>
    <row r="27" spans="1:23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3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3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23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</row>
    <row r="31" spans="1:23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3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21">
        <v>54</v>
      </c>
    </row>
    <row r="33" spans="1:20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0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0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20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0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0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0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</row>
    <row r="40" spans="1:20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21">
        <v>27</v>
      </c>
    </row>
    <row r="41" spans="1:20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0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</row>
    <row r="43" spans="1:20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</row>
    <row r="44" spans="1:20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0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0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0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21">
        <v>27</v>
      </c>
    </row>
    <row r="48" spans="1:20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20" x14ac:dyDescent="0.35">
      <c r="A49" t="s">
        <v>80</v>
      </c>
      <c r="G49" s="19">
        <v>25</v>
      </c>
      <c r="H49" s="19"/>
      <c r="I49" s="19"/>
    </row>
    <row r="50" spans="1:20" x14ac:dyDescent="0.35">
      <c r="A50" t="s">
        <v>83</v>
      </c>
      <c r="G50" s="19"/>
      <c r="H50" s="19">
        <v>25</v>
      </c>
      <c r="I50" s="19"/>
    </row>
    <row r="51" spans="1:20" x14ac:dyDescent="0.35">
      <c r="A51" t="s">
        <v>86</v>
      </c>
      <c r="G51" s="19"/>
      <c r="H51" s="19">
        <v>25</v>
      </c>
      <c r="I51" s="19"/>
    </row>
    <row r="52" spans="1:20" x14ac:dyDescent="0.35">
      <c r="A52" t="s">
        <v>85</v>
      </c>
      <c r="G52" s="19"/>
      <c r="H52" s="19">
        <v>25</v>
      </c>
      <c r="I52" s="19">
        <v>50</v>
      </c>
    </row>
    <row r="53" spans="1:20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21">
        <v>54</v>
      </c>
    </row>
    <row r="54" spans="1:20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0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0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0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</row>
    <row r="58" spans="1:20" x14ac:dyDescent="0.35">
      <c r="A58" t="s">
        <v>345</v>
      </c>
      <c r="G58"/>
      <c r="H58"/>
      <c r="I58"/>
      <c r="K58" s="19">
        <v>25</v>
      </c>
      <c r="L58" s="19"/>
    </row>
    <row r="59" spans="1:20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0" x14ac:dyDescent="0.35">
      <c r="A60" t="s">
        <v>347</v>
      </c>
      <c r="G60"/>
      <c r="H60"/>
      <c r="I60"/>
      <c r="K60" s="19">
        <v>25</v>
      </c>
      <c r="L60" s="19"/>
    </row>
    <row r="61" spans="1:20" x14ac:dyDescent="0.35">
      <c r="A61" t="s">
        <v>354</v>
      </c>
      <c r="G61"/>
      <c r="H61"/>
      <c r="I61"/>
      <c r="K61" s="19"/>
      <c r="L61" s="19">
        <v>25</v>
      </c>
    </row>
    <row r="62" spans="1:20" x14ac:dyDescent="0.35">
      <c r="A62" t="s">
        <v>356</v>
      </c>
      <c r="L62" s="19">
        <v>25</v>
      </c>
    </row>
    <row r="63" spans="1:20" x14ac:dyDescent="0.35">
      <c r="A63" t="s">
        <v>352</v>
      </c>
      <c r="L63" s="19">
        <v>25</v>
      </c>
    </row>
    <row r="64" spans="1:20" x14ac:dyDescent="0.35">
      <c r="A64" t="s">
        <v>350</v>
      </c>
      <c r="L64" s="19">
        <v>25</v>
      </c>
    </row>
    <row r="65" spans="1:20" x14ac:dyDescent="0.35">
      <c r="A65" t="s">
        <v>363</v>
      </c>
      <c r="L65" s="19"/>
      <c r="M65" s="19">
        <v>25</v>
      </c>
    </row>
    <row r="66" spans="1:20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0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0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0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0" x14ac:dyDescent="0.35">
      <c r="A70" t="s">
        <v>368</v>
      </c>
      <c r="O70" s="19">
        <v>27</v>
      </c>
      <c r="P70" s="19"/>
      <c r="Q70" s="19"/>
      <c r="R70" s="19">
        <v>27</v>
      </c>
      <c r="S70" s="19"/>
    </row>
    <row r="71" spans="1:20" x14ac:dyDescent="0.35">
      <c r="A71" t="s">
        <v>369</v>
      </c>
      <c r="O71" s="19">
        <v>54</v>
      </c>
      <c r="P71" s="19"/>
      <c r="Q71" s="19"/>
    </row>
    <row r="72" spans="1:20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0" x14ac:dyDescent="0.35">
      <c r="A73" t="s">
        <v>374</v>
      </c>
      <c r="O73" s="19"/>
      <c r="P73" s="19"/>
      <c r="Q73" s="19">
        <v>27</v>
      </c>
    </row>
    <row r="74" spans="1:20" x14ac:dyDescent="0.35">
      <c r="A74" t="s">
        <v>375</v>
      </c>
      <c r="O74" s="19"/>
      <c r="P74" s="19"/>
      <c r="Q74" s="19">
        <v>27</v>
      </c>
    </row>
    <row r="75" spans="1:20" x14ac:dyDescent="0.35">
      <c r="A75" t="s">
        <v>377</v>
      </c>
      <c r="O75" s="19"/>
      <c r="P75" s="19"/>
      <c r="Q75" s="19"/>
      <c r="R75" s="19">
        <v>27</v>
      </c>
      <c r="S75" s="19"/>
    </row>
    <row r="76" spans="1:20" x14ac:dyDescent="0.35">
      <c r="A76" t="s">
        <v>378</v>
      </c>
      <c r="O76" s="19"/>
      <c r="P76" s="19"/>
      <c r="Q76" s="19"/>
      <c r="R76" s="19"/>
      <c r="S76" s="19">
        <v>54</v>
      </c>
      <c r="T76" s="21">
        <v>27</v>
      </c>
    </row>
    <row r="77" spans="1:20" x14ac:dyDescent="0.35">
      <c r="A77" t="s">
        <v>380</v>
      </c>
      <c r="O77" s="19"/>
      <c r="P77" s="19"/>
      <c r="Q77" s="19"/>
      <c r="R77" s="19"/>
      <c r="S77" s="19">
        <v>27</v>
      </c>
      <c r="T77" s="21">
        <v>27</v>
      </c>
    </row>
    <row r="78" spans="1:20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0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1" spans="1:20" x14ac:dyDescent="0.35">
      <c r="A81" t="s">
        <v>74</v>
      </c>
      <c r="B81" s="20">
        <f>SUM(B3:B28)</f>
        <v>1716.6666666666665</v>
      </c>
      <c r="C81" s="20">
        <f>SUM(C3:C35)</f>
        <v>1729.2800000000002</v>
      </c>
      <c r="D81" s="20">
        <f>SUM(D3:D38)</f>
        <v>1754.2800000000002</v>
      </c>
      <c r="E81" s="20">
        <f>SUM(E3:E41)</f>
        <v>1697.26</v>
      </c>
      <c r="F81" s="20">
        <f>SUM(F3:F44)</f>
        <v>1772.26</v>
      </c>
      <c r="G81" s="20">
        <f>SUM(G3:G49)</f>
        <v>1722.2599999999998</v>
      </c>
      <c r="H81" s="20">
        <f>SUM(H3:H53)</f>
        <v>1715.41</v>
      </c>
      <c r="I81" s="20">
        <f>SUM(I3:I53)</f>
        <v>1722.2599999999998</v>
      </c>
      <c r="J81" s="20">
        <f>SUM(J3:J56)</f>
        <v>1714.0399999999995</v>
      </c>
      <c r="K81" s="20">
        <f>SUM(K3:K59)</f>
        <v>1716.6733333333332</v>
      </c>
      <c r="L81" s="20">
        <f>SUM(L3:L59)</f>
        <v>1620.8900000000003</v>
      </c>
      <c r="M81" s="20">
        <f>SUM(M3:M69)</f>
        <v>1723.6300000000003</v>
      </c>
      <c r="N81" s="20">
        <f>SUM(N3:N69)</f>
        <v>1861.2799999999997</v>
      </c>
      <c r="O81" s="20">
        <f>SUM(O3:O71)</f>
        <v>1865.7799999999997</v>
      </c>
      <c r="P81" s="20">
        <f>SUM(P3:P71)</f>
        <v>1864.2799999999997</v>
      </c>
      <c r="Q81" s="20">
        <f>SUM(Q3:Q74)</f>
        <v>1869.11</v>
      </c>
      <c r="R81" s="20">
        <f>SUM(R3:R75)</f>
        <v>1870.7799999999997</v>
      </c>
      <c r="S81" s="20">
        <f>SUM(S3:S77)</f>
        <v>1864.2799999999997</v>
      </c>
      <c r="T81" s="20">
        <f>SUM(T3:T79)</f>
        <v>1859.7799999999997</v>
      </c>
    </row>
    <row r="82" spans="1:20" x14ac:dyDescent="0.35">
      <c r="A82" t="s">
        <v>75</v>
      </c>
      <c r="B82" s="20">
        <f>25*12+83.34*17</f>
        <v>1716.78</v>
      </c>
      <c r="C82" s="20">
        <f>22*25+70.84*17</f>
        <v>1754.28</v>
      </c>
      <c r="D82" s="20">
        <f>20*25+70.84*17</f>
        <v>1704.28</v>
      </c>
      <c r="E82" s="20">
        <f>15*25+77.78*17</f>
        <v>1697.26</v>
      </c>
      <c r="F82" s="20">
        <f>18*25+77.78*17</f>
        <v>1772.26</v>
      </c>
      <c r="G82" s="23">
        <f>17*77.78+25*16</f>
        <v>1722.26</v>
      </c>
      <c r="H82" s="23">
        <f>11*25+84.73*17</f>
        <v>1715.41</v>
      </c>
      <c r="I82" s="23">
        <f>17*25+77.78*17</f>
        <v>1747.26</v>
      </c>
      <c r="J82" s="23">
        <f>10*25+86.12*17</f>
        <v>1714.04</v>
      </c>
      <c r="K82" s="23">
        <f>14*25+83.33*17</f>
        <v>1766.61</v>
      </c>
      <c r="L82" s="23">
        <f>15*25+79.17*17</f>
        <v>1720.89</v>
      </c>
      <c r="M82" s="23">
        <f>17*25+76.39*17</f>
        <v>1723.63</v>
      </c>
      <c r="N82" s="23">
        <f>14*27+88.84*17</f>
        <v>1888.28</v>
      </c>
      <c r="O82" s="23">
        <f>16*27+84.34*17</f>
        <v>1865.78</v>
      </c>
      <c r="P82" s="23">
        <f>15*27+85.84*17</f>
        <v>1864.28</v>
      </c>
      <c r="Q82" s="23">
        <f>17*27+82.83*17</f>
        <v>1867.11</v>
      </c>
      <c r="R82" s="23">
        <f>18*27+82.83*17</f>
        <v>1894.11</v>
      </c>
      <c r="S82" s="23">
        <f>13*27+85.84*16</f>
        <v>1724.44</v>
      </c>
      <c r="T82" s="23">
        <f>4*27+85.84*12</f>
        <v>1138.08</v>
      </c>
    </row>
    <row r="83" spans="1:20" x14ac:dyDescent="0.35">
      <c r="B83" s="24">
        <f t="shared" ref="B83:G83" si="1">B82/B81</f>
        <v>1.0000660194174757</v>
      </c>
      <c r="C83" s="24">
        <f t="shared" si="1"/>
        <v>1.0144568837897852</v>
      </c>
      <c r="D83" s="24">
        <f t="shared" si="1"/>
        <v>0.97149827849602099</v>
      </c>
      <c r="E83" s="24">
        <f t="shared" si="1"/>
        <v>1</v>
      </c>
      <c r="F83" s="24">
        <f t="shared" si="1"/>
        <v>1</v>
      </c>
      <c r="G83" s="24">
        <f t="shared" si="1"/>
        <v>1.0000000000000002</v>
      </c>
      <c r="H83" s="24">
        <f t="shared" ref="H83:I83" si="2">H82/H81</f>
        <v>1</v>
      </c>
      <c r="I83" s="24">
        <f t="shared" si="2"/>
        <v>1.0145158106209284</v>
      </c>
      <c r="J83" s="24">
        <f t="shared" ref="J83:K83" si="3">J82/J81</f>
        <v>1.0000000000000002</v>
      </c>
      <c r="K83" s="24">
        <f t="shared" si="3"/>
        <v>1.0290892074205538</v>
      </c>
      <c r="L83" s="24">
        <f t="shared" ref="L83:M83" si="4">L82/L81</f>
        <v>1.0616945011691106</v>
      </c>
      <c r="M83" s="24">
        <f t="shared" si="4"/>
        <v>0.99999999999999989</v>
      </c>
      <c r="N83" s="24">
        <f t="shared" ref="N83:O83" si="5">N82/N81</f>
        <v>1.0145061463079172</v>
      </c>
      <c r="O83" s="24">
        <f t="shared" si="5"/>
        <v>1.0000000000000002</v>
      </c>
      <c r="P83" s="24">
        <f t="shared" ref="P83" si="6">P82/P81</f>
        <v>1.0000000000000002</v>
      </c>
      <c r="Q83" s="24">
        <f>Q82/Q81</f>
        <v>0.99892997201876832</v>
      </c>
      <c r="R83" s="24">
        <f>R82/R81</f>
        <v>1.0124707341322872</v>
      </c>
      <c r="S83" s="24">
        <f>S82/S81</f>
        <v>0.92498980839788025</v>
      </c>
      <c r="T83" s="24">
        <f>T82/T81</f>
        <v>0.61194334813795181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3"/>
  <sheetViews>
    <sheetView topLeftCell="A210" workbookViewId="0">
      <selection activeCell="B244" sqref="B244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386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386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M80"/>
  <sheetViews>
    <sheetView topLeftCell="A35" zoomScaleNormal="100" workbookViewId="0">
      <pane xSplit="1" topLeftCell="BF1" activePane="topRight" state="frozen"/>
      <selection pane="topRight" activeCell="BM77" sqref="BM77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5" width="10.453125" bestFit="1" customWidth="1"/>
  </cols>
  <sheetData>
    <row r="1" spans="1:65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</row>
    <row r="2" spans="1:65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</row>
    <row r="3" spans="1:65" hidden="1" x14ac:dyDescent="0.35">
      <c r="A3" t="s">
        <v>24</v>
      </c>
    </row>
    <row r="4" spans="1:65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5" hidden="1" x14ac:dyDescent="0.35">
      <c r="A5" t="s">
        <v>365</v>
      </c>
    </row>
    <row r="6" spans="1:65" x14ac:dyDescent="0.35">
      <c r="A6" t="s">
        <v>77</v>
      </c>
      <c r="G6">
        <v>3</v>
      </c>
    </row>
    <row r="7" spans="1:65" x14ac:dyDescent="0.35">
      <c r="A7" t="s">
        <v>364</v>
      </c>
      <c r="AH7">
        <v>3</v>
      </c>
      <c r="AQ7">
        <v>2</v>
      </c>
    </row>
    <row r="8" spans="1:65" x14ac:dyDescent="0.35">
      <c r="A8" t="s">
        <v>7</v>
      </c>
      <c r="K8">
        <v>1</v>
      </c>
    </row>
    <row r="9" spans="1:65" x14ac:dyDescent="0.35">
      <c r="A9" t="s">
        <v>353</v>
      </c>
      <c r="G9">
        <v>1</v>
      </c>
    </row>
    <row r="10" spans="1:65" hidden="1" x14ac:dyDescent="0.35">
      <c r="A10" t="s">
        <v>347</v>
      </c>
    </row>
    <row r="11" spans="1:65" x14ac:dyDescent="0.35">
      <c r="A11" t="s">
        <v>48</v>
      </c>
    </row>
    <row r="12" spans="1:65" x14ac:dyDescent="0.35">
      <c r="A12" t="s">
        <v>382</v>
      </c>
    </row>
    <row r="13" spans="1:65" x14ac:dyDescent="0.35">
      <c r="A13" t="s">
        <v>362</v>
      </c>
      <c r="BK13">
        <v>1</v>
      </c>
    </row>
    <row r="14" spans="1:65" hidden="1" x14ac:dyDescent="0.35">
      <c r="A14" t="s">
        <v>18</v>
      </c>
    </row>
    <row r="15" spans="1:65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65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5" x14ac:dyDescent="0.35">
      <c r="A17" t="s">
        <v>378</v>
      </c>
      <c r="BL17">
        <v>1</v>
      </c>
    </row>
    <row r="18" spans="1:65" x14ac:dyDescent="0.35">
      <c r="A18" t="s">
        <v>54</v>
      </c>
      <c r="C18">
        <v>2</v>
      </c>
      <c r="D18">
        <v>3</v>
      </c>
      <c r="V18">
        <v>2</v>
      </c>
    </row>
    <row r="19" spans="1:65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</row>
    <row r="20" spans="1:65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</row>
    <row r="21" spans="1:65" x14ac:dyDescent="0.35">
      <c r="A21" t="s">
        <v>15</v>
      </c>
      <c r="F21">
        <v>1</v>
      </c>
      <c r="H21">
        <v>2</v>
      </c>
      <c r="I21">
        <v>1</v>
      </c>
      <c r="AK21">
        <v>1</v>
      </c>
      <c r="AL21">
        <v>4</v>
      </c>
      <c r="AO21">
        <v>2</v>
      </c>
      <c r="AR21">
        <v>3</v>
      </c>
      <c r="AS21">
        <v>2</v>
      </c>
      <c r="AT21">
        <v>1</v>
      </c>
      <c r="AY21">
        <v>1</v>
      </c>
      <c r="BE21">
        <v>2</v>
      </c>
      <c r="BF21">
        <v>1</v>
      </c>
      <c r="BI21">
        <v>2</v>
      </c>
    </row>
    <row r="22" spans="1:65" x14ac:dyDescent="0.35">
      <c r="A22" t="s">
        <v>375</v>
      </c>
      <c r="AW22">
        <v>1</v>
      </c>
    </row>
    <row r="23" spans="1:65" x14ac:dyDescent="0.35">
      <c r="A23" t="s">
        <v>6</v>
      </c>
      <c r="B23">
        <v>3</v>
      </c>
      <c r="E23">
        <v>2</v>
      </c>
      <c r="H23">
        <v>1</v>
      </c>
      <c r="L23">
        <v>2</v>
      </c>
      <c r="M23">
        <v>2</v>
      </c>
      <c r="N23">
        <v>6</v>
      </c>
      <c r="O23">
        <v>1</v>
      </c>
      <c r="Q23">
        <v>3</v>
      </c>
      <c r="R23">
        <v>1</v>
      </c>
      <c r="S23">
        <v>1</v>
      </c>
      <c r="T23">
        <v>3</v>
      </c>
      <c r="U23">
        <v>3</v>
      </c>
      <c r="V23">
        <v>6</v>
      </c>
      <c r="W23">
        <v>2</v>
      </c>
      <c r="X23">
        <v>3</v>
      </c>
      <c r="Y23">
        <v>1</v>
      </c>
      <c r="Z23">
        <v>3.5</v>
      </c>
      <c r="AA23">
        <v>3.5</v>
      </c>
      <c r="AB23">
        <v>3</v>
      </c>
      <c r="AC23">
        <v>1</v>
      </c>
      <c r="AE23">
        <v>10</v>
      </c>
      <c r="AF23">
        <v>3</v>
      </c>
      <c r="AG23">
        <v>3</v>
      </c>
      <c r="AH23">
        <v>2</v>
      </c>
      <c r="AJ23">
        <v>3</v>
      </c>
      <c r="AK23">
        <v>3</v>
      </c>
      <c r="AL23">
        <v>5</v>
      </c>
      <c r="AN23">
        <v>1</v>
      </c>
      <c r="AO23">
        <v>6</v>
      </c>
      <c r="AP23">
        <v>4</v>
      </c>
      <c r="AQ23">
        <v>3</v>
      </c>
      <c r="AR23">
        <v>4</v>
      </c>
      <c r="AS23">
        <v>2</v>
      </c>
      <c r="AT23">
        <v>4</v>
      </c>
      <c r="AU23">
        <v>4</v>
      </c>
      <c r="AV23">
        <v>6</v>
      </c>
      <c r="AW23">
        <v>1</v>
      </c>
      <c r="AY23">
        <v>4</v>
      </c>
      <c r="AZ23">
        <v>1</v>
      </c>
      <c r="BA23">
        <v>3</v>
      </c>
      <c r="BC23">
        <v>5</v>
      </c>
      <c r="BD23">
        <v>2</v>
      </c>
      <c r="BE23">
        <v>3</v>
      </c>
      <c r="BF23">
        <v>3</v>
      </c>
      <c r="BG23">
        <v>3</v>
      </c>
      <c r="BH23">
        <v>1</v>
      </c>
      <c r="BI23">
        <v>5</v>
      </c>
      <c r="BJ23">
        <v>1</v>
      </c>
      <c r="BK23">
        <v>1</v>
      </c>
      <c r="BL23">
        <v>2</v>
      </c>
    </row>
    <row r="24" spans="1:65" x14ac:dyDescent="0.35">
      <c r="A24" t="s">
        <v>342</v>
      </c>
      <c r="T24">
        <v>4</v>
      </c>
      <c r="AH24">
        <v>1</v>
      </c>
      <c r="AK24">
        <v>1</v>
      </c>
    </row>
    <row r="25" spans="1:65" hidden="1" x14ac:dyDescent="0.35">
      <c r="A25" t="s">
        <v>52</v>
      </c>
    </row>
    <row r="26" spans="1:65" x14ac:dyDescent="0.35">
      <c r="A26" t="s">
        <v>78</v>
      </c>
    </row>
    <row r="27" spans="1:65" x14ac:dyDescent="0.35">
      <c r="A27" t="s">
        <v>12</v>
      </c>
      <c r="N27">
        <v>2</v>
      </c>
      <c r="U27">
        <v>1</v>
      </c>
      <c r="AI27">
        <v>1</v>
      </c>
    </row>
    <row r="28" spans="1:65" x14ac:dyDescent="0.35">
      <c r="A28" t="s">
        <v>4</v>
      </c>
      <c r="E28">
        <v>1</v>
      </c>
      <c r="F28">
        <v>3</v>
      </c>
      <c r="H28">
        <v>1</v>
      </c>
      <c r="J28">
        <v>1</v>
      </c>
      <c r="K28">
        <v>3</v>
      </c>
      <c r="P28">
        <v>3</v>
      </c>
      <c r="U28">
        <v>3</v>
      </c>
      <c r="W28">
        <v>1</v>
      </c>
      <c r="AD28">
        <v>1</v>
      </c>
      <c r="AF28">
        <v>1</v>
      </c>
      <c r="AH28">
        <v>1</v>
      </c>
      <c r="AI28">
        <v>1</v>
      </c>
      <c r="AJ28">
        <v>2</v>
      </c>
      <c r="AO28">
        <v>2</v>
      </c>
      <c r="AP28">
        <v>2</v>
      </c>
      <c r="AQ28">
        <v>4</v>
      </c>
      <c r="AR28">
        <v>2</v>
      </c>
      <c r="AT28">
        <v>1</v>
      </c>
      <c r="AU28">
        <v>2</v>
      </c>
      <c r="AV28">
        <v>1</v>
      </c>
      <c r="AW28">
        <v>1</v>
      </c>
      <c r="AX28">
        <v>1</v>
      </c>
      <c r="AZ28">
        <v>2</v>
      </c>
      <c r="BA28">
        <v>2</v>
      </c>
      <c r="BB28">
        <v>1</v>
      </c>
      <c r="BD28">
        <v>2</v>
      </c>
      <c r="BE28">
        <v>3</v>
      </c>
      <c r="BF28">
        <v>1</v>
      </c>
      <c r="BG28">
        <v>1</v>
      </c>
      <c r="BJ28">
        <v>1</v>
      </c>
      <c r="BK28">
        <v>1</v>
      </c>
      <c r="BL28">
        <v>1</v>
      </c>
      <c r="BM28">
        <v>2</v>
      </c>
    </row>
    <row r="29" spans="1:65" x14ac:dyDescent="0.35">
      <c r="A29" t="s">
        <v>361</v>
      </c>
      <c r="AD29">
        <v>2</v>
      </c>
      <c r="AM29">
        <v>1</v>
      </c>
      <c r="AU29">
        <v>1</v>
      </c>
      <c r="BF29">
        <v>3</v>
      </c>
    </row>
    <row r="30" spans="1:65" x14ac:dyDescent="0.35">
      <c r="A30" t="s">
        <v>1</v>
      </c>
      <c r="B30">
        <v>1</v>
      </c>
      <c r="C30">
        <v>1</v>
      </c>
      <c r="D30">
        <v>1</v>
      </c>
      <c r="E30">
        <v>1</v>
      </c>
      <c r="F30">
        <v>2</v>
      </c>
      <c r="I30">
        <v>2</v>
      </c>
      <c r="J30">
        <v>1</v>
      </c>
      <c r="K30">
        <v>2</v>
      </c>
      <c r="L30">
        <v>1</v>
      </c>
      <c r="M30">
        <v>2</v>
      </c>
      <c r="N30">
        <v>1</v>
      </c>
      <c r="O30">
        <v>1</v>
      </c>
      <c r="P30">
        <v>2</v>
      </c>
      <c r="R30">
        <v>1</v>
      </c>
      <c r="T30">
        <v>1</v>
      </c>
      <c r="U30">
        <v>2</v>
      </c>
      <c r="Y30">
        <v>2</v>
      </c>
      <c r="AB30">
        <v>2</v>
      </c>
      <c r="AD30">
        <v>1</v>
      </c>
      <c r="AH30">
        <v>1</v>
      </c>
      <c r="AJ30">
        <v>1</v>
      </c>
      <c r="AN30">
        <v>2</v>
      </c>
      <c r="AO30">
        <v>1</v>
      </c>
      <c r="AP30">
        <v>2</v>
      </c>
      <c r="AQ30">
        <v>1</v>
      </c>
      <c r="AS30">
        <v>2</v>
      </c>
      <c r="AW30">
        <v>1</v>
      </c>
      <c r="AX30">
        <v>1</v>
      </c>
      <c r="AY30">
        <v>2</v>
      </c>
      <c r="AZ30">
        <v>2</v>
      </c>
      <c r="BA30">
        <v>1</v>
      </c>
      <c r="BB30">
        <v>2</v>
      </c>
      <c r="BC30">
        <v>4</v>
      </c>
      <c r="BD30">
        <v>1</v>
      </c>
      <c r="BE30">
        <v>1</v>
      </c>
      <c r="BG30">
        <v>2</v>
      </c>
      <c r="BH30">
        <v>3</v>
      </c>
      <c r="BJ30">
        <v>1</v>
      </c>
      <c r="BM30">
        <v>3</v>
      </c>
    </row>
    <row r="31" spans="1:65" hidden="1" x14ac:dyDescent="0.35">
      <c r="A31" t="s">
        <v>351</v>
      </c>
      <c r="Z31">
        <v>1</v>
      </c>
    </row>
    <row r="32" spans="1:65" x14ac:dyDescent="0.35">
      <c r="A32" t="s">
        <v>9</v>
      </c>
      <c r="C32">
        <v>1</v>
      </c>
      <c r="D32">
        <v>1</v>
      </c>
      <c r="G32">
        <v>2</v>
      </c>
      <c r="H32">
        <v>2</v>
      </c>
      <c r="I32">
        <v>1</v>
      </c>
      <c r="J32">
        <v>1</v>
      </c>
      <c r="K32">
        <v>2</v>
      </c>
      <c r="L32">
        <v>5</v>
      </c>
      <c r="M32">
        <v>1</v>
      </c>
      <c r="O32">
        <v>4</v>
      </c>
      <c r="P32">
        <v>1</v>
      </c>
      <c r="Q32">
        <v>2</v>
      </c>
      <c r="T32">
        <v>6</v>
      </c>
      <c r="X32">
        <v>2</v>
      </c>
      <c r="Y32">
        <v>2</v>
      </c>
      <c r="Z32">
        <v>1</v>
      </c>
      <c r="AA32">
        <v>1</v>
      </c>
      <c r="AB32">
        <v>1</v>
      </c>
      <c r="AC32">
        <v>3</v>
      </c>
      <c r="AF32">
        <v>4</v>
      </c>
      <c r="AI32">
        <v>1</v>
      </c>
      <c r="AL32">
        <v>1</v>
      </c>
      <c r="AN32">
        <v>1</v>
      </c>
      <c r="AR32">
        <v>2</v>
      </c>
      <c r="AS32">
        <v>3</v>
      </c>
      <c r="AT32">
        <v>1</v>
      </c>
      <c r="AW32">
        <v>2</v>
      </c>
      <c r="AX32">
        <v>5</v>
      </c>
      <c r="AY32">
        <v>3</v>
      </c>
      <c r="AZ32">
        <v>1</v>
      </c>
      <c r="BA32">
        <v>3</v>
      </c>
      <c r="BB32">
        <v>2</v>
      </c>
      <c r="BD32">
        <v>3</v>
      </c>
      <c r="BF32">
        <v>3</v>
      </c>
      <c r="BG32">
        <v>4</v>
      </c>
      <c r="BH32">
        <v>3</v>
      </c>
      <c r="BI32">
        <v>2</v>
      </c>
      <c r="BJ32">
        <v>1</v>
      </c>
      <c r="BL32">
        <v>1</v>
      </c>
      <c r="BM32">
        <v>2</v>
      </c>
    </row>
    <row r="33" spans="1:65" x14ac:dyDescent="0.35">
      <c r="A33" t="s">
        <v>381</v>
      </c>
      <c r="BG33">
        <v>2</v>
      </c>
    </row>
    <row r="34" spans="1:65" x14ac:dyDescent="0.35">
      <c r="A34" t="s">
        <v>20</v>
      </c>
      <c r="B34">
        <v>1</v>
      </c>
      <c r="D34">
        <v>1</v>
      </c>
      <c r="F34">
        <v>2</v>
      </c>
      <c r="G34">
        <v>2</v>
      </c>
      <c r="H34">
        <v>4</v>
      </c>
      <c r="J34">
        <v>2</v>
      </c>
      <c r="K34">
        <v>2</v>
      </c>
      <c r="L34">
        <v>1</v>
      </c>
      <c r="M34">
        <v>1</v>
      </c>
      <c r="P34">
        <v>1</v>
      </c>
      <c r="Q34">
        <v>1</v>
      </c>
      <c r="R34">
        <v>3</v>
      </c>
      <c r="S34">
        <v>2</v>
      </c>
      <c r="T34">
        <v>2</v>
      </c>
      <c r="U34">
        <v>2</v>
      </c>
      <c r="W34">
        <v>3</v>
      </c>
      <c r="X34">
        <v>3</v>
      </c>
      <c r="Y34">
        <v>2</v>
      </c>
      <c r="AA34">
        <v>2</v>
      </c>
      <c r="AB34">
        <v>2</v>
      </c>
      <c r="AC34">
        <v>2</v>
      </c>
      <c r="AE34">
        <v>2</v>
      </c>
      <c r="AF34">
        <v>1</v>
      </c>
      <c r="AG34">
        <v>2</v>
      </c>
      <c r="AJ34">
        <v>4</v>
      </c>
      <c r="AK34">
        <v>2</v>
      </c>
      <c r="AM34">
        <v>1</v>
      </c>
      <c r="AN34">
        <v>1</v>
      </c>
      <c r="AO34">
        <v>1</v>
      </c>
      <c r="AP34">
        <v>1</v>
      </c>
      <c r="AU34">
        <v>1</v>
      </c>
      <c r="AV34">
        <v>1</v>
      </c>
      <c r="AW34">
        <v>2</v>
      </c>
      <c r="BA34">
        <v>1</v>
      </c>
      <c r="BH34">
        <v>2</v>
      </c>
      <c r="BJ34">
        <v>2</v>
      </c>
      <c r="BK34">
        <v>3</v>
      </c>
    </row>
    <row r="35" spans="1:65" x14ac:dyDescent="0.35">
      <c r="A35" t="s">
        <v>80</v>
      </c>
      <c r="F35">
        <v>1</v>
      </c>
    </row>
    <row r="36" spans="1:65" hidden="1" x14ac:dyDescent="0.35">
      <c r="A36" t="s">
        <v>61</v>
      </c>
      <c r="D36">
        <v>1</v>
      </c>
    </row>
    <row r="37" spans="1:65" x14ac:dyDescent="0.35">
      <c r="A37" t="s">
        <v>374</v>
      </c>
      <c r="AW37">
        <v>2</v>
      </c>
    </row>
    <row r="38" spans="1:65" x14ac:dyDescent="0.35">
      <c r="A38" t="s">
        <v>19</v>
      </c>
      <c r="B38">
        <v>2</v>
      </c>
      <c r="C38">
        <v>1</v>
      </c>
      <c r="D38">
        <v>1</v>
      </c>
      <c r="F38">
        <v>4</v>
      </c>
      <c r="G38">
        <v>3</v>
      </c>
      <c r="H38">
        <v>1</v>
      </c>
      <c r="I38">
        <v>1</v>
      </c>
      <c r="M38">
        <v>2</v>
      </c>
      <c r="N38">
        <v>3</v>
      </c>
      <c r="T38">
        <v>1</v>
      </c>
      <c r="X38">
        <v>1</v>
      </c>
      <c r="AA38">
        <v>2</v>
      </c>
      <c r="AB38">
        <v>2</v>
      </c>
      <c r="AC38">
        <v>1</v>
      </c>
      <c r="AD38">
        <v>2</v>
      </c>
      <c r="AE38">
        <v>1</v>
      </c>
      <c r="AG38">
        <v>1</v>
      </c>
      <c r="AH38">
        <v>2</v>
      </c>
      <c r="AJ38">
        <v>1</v>
      </c>
      <c r="AM38">
        <v>4</v>
      </c>
      <c r="AN38">
        <v>1</v>
      </c>
      <c r="AP38">
        <v>1</v>
      </c>
      <c r="AR38">
        <v>1</v>
      </c>
      <c r="AS38">
        <v>1</v>
      </c>
      <c r="AT38">
        <v>1</v>
      </c>
      <c r="AV38">
        <v>1</v>
      </c>
      <c r="AZ38">
        <v>2</v>
      </c>
      <c r="BA38">
        <v>1</v>
      </c>
      <c r="BC38">
        <v>3</v>
      </c>
      <c r="BD38">
        <v>1</v>
      </c>
      <c r="BI38">
        <v>1</v>
      </c>
      <c r="BJ38">
        <v>1</v>
      </c>
      <c r="BK38">
        <v>3</v>
      </c>
      <c r="BL38">
        <v>2</v>
      </c>
      <c r="BM38">
        <v>5</v>
      </c>
    </row>
    <row r="39" spans="1:65" x14ac:dyDescent="0.35">
      <c r="A39" t="s">
        <v>43</v>
      </c>
      <c r="AQ39">
        <v>2</v>
      </c>
    </row>
    <row r="40" spans="1:65" x14ac:dyDescent="0.35">
      <c r="A40" t="s">
        <v>68</v>
      </c>
      <c r="E40">
        <v>1</v>
      </c>
      <c r="I40">
        <v>1</v>
      </c>
      <c r="N40">
        <v>1</v>
      </c>
      <c r="W40">
        <v>2</v>
      </c>
      <c r="AQ40">
        <v>1</v>
      </c>
    </row>
    <row r="41" spans="1:65" hidden="1" x14ac:dyDescent="0.35">
      <c r="A41" t="s">
        <v>53</v>
      </c>
      <c r="N41">
        <v>1</v>
      </c>
    </row>
    <row r="42" spans="1:65" x14ac:dyDescent="0.35">
      <c r="A42" t="s">
        <v>368</v>
      </c>
      <c r="AM42">
        <v>5</v>
      </c>
      <c r="BB42">
        <v>9</v>
      </c>
    </row>
    <row r="43" spans="1:65" x14ac:dyDescent="0.35">
      <c r="A43" t="s">
        <v>345</v>
      </c>
      <c r="U43">
        <v>1</v>
      </c>
    </row>
    <row r="44" spans="1:65" x14ac:dyDescent="0.35">
      <c r="A44" t="s">
        <v>343</v>
      </c>
      <c r="AN44">
        <v>1</v>
      </c>
    </row>
    <row r="45" spans="1:65" x14ac:dyDescent="0.35">
      <c r="A45" t="s">
        <v>344</v>
      </c>
      <c r="X45">
        <v>1</v>
      </c>
      <c r="Y45">
        <v>2</v>
      </c>
      <c r="AF45">
        <v>2</v>
      </c>
    </row>
    <row r="46" spans="1:65" x14ac:dyDescent="0.35">
      <c r="A46" t="s">
        <v>10</v>
      </c>
      <c r="B46">
        <v>2</v>
      </c>
      <c r="C46">
        <v>3</v>
      </c>
      <c r="F46">
        <v>2</v>
      </c>
      <c r="I46">
        <v>2</v>
      </c>
      <c r="J46">
        <v>2</v>
      </c>
      <c r="K46">
        <v>1</v>
      </c>
      <c r="L46">
        <v>1</v>
      </c>
      <c r="M46">
        <v>1</v>
      </c>
      <c r="O46">
        <v>2</v>
      </c>
      <c r="R46">
        <v>3</v>
      </c>
      <c r="S46">
        <v>1</v>
      </c>
      <c r="T46">
        <v>1</v>
      </c>
      <c r="V46">
        <v>1</v>
      </c>
      <c r="W46">
        <v>3</v>
      </c>
      <c r="X46">
        <v>1</v>
      </c>
      <c r="Y46">
        <v>1</v>
      </c>
      <c r="Z46">
        <v>1.5</v>
      </c>
      <c r="AC46">
        <v>1</v>
      </c>
      <c r="AD46">
        <v>2</v>
      </c>
      <c r="AE46">
        <v>1</v>
      </c>
      <c r="AF46">
        <v>2</v>
      </c>
      <c r="AH46">
        <v>2</v>
      </c>
      <c r="AL46">
        <v>3</v>
      </c>
      <c r="AP46">
        <v>2</v>
      </c>
      <c r="AQ46">
        <v>4</v>
      </c>
      <c r="AR46">
        <v>3</v>
      </c>
      <c r="AS46">
        <v>0.5</v>
      </c>
      <c r="AU46">
        <v>2</v>
      </c>
      <c r="AV46">
        <v>1</v>
      </c>
      <c r="BC46">
        <v>1</v>
      </c>
      <c r="BD46">
        <v>1</v>
      </c>
      <c r="BE46">
        <v>7</v>
      </c>
      <c r="BH46">
        <v>1</v>
      </c>
      <c r="BI46">
        <v>1</v>
      </c>
      <c r="BJ46">
        <v>3</v>
      </c>
      <c r="BK46">
        <v>3</v>
      </c>
      <c r="BL46">
        <v>1</v>
      </c>
      <c r="BM46">
        <v>1</v>
      </c>
    </row>
    <row r="47" spans="1:65" x14ac:dyDescent="0.35">
      <c r="A47" t="s">
        <v>46</v>
      </c>
      <c r="B47">
        <v>1</v>
      </c>
      <c r="O47">
        <v>3</v>
      </c>
      <c r="P47">
        <v>1</v>
      </c>
      <c r="Q47">
        <v>2</v>
      </c>
      <c r="AM47">
        <v>1</v>
      </c>
      <c r="AN47">
        <v>1</v>
      </c>
      <c r="AP47">
        <v>1</v>
      </c>
      <c r="AS47">
        <v>1</v>
      </c>
      <c r="AV47">
        <v>1</v>
      </c>
      <c r="AX47">
        <v>5</v>
      </c>
      <c r="AY47">
        <v>1</v>
      </c>
      <c r="BA47">
        <v>2</v>
      </c>
      <c r="BB47">
        <v>4</v>
      </c>
      <c r="BE47">
        <v>3</v>
      </c>
      <c r="BF47">
        <v>2</v>
      </c>
      <c r="BH47">
        <v>3</v>
      </c>
      <c r="BK47">
        <v>1</v>
      </c>
    </row>
    <row r="48" spans="1:65" x14ac:dyDescent="0.35">
      <c r="A48" t="s">
        <v>377</v>
      </c>
    </row>
    <row r="49" spans="1:65" x14ac:dyDescent="0.35">
      <c r="A49" t="s">
        <v>3</v>
      </c>
      <c r="F49">
        <v>3</v>
      </c>
      <c r="L49">
        <v>1</v>
      </c>
      <c r="S49">
        <v>3</v>
      </c>
      <c r="AH49">
        <v>1</v>
      </c>
    </row>
    <row r="50" spans="1:65" hidden="1" x14ac:dyDescent="0.35">
      <c r="A50" t="s">
        <v>350</v>
      </c>
    </row>
    <row r="51" spans="1:65" x14ac:dyDescent="0.35">
      <c r="A51" t="s">
        <v>56</v>
      </c>
      <c r="C51">
        <v>3</v>
      </c>
      <c r="E51">
        <v>2</v>
      </c>
      <c r="F51">
        <v>1</v>
      </c>
      <c r="G51">
        <v>2</v>
      </c>
      <c r="I51">
        <v>1</v>
      </c>
      <c r="J51">
        <v>1</v>
      </c>
      <c r="K51">
        <v>1</v>
      </c>
      <c r="L51">
        <v>1</v>
      </c>
      <c r="M51">
        <v>1</v>
      </c>
      <c r="P51">
        <v>1</v>
      </c>
      <c r="R51">
        <v>1</v>
      </c>
      <c r="S51">
        <v>4</v>
      </c>
      <c r="T51">
        <v>1</v>
      </c>
      <c r="V51">
        <v>1</v>
      </c>
      <c r="W51">
        <v>2</v>
      </c>
      <c r="Z51">
        <v>2</v>
      </c>
      <c r="AA51">
        <v>1</v>
      </c>
      <c r="AB51">
        <v>4</v>
      </c>
      <c r="AC51">
        <v>1</v>
      </c>
      <c r="AD51">
        <v>1</v>
      </c>
      <c r="AX51">
        <v>1</v>
      </c>
      <c r="AY51">
        <v>1</v>
      </c>
      <c r="AZ51">
        <v>2</v>
      </c>
      <c r="BD51">
        <v>1</v>
      </c>
      <c r="BF51">
        <v>1</v>
      </c>
      <c r="BH51">
        <v>1</v>
      </c>
      <c r="BI51">
        <v>1</v>
      </c>
      <c r="BJ51">
        <v>2</v>
      </c>
      <c r="BK51">
        <v>1</v>
      </c>
      <c r="BL51">
        <v>2</v>
      </c>
      <c r="BM51">
        <v>2</v>
      </c>
    </row>
    <row r="52" spans="1:65" x14ac:dyDescent="0.35">
      <c r="A52" t="s">
        <v>369</v>
      </c>
      <c r="AN52">
        <v>3</v>
      </c>
    </row>
    <row r="53" spans="1:65" x14ac:dyDescent="0.35">
      <c r="A53" t="s">
        <v>60</v>
      </c>
      <c r="B53">
        <v>2</v>
      </c>
      <c r="BF53">
        <v>1</v>
      </c>
    </row>
    <row r="54" spans="1:65" x14ac:dyDescent="0.35">
      <c r="A54" t="s">
        <v>340</v>
      </c>
      <c r="Q54">
        <v>1</v>
      </c>
      <c r="U54">
        <v>1</v>
      </c>
      <c r="W54">
        <v>1</v>
      </c>
      <c r="X54">
        <v>3</v>
      </c>
      <c r="Y54">
        <v>1</v>
      </c>
      <c r="Z54">
        <v>1</v>
      </c>
    </row>
    <row r="55" spans="1:65" x14ac:dyDescent="0.35">
      <c r="A55" t="s">
        <v>339</v>
      </c>
    </row>
    <row r="56" spans="1:65" x14ac:dyDescent="0.35">
      <c r="A56" t="s">
        <v>11</v>
      </c>
    </row>
    <row r="57" spans="1:65" x14ac:dyDescent="0.35">
      <c r="A57" t="s">
        <v>55</v>
      </c>
      <c r="B57">
        <v>2</v>
      </c>
      <c r="C57">
        <v>1</v>
      </c>
      <c r="D57">
        <v>1</v>
      </c>
      <c r="E57">
        <v>1</v>
      </c>
      <c r="F57">
        <v>3</v>
      </c>
      <c r="G57">
        <v>2</v>
      </c>
      <c r="H57">
        <v>3</v>
      </c>
      <c r="J57">
        <v>1</v>
      </c>
      <c r="K57">
        <v>1</v>
      </c>
      <c r="M57">
        <v>3</v>
      </c>
      <c r="N57">
        <v>4</v>
      </c>
      <c r="X57">
        <v>6</v>
      </c>
      <c r="Y57">
        <v>5</v>
      </c>
      <c r="Z57">
        <v>1</v>
      </c>
      <c r="AD57">
        <v>2</v>
      </c>
      <c r="AG57">
        <v>3</v>
      </c>
      <c r="AJ57">
        <v>2</v>
      </c>
      <c r="AM57">
        <v>2</v>
      </c>
      <c r="AO57">
        <v>3</v>
      </c>
      <c r="AQ57">
        <v>2</v>
      </c>
      <c r="AT57">
        <v>1</v>
      </c>
      <c r="AU57">
        <v>4</v>
      </c>
      <c r="AV57">
        <v>2</v>
      </c>
      <c r="AX57">
        <v>1</v>
      </c>
      <c r="AY57">
        <v>2</v>
      </c>
      <c r="AZ57">
        <v>1</v>
      </c>
      <c r="BA57">
        <v>4</v>
      </c>
      <c r="BB57">
        <v>2</v>
      </c>
      <c r="BH57">
        <v>1</v>
      </c>
    </row>
    <row r="58" spans="1:65" x14ac:dyDescent="0.35">
      <c r="A58" t="s">
        <v>21</v>
      </c>
    </row>
    <row r="59" spans="1:65" x14ac:dyDescent="0.35">
      <c r="A59" t="s">
        <v>81</v>
      </c>
      <c r="G59">
        <v>3</v>
      </c>
      <c r="K59">
        <v>1</v>
      </c>
      <c r="BG59">
        <v>2</v>
      </c>
    </row>
    <row r="60" spans="1:65" x14ac:dyDescent="0.35">
      <c r="A60" t="s">
        <v>63</v>
      </c>
      <c r="B60">
        <v>2</v>
      </c>
      <c r="D60">
        <v>1</v>
      </c>
      <c r="AF60">
        <v>2</v>
      </c>
      <c r="AQ60">
        <v>3</v>
      </c>
      <c r="BF60">
        <v>1</v>
      </c>
      <c r="BM60">
        <v>1</v>
      </c>
    </row>
    <row r="61" spans="1:65" hidden="1" x14ac:dyDescent="0.35">
      <c r="A61" t="s">
        <v>83</v>
      </c>
    </row>
    <row r="62" spans="1:65" x14ac:dyDescent="0.35">
      <c r="A62" t="s">
        <v>22</v>
      </c>
      <c r="Y62">
        <v>1</v>
      </c>
      <c r="AB62">
        <v>2</v>
      </c>
      <c r="AD62">
        <v>3</v>
      </c>
      <c r="AI62">
        <v>1</v>
      </c>
      <c r="AR62">
        <v>4</v>
      </c>
      <c r="AV62">
        <v>3</v>
      </c>
      <c r="BA62">
        <v>2</v>
      </c>
      <c r="BB62">
        <v>5</v>
      </c>
      <c r="BE62">
        <v>6</v>
      </c>
    </row>
    <row r="63" spans="1:65" x14ac:dyDescent="0.35">
      <c r="A63" t="s">
        <v>376</v>
      </c>
      <c r="AU63">
        <v>1</v>
      </c>
      <c r="AV63">
        <v>1</v>
      </c>
      <c r="AW63">
        <v>3</v>
      </c>
      <c r="AX63">
        <v>1</v>
      </c>
      <c r="AZ63">
        <v>1</v>
      </c>
      <c r="BC63">
        <v>2</v>
      </c>
    </row>
    <row r="64" spans="1:65" x14ac:dyDescent="0.35">
      <c r="A64" t="s">
        <v>44</v>
      </c>
      <c r="N64">
        <v>3</v>
      </c>
      <c r="S64">
        <v>2</v>
      </c>
      <c r="AG64">
        <v>2</v>
      </c>
      <c r="AI64">
        <v>1</v>
      </c>
      <c r="AP64">
        <v>2</v>
      </c>
      <c r="AQ64">
        <v>1</v>
      </c>
      <c r="AR64">
        <v>3</v>
      </c>
      <c r="AW64">
        <v>1</v>
      </c>
      <c r="BA64">
        <v>1</v>
      </c>
      <c r="BE64">
        <v>1</v>
      </c>
      <c r="BI64">
        <v>2</v>
      </c>
      <c r="BL64">
        <v>2</v>
      </c>
    </row>
    <row r="65" spans="1:65" x14ac:dyDescent="0.35">
      <c r="A65" t="s">
        <v>379</v>
      </c>
      <c r="BF65">
        <v>1</v>
      </c>
      <c r="BG65">
        <v>1</v>
      </c>
    </row>
    <row r="66" spans="1:65" x14ac:dyDescent="0.35">
      <c r="A66" t="s">
        <v>8</v>
      </c>
      <c r="B66">
        <v>1</v>
      </c>
      <c r="H66">
        <v>1</v>
      </c>
      <c r="J66">
        <v>2</v>
      </c>
      <c r="Q66">
        <v>2</v>
      </c>
    </row>
    <row r="67" spans="1:65" hidden="1" x14ac:dyDescent="0.35">
      <c r="A67" t="s">
        <v>354</v>
      </c>
    </row>
    <row r="68" spans="1:65" x14ac:dyDescent="0.35">
      <c r="A68" t="s">
        <v>82</v>
      </c>
      <c r="B68">
        <v>2</v>
      </c>
      <c r="C68">
        <v>2</v>
      </c>
      <c r="D68">
        <v>1</v>
      </c>
      <c r="E68">
        <v>2</v>
      </c>
      <c r="F68">
        <v>1</v>
      </c>
      <c r="G68">
        <v>2</v>
      </c>
      <c r="H68">
        <v>2</v>
      </c>
      <c r="I68">
        <v>3</v>
      </c>
      <c r="J68">
        <v>4</v>
      </c>
      <c r="L68">
        <v>4</v>
      </c>
      <c r="M68">
        <v>1</v>
      </c>
      <c r="N68">
        <v>2</v>
      </c>
      <c r="O68">
        <v>1</v>
      </c>
      <c r="P68">
        <v>1</v>
      </c>
      <c r="Q68">
        <v>1</v>
      </c>
      <c r="R68">
        <v>3</v>
      </c>
      <c r="S68">
        <v>3</v>
      </c>
      <c r="U68">
        <v>3</v>
      </c>
      <c r="V68">
        <v>1</v>
      </c>
      <c r="W68">
        <v>3</v>
      </c>
      <c r="AC68">
        <v>1</v>
      </c>
      <c r="AF68">
        <v>1</v>
      </c>
      <c r="AH68">
        <v>2</v>
      </c>
      <c r="AI68">
        <v>3</v>
      </c>
      <c r="AJ68">
        <v>1</v>
      </c>
      <c r="AK68">
        <v>4</v>
      </c>
      <c r="AL68">
        <v>3</v>
      </c>
      <c r="AN68">
        <v>1</v>
      </c>
      <c r="AP68">
        <v>2</v>
      </c>
      <c r="AT68">
        <v>2</v>
      </c>
      <c r="AU68">
        <v>3</v>
      </c>
      <c r="AV68">
        <v>1</v>
      </c>
      <c r="AW68">
        <v>1</v>
      </c>
      <c r="AX68">
        <v>1</v>
      </c>
      <c r="AY68">
        <v>1</v>
      </c>
      <c r="AZ68">
        <v>2</v>
      </c>
      <c r="BC68">
        <v>2</v>
      </c>
      <c r="BD68">
        <v>1</v>
      </c>
      <c r="BF68">
        <v>2</v>
      </c>
      <c r="BH68">
        <v>3</v>
      </c>
      <c r="BI68">
        <v>1</v>
      </c>
      <c r="BJ68">
        <v>2</v>
      </c>
      <c r="BK68">
        <v>3</v>
      </c>
      <c r="BM68">
        <v>2</v>
      </c>
    </row>
    <row r="69" spans="1:65" x14ac:dyDescent="0.35">
      <c r="A69" t="s">
        <v>49</v>
      </c>
      <c r="G69">
        <v>2</v>
      </c>
    </row>
    <row r="70" spans="1:65" x14ac:dyDescent="0.35">
      <c r="A70" t="s">
        <v>386</v>
      </c>
    </row>
    <row r="71" spans="1:65" x14ac:dyDescent="0.35">
      <c r="A71" t="s">
        <v>85</v>
      </c>
      <c r="K71">
        <v>4</v>
      </c>
      <c r="L71">
        <v>2</v>
      </c>
      <c r="M71">
        <v>5</v>
      </c>
    </row>
    <row r="72" spans="1:65" x14ac:dyDescent="0.35">
      <c r="A72" t="s">
        <v>5</v>
      </c>
      <c r="B72">
        <v>1</v>
      </c>
      <c r="C72">
        <v>2</v>
      </c>
      <c r="D72">
        <v>2</v>
      </c>
      <c r="E72">
        <v>3</v>
      </c>
      <c r="F72">
        <v>2</v>
      </c>
      <c r="G72">
        <v>3</v>
      </c>
      <c r="H72">
        <v>1</v>
      </c>
      <c r="M72">
        <v>4</v>
      </c>
      <c r="N72">
        <v>6</v>
      </c>
      <c r="P72">
        <v>2</v>
      </c>
      <c r="Q72">
        <v>1</v>
      </c>
      <c r="R72">
        <v>2</v>
      </c>
      <c r="S72">
        <v>3</v>
      </c>
      <c r="V72">
        <v>2</v>
      </c>
      <c r="W72">
        <v>1</v>
      </c>
      <c r="X72">
        <v>1</v>
      </c>
      <c r="Y72">
        <v>4</v>
      </c>
      <c r="Z72">
        <v>5</v>
      </c>
      <c r="AA72">
        <v>1</v>
      </c>
      <c r="AB72">
        <v>3</v>
      </c>
      <c r="AC72">
        <v>4</v>
      </c>
      <c r="AD72">
        <v>3</v>
      </c>
      <c r="AE72">
        <v>3</v>
      </c>
      <c r="AF72">
        <v>2</v>
      </c>
      <c r="AG72">
        <v>5</v>
      </c>
      <c r="AH72">
        <v>7</v>
      </c>
      <c r="AI72">
        <v>3</v>
      </c>
      <c r="AJ72">
        <v>1</v>
      </c>
      <c r="AK72">
        <v>1</v>
      </c>
      <c r="AL72">
        <v>6</v>
      </c>
      <c r="AR72">
        <v>3</v>
      </c>
      <c r="AS72">
        <v>2</v>
      </c>
      <c r="AV72">
        <v>2</v>
      </c>
      <c r="AW72">
        <v>1</v>
      </c>
      <c r="AX72">
        <v>4</v>
      </c>
      <c r="AY72">
        <v>3</v>
      </c>
      <c r="AZ72">
        <v>4</v>
      </c>
      <c r="BA72">
        <v>5</v>
      </c>
      <c r="BB72">
        <v>6</v>
      </c>
      <c r="BC72">
        <v>2</v>
      </c>
      <c r="BD72">
        <v>2</v>
      </c>
      <c r="BE72">
        <v>7</v>
      </c>
      <c r="BG72">
        <v>4</v>
      </c>
      <c r="BH72">
        <v>3</v>
      </c>
      <c r="BI72">
        <v>4</v>
      </c>
      <c r="BK72">
        <v>1</v>
      </c>
      <c r="BL72">
        <v>8</v>
      </c>
      <c r="BM72">
        <v>4</v>
      </c>
    </row>
    <row r="73" spans="1:65" x14ac:dyDescent="0.35">
      <c r="A73" t="s">
        <v>45</v>
      </c>
      <c r="K73">
        <v>1</v>
      </c>
      <c r="BJ73">
        <v>1</v>
      </c>
    </row>
    <row r="74" spans="1:65" x14ac:dyDescent="0.35">
      <c r="A74" t="s">
        <v>367</v>
      </c>
      <c r="B74">
        <v>1</v>
      </c>
      <c r="D74">
        <v>1</v>
      </c>
      <c r="E74">
        <v>3</v>
      </c>
      <c r="O74">
        <v>2</v>
      </c>
      <c r="P74">
        <v>2</v>
      </c>
      <c r="Q74">
        <v>1</v>
      </c>
      <c r="R74">
        <v>1</v>
      </c>
      <c r="AD74">
        <v>1</v>
      </c>
      <c r="AE74">
        <v>1</v>
      </c>
      <c r="AG74">
        <v>1</v>
      </c>
      <c r="AH74">
        <v>2</v>
      </c>
      <c r="AL74">
        <v>3</v>
      </c>
      <c r="AM74">
        <v>2</v>
      </c>
      <c r="AN74">
        <v>1</v>
      </c>
      <c r="AO74">
        <v>1</v>
      </c>
      <c r="AR74">
        <v>1</v>
      </c>
      <c r="AS74">
        <v>1</v>
      </c>
      <c r="AT74">
        <v>1</v>
      </c>
      <c r="AV74">
        <v>1</v>
      </c>
      <c r="AW74">
        <v>2</v>
      </c>
      <c r="BD74">
        <v>1</v>
      </c>
      <c r="BF74">
        <v>1</v>
      </c>
      <c r="BI74">
        <v>1</v>
      </c>
    </row>
    <row r="75" spans="1:65" hidden="1" x14ac:dyDescent="0.35">
      <c r="A75" t="s">
        <v>352</v>
      </c>
      <c r="Z75">
        <v>1</v>
      </c>
    </row>
    <row r="76" spans="1:65" hidden="1" x14ac:dyDescent="0.35">
      <c r="A76" t="s">
        <v>366</v>
      </c>
    </row>
    <row r="77" spans="1:65" x14ac:dyDescent="0.35">
      <c r="A77" t="s">
        <v>17</v>
      </c>
      <c r="F77">
        <v>2</v>
      </c>
      <c r="J77">
        <v>1</v>
      </c>
      <c r="K77">
        <v>1</v>
      </c>
    </row>
    <row r="78" spans="1:65" hidden="1" x14ac:dyDescent="0.35">
      <c r="A78" t="s">
        <v>86</v>
      </c>
      <c r="K78">
        <v>5</v>
      </c>
    </row>
    <row r="79" spans="1:65" x14ac:dyDescent="0.35">
      <c r="A79" t="s">
        <v>16</v>
      </c>
      <c r="C79">
        <v>4</v>
      </c>
      <c r="D79">
        <v>3</v>
      </c>
      <c r="F79">
        <v>2</v>
      </c>
      <c r="G79">
        <v>5</v>
      </c>
      <c r="H79">
        <v>3</v>
      </c>
      <c r="I79">
        <v>2</v>
      </c>
      <c r="J79">
        <v>5</v>
      </c>
      <c r="K79">
        <v>3</v>
      </c>
      <c r="L79">
        <v>2</v>
      </c>
      <c r="M79">
        <v>3</v>
      </c>
      <c r="O79">
        <v>5</v>
      </c>
      <c r="P79">
        <v>5</v>
      </c>
      <c r="Q79">
        <v>3</v>
      </c>
      <c r="R79">
        <v>2</v>
      </c>
      <c r="S79">
        <v>3</v>
      </c>
      <c r="T79">
        <v>1</v>
      </c>
      <c r="U79">
        <v>1</v>
      </c>
      <c r="V79">
        <v>3</v>
      </c>
      <c r="W79">
        <v>3</v>
      </c>
      <c r="X79">
        <v>5</v>
      </c>
      <c r="Y79">
        <v>4</v>
      </c>
      <c r="Z79">
        <v>1</v>
      </c>
      <c r="AA79">
        <v>3</v>
      </c>
      <c r="AC79">
        <v>1</v>
      </c>
      <c r="AE79">
        <v>4</v>
      </c>
      <c r="AF79">
        <v>2</v>
      </c>
      <c r="AG79">
        <v>3</v>
      </c>
      <c r="AH79">
        <v>2</v>
      </c>
      <c r="AI79">
        <v>2</v>
      </c>
      <c r="AJ79">
        <v>7</v>
      </c>
      <c r="AK79">
        <v>3</v>
      </c>
      <c r="AL79">
        <v>5</v>
      </c>
      <c r="AM79">
        <v>1</v>
      </c>
      <c r="AN79">
        <v>4</v>
      </c>
      <c r="AO79">
        <v>3</v>
      </c>
      <c r="AP79">
        <v>6</v>
      </c>
      <c r="AQ79">
        <v>4</v>
      </c>
      <c r="AR79">
        <v>5</v>
      </c>
      <c r="AS79">
        <v>3</v>
      </c>
      <c r="AT79">
        <v>2</v>
      </c>
      <c r="AU79">
        <v>2</v>
      </c>
      <c r="AW79">
        <v>3</v>
      </c>
      <c r="AY79">
        <v>1</v>
      </c>
      <c r="AZ79">
        <v>3</v>
      </c>
      <c r="BB79">
        <v>4</v>
      </c>
      <c r="BC79">
        <v>4</v>
      </c>
      <c r="BD79">
        <v>3</v>
      </c>
      <c r="BF79">
        <v>2</v>
      </c>
      <c r="BG79">
        <v>4</v>
      </c>
      <c r="BH79">
        <v>5</v>
      </c>
      <c r="BJ79">
        <v>4</v>
      </c>
      <c r="BK79">
        <v>2</v>
      </c>
      <c r="BL79">
        <v>4</v>
      </c>
      <c r="BM79">
        <v>1</v>
      </c>
    </row>
    <row r="80" spans="1:65" hidden="1" x14ac:dyDescent="0.35">
      <c r="A80" t="s">
        <v>47</v>
      </c>
    </row>
  </sheetData>
  <autoFilter ref="A1:AB80" xr:uid="{130C2564-D265-4C41-A3E0-02A62EDAC91D}">
    <sortState ref="A2:AB80">
      <sortCondition ref="A1:A8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2026-01-29T13:11:36Z</dcterms:modified>
</cp:coreProperties>
</file>