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30" documentId="14_{A1B3B906-E661-414D-BCC5-34D6B6413D4C}" xr6:coauthVersionLast="36" xr6:coauthVersionMax="36" xr10:uidLastSave="{185A0D5A-9DEC-4E26-8481-F970A446F859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notas!$A$1:$CP$80</definedName>
  </definedNames>
  <calcPr calcId="191029"/>
</workbook>
</file>

<file path=xl/calcChain.xml><?xml version="1.0" encoding="utf-8"?>
<calcChain xmlns="http://schemas.openxmlformats.org/spreadsheetml/2006/main">
  <c r="CK83" i="1" l="1"/>
  <c r="CL83" i="1"/>
  <c r="CM83" i="1"/>
  <c r="CO83" i="1"/>
  <c r="CP83" i="1"/>
  <c r="CK3" i="1"/>
  <c r="CL3" i="1"/>
  <c r="CM3" i="1"/>
  <c r="CO3" i="1"/>
  <c r="CP3" i="1"/>
  <c r="CK4" i="1"/>
  <c r="CM4" i="1" s="1"/>
  <c r="CL4" i="1"/>
  <c r="CO4" i="1"/>
  <c r="CP4" i="1"/>
  <c r="CK5" i="1"/>
  <c r="CL5" i="1"/>
  <c r="CM5" i="1"/>
  <c r="CO5" i="1"/>
  <c r="CP5" i="1"/>
  <c r="CK6" i="1"/>
  <c r="CL6" i="1"/>
  <c r="CM6" i="1"/>
  <c r="CO6" i="1"/>
  <c r="CP6" i="1"/>
  <c r="CK7" i="1"/>
  <c r="CL7" i="1"/>
  <c r="CM7" i="1"/>
  <c r="CO7" i="1"/>
  <c r="CP7" i="1"/>
  <c r="CK8" i="1"/>
  <c r="CL8" i="1"/>
  <c r="CM8" i="1"/>
  <c r="CO8" i="1"/>
  <c r="CP8" i="1"/>
  <c r="CK9" i="1"/>
  <c r="CL9" i="1"/>
  <c r="CM9" i="1"/>
  <c r="CO9" i="1"/>
  <c r="CP9" i="1"/>
  <c r="CK10" i="1"/>
  <c r="CL10" i="1"/>
  <c r="CM10" i="1"/>
  <c r="CO10" i="1"/>
  <c r="CP10" i="1"/>
  <c r="CK11" i="1"/>
  <c r="CL11" i="1"/>
  <c r="CM11" i="1"/>
  <c r="CO11" i="1"/>
  <c r="CP11" i="1"/>
  <c r="CK12" i="1"/>
  <c r="CL12" i="1"/>
  <c r="CM12" i="1"/>
  <c r="CO12" i="1"/>
  <c r="CP12" i="1"/>
  <c r="CK13" i="1"/>
  <c r="CL13" i="1"/>
  <c r="CM13" i="1"/>
  <c r="CO13" i="1"/>
  <c r="CP13" i="1"/>
  <c r="CK14" i="1"/>
  <c r="CL14" i="1"/>
  <c r="CM14" i="1"/>
  <c r="CO14" i="1"/>
  <c r="CP14" i="1"/>
  <c r="CK15" i="1"/>
  <c r="CL15" i="1"/>
  <c r="CM15" i="1"/>
  <c r="CO15" i="1"/>
  <c r="CP15" i="1"/>
  <c r="CK16" i="1"/>
  <c r="CL16" i="1"/>
  <c r="CM16" i="1"/>
  <c r="CO16" i="1"/>
  <c r="CP16" i="1"/>
  <c r="CK17" i="1"/>
  <c r="CM17" i="1" s="1"/>
  <c r="CL17" i="1"/>
  <c r="CO17" i="1"/>
  <c r="CP17" i="1"/>
  <c r="CK18" i="1"/>
  <c r="CL18" i="1"/>
  <c r="CM18" i="1"/>
  <c r="CO18" i="1"/>
  <c r="CP18" i="1"/>
  <c r="CK19" i="1"/>
  <c r="CL19" i="1"/>
  <c r="CM19" i="1"/>
  <c r="CO19" i="1"/>
  <c r="CP19" i="1"/>
  <c r="CK20" i="1"/>
  <c r="CL20" i="1"/>
  <c r="CM20" i="1"/>
  <c r="CO20" i="1"/>
  <c r="CP20" i="1"/>
  <c r="CK21" i="1"/>
  <c r="CL21" i="1"/>
  <c r="CM21" i="1"/>
  <c r="CO21" i="1"/>
  <c r="CP21" i="1"/>
  <c r="CK22" i="1"/>
  <c r="CM22" i="1" s="1"/>
  <c r="CL22" i="1"/>
  <c r="CO22" i="1"/>
  <c r="CP22" i="1"/>
  <c r="CK23" i="1"/>
  <c r="CL23" i="1"/>
  <c r="CM23" i="1"/>
  <c r="CO23" i="1"/>
  <c r="CP23" i="1"/>
  <c r="CK24" i="1"/>
  <c r="CL24" i="1"/>
  <c r="CM24" i="1"/>
  <c r="CO24" i="1"/>
  <c r="CP24" i="1"/>
  <c r="CK25" i="1"/>
  <c r="CL25" i="1"/>
  <c r="CM25" i="1"/>
  <c r="CO25" i="1"/>
  <c r="CP25" i="1"/>
  <c r="CK26" i="1"/>
  <c r="CL26" i="1"/>
  <c r="CM26" i="1"/>
  <c r="CO26" i="1"/>
  <c r="CP26" i="1"/>
  <c r="CK27" i="1"/>
  <c r="CL27" i="1"/>
  <c r="CM27" i="1"/>
  <c r="CO27" i="1"/>
  <c r="CP27" i="1"/>
  <c r="CK28" i="1"/>
  <c r="CL28" i="1"/>
  <c r="CM28" i="1"/>
  <c r="CO28" i="1"/>
  <c r="CP28" i="1"/>
  <c r="CK29" i="1"/>
  <c r="CL29" i="1"/>
  <c r="CM29" i="1"/>
  <c r="CO29" i="1"/>
  <c r="CP29" i="1"/>
  <c r="CK30" i="1"/>
  <c r="CL30" i="1"/>
  <c r="CM30" i="1"/>
  <c r="CO30" i="1"/>
  <c r="CP30" i="1"/>
  <c r="CK31" i="1"/>
  <c r="CL31" i="1"/>
  <c r="CM31" i="1"/>
  <c r="CO31" i="1"/>
  <c r="CP31" i="1"/>
  <c r="CK32" i="1"/>
  <c r="CL32" i="1"/>
  <c r="CM32" i="1"/>
  <c r="CO32" i="1"/>
  <c r="CP32" i="1"/>
  <c r="CK33" i="1"/>
  <c r="CL33" i="1"/>
  <c r="CM33" i="1"/>
  <c r="CO33" i="1"/>
  <c r="CP33" i="1"/>
  <c r="CK34" i="1"/>
  <c r="CL34" i="1"/>
  <c r="CM34" i="1"/>
  <c r="CO34" i="1"/>
  <c r="CP34" i="1"/>
  <c r="CK35" i="1"/>
  <c r="CL35" i="1"/>
  <c r="CM35" i="1"/>
  <c r="CO35" i="1"/>
  <c r="CP35" i="1"/>
  <c r="CK36" i="1"/>
  <c r="CL36" i="1"/>
  <c r="CM36" i="1"/>
  <c r="CO36" i="1"/>
  <c r="CP36" i="1"/>
  <c r="CK37" i="1"/>
  <c r="CL37" i="1"/>
  <c r="CM37" i="1"/>
  <c r="CO37" i="1"/>
  <c r="CP37" i="1"/>
  <c r="CK38" i="1"/>
  <c r="CL38" i="1"/>
  <c r="CM38" i="1"/>
  <c r="CO38" i="1"/>
  <c r="CP38" i="1"/>
  <c r="CK39" i="1"/>
  <c r="CL39" i="1"/>
  <c r="CM39" i="1"/>
  <c r="CO39" i="1"/>
  <c r="CP39" i="1"/>
  <c r="CK40" i="1"/>
  <c r="CL40" i="1"/>
  <c r="CM40" i="1"/>
  <c r="CO40" i="1"/>
  <c r="CP40" i="1"/>
  <c r="CK41" i="1"/>
  <c r="CM41" i="1" s="1"/>
  <c r="CL41" i="1"/>
  <c r="CO41" i="1"/>
  <c r="CP41" i="1"/>
  <c r="CK42" i="1"/>
  <c r="CL42" i="1"/>
  <c r="CM42" i="1"/>
  <c r="CO42" i="1"/>
  <c r="CP42" i="1"/>
  <c r="CK43" i="1"/>
  <c r="CL43" i="1"/>
  <c r="CM43" i="1"/>
  <c r="CO43" i="1"/>
  <c r="CP43" i="1"/>
  <c r="CK44" i="1"/>
  <c r="CL44" i="1"/>
  <c r="CM44" i="1"/>
  <c r="CO44" i="1"/>
  <c r="CP44" i="1"/>
  <c r="CK45" i="1"/>
  <c r="CL45" i="1"/>
  <c r="CM45" i="1"/>
  <c r="CO45" i="1"/>
  <c r="CP45" i="1"/>
  <c r="CK46" i="1"/>
  <c r="CM46" i="1" s="1"/>
  <c r="CL46" i="1"/>
  <c r="CO46" i="1"/>
  <c r="CP46" i="1"/>
  <c r="CK47" i="1"/>
  <c r="CL47" i="1"/>
  <c r="CM47" i="1"/>
  <c r="CO47" i="1"/>
  <c r="CP47" i="1"/>
  <c r="CK48" i="1"/>
  <c r="CL48" i="1"/>
  <c r="CM48" i="1"/>
  <c r="CO48" i="1"/>
  <c r="CP48" i="1"/>
  <c r="CK49" i="1"/>
  <c r="CL49" i="1"/>
  <c r="CM49" i="1"/>
  <c r="CO49" i="1"/>
  <c r="CP49" i="1"/>
  <c r="CK50" i="1"/>
  <c r="CL50" i="1"/>
  <c r="CM50" i="1"/>
  <c r="CO50" i="1"/>
  <c r="CP50" i="1"/>
  <c r="CK51" i="1"/>
  <c r="CL51" i="1"/>
  <c r="CM51" i="1"/>
  <c r="CO51" i="1"/>
  <c r="CP51" i="1"/>
  <c r="CK52" i="1"/>
  <c r="CL52" i="1"/>
  <c r="CM52" i="1"/>
  <c r="CO52" i="1"/>
  <c r="CP52" i="1"/>
  <c r="CK53" i="1"/>
  <c r="CL53" i="1"/>
  <c r="CM53" i="1"/>
  <c r="CO53" i="1"/>
  <c r="CP53" i="1"/>
  <c r="CK54" i="1"/>
  <c r="CL54" i="1"/>
  <c r="CM54" i="1"/>
  <c r="CO54" i="1"/>
  <c r="CP54" i="1"/>
  <c r="CK55" i="1"/>
  <c r="CL55" i="1"/>
  <c r="CM55" i="1"/>
  <c r="CO55" i="1"/>
  <c r="CP55" i="1"/>
  <c r="CK56" i="1"/>
  <c r="CL56" i="1"/>
  <c r="CM56" i="1"/>
  <c r="CO56" i="1"/>
  <c r="CP56" i="1"/>
  <c r="CK57" i="1"/>
  <c r="CL57" i="1"/>
  <c r="CM57" i="1"/>
  <c r="CO57" i="1"/>
  <c r="CP57" i="1"/>
  <c r="CK58" i="1"/>
  <c r="CL58" i="1"/>
  <c r="CM58" i="1"/>
  <c r="CO58" i="1"/>
  <c r="CP58" i="1"/>
  <c r="CK59" i="1"/>
  <c r="CL59" i="1"/>
  <c r="CM59" i="1"/>
  <c r="CO59" i="1"/>
  <c r="CP59" i="1"/>
  <c r="CK60" i="1"/>
  <c r="CL60" i="1"/>
  <c r="CM60" i="1"/>
  <c r="CO60" i="1"/>
  <c r="CP60" i="1"/>
  <c r="CK61" i="1"/>
  <c r="CL61" i="1"/>
  <c r="CM61" i="1"/>
  <c r="CO61" i="1"/>
  <c r="CP61" i="1"/>
  <c r="CK62" i="1"/>
  <c r="CL62" i="1"/>
  <c r="CM62" i="1"/>
  <c r="CO62" i="1"/>
  <c r="CP62" i="1"/>
  <c r="CK63" i="1"/>
  <c r="CL63" i="1"/>
  <c r="CM63" i="1"/>
  <c r="CO63" i="1"/>
  <c r="CP63" i="1"/>
  <c r="CK64" i="1"/>
  <c r="CL64" i="1"/>
  <c r="CM64" i="1"/>
  <c r="CO64" i="1"/>
  <c r="CP64" i="1"/>
  <c r="CK65" i="1"/>
  <c r="CM65" i="1" s="1"/>
  <c r="CL65" i="1"/>
  <c r="CO65" i="1"/>
  <c r="CP65" i="1"/>
  <c r="CK66" i="1"/>
  <c r="CL66" i="1"/>
  <c r="CM66" i="1"/>
  <c r="CO66" i="1"/>
  <c r="CP66" i="1"/>
  <c r="CK67" i="1"/>
  <c r="CL67" i="1"/>
  <c r="CM67" i="1"/>
  <c r="CO67" i="1"/>
  <c r="CP67" i="1"/>
  <c r="CK68" i="1"/>
  <c r="CL68" i="1"/>
  <c r="CM68" i="1"/>
  <c r="CO68" i="1"/>
  <c r="CP68" i="1"/>
  <c r="CK69" i="1"/>
  <c r="CL69" i="1"/>
  <c r="CM69" i="1"/>
  <c r="CO69" i="1"/>
  <c r="CP69" i="1"/>
  <c r="CK70" i="1"/>
  <c r="CM70" i="1" s="1"/>
  <c r="CL70" i="1"/>
  <c r="CO70" i="1"/>
  <c r="CP70" i="1"/>
  <c r="CK71" i="1"/>
  <c r="CL71" i="1"/>
  <c r="CM71" i="1"/>
  <c r="CO71" i="1"/>
  <c r="CP71" i="1"/>
  <c r="CK72" i="1"/>
  <c r="CL72" i="1"/>
  <c r="CM72" i="1"/>
  <c r="CO72" i="1"/>
  <c r="CP72" i="1"/>
  <c r="CK73" i="1"/>
  <c r="CL73" i="1"/>
  <c r="CM73" i="1"/>
  <c r="CO73" i="1"/>
  <c r="CP73" i="1"/>
  <c r="CK74" i="1"/>
  <c r="CL74" i="1"/>
  <c r="CM74" i="1"/>
  <c r="CO74" i="1"/>
  <c r="CP74" i="1"/>
  <c r="CK75" i="1"/>
  <c r="CL75" i="1"/>
  <c r="CM75" i="1"/>
  <c r="CO75" i="1"/>
  <c r="CP75" i="1"/>
  <c r="CK76" i="1"/>
  <c r="CL76" i="1"/>
  <c r="CM76" i="1"/>
  <c r="CO76" i="1"/>
  <c r="CP76" i="1"/>
  <c r="CK77" i="1"/>
  <c r="CL77" i="1"/>
  <c r="CM77" i="1"/>
  <c r="CO77" i="1"/>
  <c r="CP77" i="1"/>
  <c r="CK78" i="1"/>
  <c r="CL78" i="1"/>
  <c r="CM78" i="1"/>
  <c r="CO78" i="1"/>
  <c r="CP78" i="1"/>
  <c r="CK79" i="1"/>
  <c r="CL79" i="1"/>
  <c r="CM79" i="1"/>
  <c r="CO79" i="1"/>
  <c r="CP79" i="1"/>
  <c r="CK80" i="1"/>
  <c r="CL80" i="1"/>
  <c r="CM80" i="1"/>
  <c r="CO80" i="1"/>
  <c r="CP80" i="1"/>
  <c r="CK81" i="1"/>
  <c r="CL81" i="1"/>
  <c r="CM81" i="1"/>
  <c r="CO81" i="1"/>
  <c r="CP81" i="1"/>
  <c r="CK82" i="1"/>
  <c r="CL82" i="1"/>
  <c r="CM82" i="1"/>
  <c r="CO82" i="1"/>
  <c r="CP82" i="1"/>
  <c r="CK2" i="1"/>
  <c r="CL2" i="1"/>
  <c r="T84" i="4" l="1"/>
  <c r="U84" i="4"/>
  <c r="S84" i="4"/>
  <c r="S85" i="4" s="1"/>
  <c r="U82" i="4" l="1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U83" i="4"/>
  <c r="CP2" i="1"/>
  <c r="CO2" i="1"/>
  <c r="U85" i="4" l="1"/>
  <c r="T83" i="4" l="1"/>
  <c r="R84" i="4"/>
  <c r="N84" i="4"/>
  <c r="K84" i="4"/>
  <c r="T85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4" i="4"/>
  <c r="U6" i="6" l="1"/>
  <c r="W5" i="6"/>
  <c r="Q7" i="6"/>
  <c r="S6" i="6"/>
  <c r="S83" i="4"/>
  <c r="W6" i="6" l="1"/>
  <c r="U7" i="6"/>
  <c r="S7" i="6"/>
  <c r="Q8" i="6"/>
  <c r="P84" i="4"/>
  <c r="W7" i="6" l="1"/>
  <c r="U8" i="6"/>
  <c r="S8" i="6"/>
  <c r="Q9" i="6"/>
  <c r="R32" i="4"/>
  <c r="R72" i="4"/>
  <c r="R26" i="4"/>
  <c r="R53" i="4"/>
  <c r="R17" i="4"/>
  <c r="R83" i="4" s="1"/>
  <c r="U9" i="6" l="1"/>
  <c r="W8" i="6"/>
  <c r="Q10" i="6"/>
  <c r="S9" i="6"/>
  <c r="R85" i="4"/>
  <c r="U10" i="6" l="1"/>
  <c r="W9" i="6"/>
  <c r="Q11" i="6"/>
  <c r="S10" i="6"/>
  <c r="U11" i="6" l="1"/>
  <c r="W10" i="6"/>
  <c r="Q12" i="6"/>
  <c r="S11" i="6"/>
  <c r="CM2" i="1"/>
  <c r="W11" i="6" l="1"/>
  <c r="U12" i="6"/>
  <c r="Q13" i="6"/>
  <c r="S12" i="6"/>
  <c r="U13" i="6" l="1"/>
  <c r="W12" i="6"/>
  <c r="S13" i="6"/>
  <c r="Q14" i="6"/>
  <c r="Q83" i="4"/>
  <c r="Q85" i="4" s="1"/>
  <c r="W13" i="6" l="1"/>
  <c r="U14" i="6"/>
  <c r="Q15" i="6"/>
  <c r="S14" i="6"/>
  <c r="O84" i="4"/>
  <c r="W14" i="6" l="1"/>
  <c r="U15" i="6"/>
  <c r="S15" i="6"/>
  <c r="Q16" i="6"/>
  <c r="P43" i="4"/>
  <c r="P83" i="4" s="1"/>
  <c r="P85" i="4" s="1"/>
  <c r="W15" i="6" l="1"/>
  <c r="U16" i="6"/>
  <c r="Q17" i="6"/>
  <c r="S16" i="6"/>
  <c r="W16" i="6" l="1"/>
  <c r="U17" i="6"/>
  <c r="Q18" i="6"/>
  <c r="S17" i="6"/>
  <c r="O30" i="4"/>
  <c r="O59" i="4"/>
  <c r="O83" i="4"/>
  <c r="Y6" i="4"/>
  <c r="U18" i="6" l="1"/>
  <c r="W17" i="6"/>
  <c r="Q19" i="6"/>
  <c r="S18" i="6"/>
  <c r="O85" i="4"/>
  <c r="U19" i="6" l="1"/>
  <c r="W18" i="6"/>
  <c r="Q20" i="6"/>
  <c r="S19" i="6"/>
  <c r="M84" i="4"/>
  <c r="U20" i="6" l="1"/>
  <c r="W19" i="6"/>
  <c r="Q21" i="6"/>
  <c r="S20" i="6"/>
  <c r="L84" i="4"/>
  <c r="Y7" i="4"/>
  <c r="Y8" i="4" s="1"/>
  <c r="M83" i="4"/>
  <c r="N83" i="4"/>
  <c r="U21" i="6" l="1"/>
  <c r="W20" i="6"/>
  <c r="S21" i="6"/>
  <c r="Q22" i="6"/>
  <c r="N85" i="4"/>
  <c r="U22" i="6" l="1"/>
  <c r="W21" i="6"/>
  <c r="Q23" i="6"/>
  <c r="S22" i="6"/>
  <c r="M85" i="4"/>
  <c r="W22" i="6" l="1"/>
  <c r="U23" i="6"/>
  <c r="S23" i="6"/>
  <c r="Q24" i="6"/>
  <c r="L83" i="4"/>
  <c r="W23" i="6" l="1"/>
  <c r="U24" i="6"/>
  <c r="Q25" i="6"/>
  <c r="S24" i="6"/>
  <c r="L85" i="4"/>
  <c r="W24" i="6" l="1"/>
  <c r="U25" i="6"/>
  <c r="S25" i="6"/>
  <c r="Q26" i="6"/>
  <c r="J84" i="4"/>
  <c r="I84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3" i="4" s="1"/>
  <c r="K2" i="4"/>
  <c r="U27" i="6" l="1"/>
  <c r="W26" i="6"/>
  <c r="Q28" i="6"/>
  <c r="S27" i="6"/>
  <c r="K85" i="4"/>
  <c r="U28" i="6" l="1"/>
  <c r="W27" i="6"/>
  <c r="Q29" i="6"/>
  <c r="S28" i="6"/>
  <c r="J83" i="4"/>
  <c r="U29" i="6" l="1"/>
  <c r="W28" i="6"/>
  <c r="S29" i="6"/>
  <c r="Q30" i="6"/>
  <c r="J85" i="4"/>
  <c r="U30" i="6" l="1"/>
  <c r="W29" i="6"/>
  <c r="Q31" i="6"/>
  <c r="S30" i="6"/>
  <c r="E84" i="4"/>
  <c r="U31" i="6" l="1"/>
  <c r="W30" i="6"/>
  <c r="S31" i="6"/>
  <c r="Q32" i="6"/>
  <c r="G84" i="4"/>
  <c r="H84" i="4"/>
  <c r="W31" i="6" l="1"/>
  <c r="U32" i="6"/>
  <c r="S32" i="6"/>
  <c r="Q33" i="6"/>
  <c r="I83" i="4"/>
  <c r="I85" i="4" s="1"/>
  <c r="U33" i="6" l="1"/>
  <c r="W32" i="6"/>
  <c r="Q34" i="6"/>
  <c r="S33" i="6"/>
  <c r="D84" i="4"/>
  <c r="C84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4" i="4"/>
  <c r="H83" i="4"/>
  <c r="U37" i="6" l="1"/>
  <c r="W36" i="6"/>
  <c r="S37" i="6"/>
  <c r="Q38" i="6"/>
  <c r="H7" i="6"/>
  <c r="I6" i="6"/>
  <c r="J6" i="6" s="1"/>
  <c r="H85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3" i="4"/>
  <c r="I10" i="6" l="1"/>
  <c r="J10" i="6" s="1"/>
  <c r="H11" i="6"/>
  <c r="G85" i="4"/>
  <c r="B84" i="4"/>
  <c r="E83" i="4"/>
  <c r="D83" i="4"/>
  <c r="C83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5" i="4" l="1"/>
  <c r="F83" i="4"/>
  <c r="F85" i="4" s="1"/>
  <c r="H12" i="6"/>
  <c r="I11" i="6"/>
  <c r="J11" i="6" s="1"/>
  <c r="C85" i="4"/>
  <c r="D85" i="4"/>
  <c r="B83" i="4"/>
  <c r="B85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<sst xmlns="http://schemas.openxmlformats.org/spreadsheetml/2006/main" count="4933" uniqueCount="394">
  <si>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</si>
  <si>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</si>
  <si>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</si>
  <si>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</si>
  <si>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</si>
  <si>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</si>
  <si>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</si>
  <si>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</si>
  <si>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</si>
  <si>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</si>
  <si>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</si>
  <si>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</si>
  <si>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</si>
  <si>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</si>
  <si>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</si>
  <si>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</si>
  <si>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</si>
  <si>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</si>
  <si>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</si>
  <si>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</si>
  <si>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</si>
  <si>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</si>
  <si>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</si>
  <si>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</si>
  <si>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</si>
  <si>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</si>
  <si>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</si>
  <si>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</si>
  <si>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</si>
  <si>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</si>
  <si>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</si>
  <si>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</si>
  <si>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</si>
  <si>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</si>
  <si>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</si>
  <si>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</si>
  <si>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</si>
  <si>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</si>
  <si>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</si>
  <si>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</si>
  <si>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</si>
  <si>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</si>
  <si>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</si>
  <si>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</si>
  <si>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</si>
  <si>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</si>
  <si>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</si>
  <si>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</si>
  <si>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</si>
  <si>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</si>
  <si>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</si>
  <si>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</si>
  <si>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</si>
  <si>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</si>
  <si>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</si>
  <si>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</si>
  <si>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</si>
  <si>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</si>
  <si>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</si>
  <si>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</si>
  <si>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</si>
  <si>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</si>
  <si>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</si>
  <si>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</si>
  <si>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</si>
  <si>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</si>
  <si>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</si>
  <si>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</si>
  <si>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</si>
  <si>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</si>
  <si>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</si>
  <si>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</si>
  <si>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</si>
  <si>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</si>
  <si>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</si>
  <si>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</si>
  <si>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</si>
  <si>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</si>
  <si>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</si>
  <si>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</si>
  <si>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</si>
  <si>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</si>
  <si>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</si>
  <si>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</si>
  <si>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</si>
  <si>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</si>
  <si>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</si>
  <si>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</si>
  <si>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</si>
  <si>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</si>
  <si>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</si>
  <si>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</si>
  <si>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</si>
  <si>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</si>
  <si>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</si>
  <si>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</si>
  <si>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</si>
  <si>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</si>
  <si>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</si>
  <si>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</si>
  <si>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</si>
  <si>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</si>
  <si>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</si>
  <si>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</si>
  <si>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</si>
  <si>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</si>
  <si>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</si>
  <si>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</si>
  <si>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</si>
  <si>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</si>
  <si>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</si>
  <si>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</si>
  <si>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</si>
  <si>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</si>
  <si>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</si>
  <si>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</si>
  <si>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</si>
  <si>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</si>
  <si>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</si>
  <si>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</si>
  <si>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</si>
  <si>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</si>
  <si>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</si>
  <si>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</si>
  <si>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</si>
  <si>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</si>
  <si>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</si>
  <si>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</si>
  <si>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</si>
  <si>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</si>
  <si>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</si>
  <si>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</si>
  <si>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</si>
  <si>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</si>
  <si>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</si>
  <si>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</si>
  <si>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</si>
  <si>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</si>
  <si>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</si>
  <si>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</si>
  <si>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</si>
  <si>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</si>
  <si>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</si>
  <si>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</si>
  <si>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</si>
  <si>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</si>
  <si>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</si>
  <si>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</si>
  <si>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</si>
  <si>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</si>
  <si>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</si>
  <si>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</si>
  <si>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</si>
  <si>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</si>
  <si>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</si>
  <si>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</si>
  <si>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</si>
  <si>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</si>
  <si>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</si>
  <si>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</si>
  <si>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</si>
  <si>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</si>
  <si>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</si>
  <si>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</si>
  <si>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</si>
  <si>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</si>
  <si>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</si>
  <si>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</si>
  <si>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</si>
  <si>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</si>
  <si>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</si>
  <si>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</si>
  <si>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</si>
  <si>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</si>
  <si>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</si>
  <si>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</si>
  <si>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</si>
  <si>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</si>
  <si>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</si>
  <si>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</si>
  <si>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</si>
  <si>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</si>
  <si>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</si>
  <si>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</si>
  <si>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</si>
  <si>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</si>
  <si>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</si>
  <si>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</si>
  <si>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</si>
  <si>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</si>
  <si>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</si>
  <si>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</si>
  <si>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</si>
  <si>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</si>
  <si>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</si>
  <si>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</si>
  <si>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</si>
  <si>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</si>
  <si>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</si>
  <si>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</si>
  <si>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</si>
  <si>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</si>
  <si>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</si>
  <si>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</si>
  <si>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</si>
  <si>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</si>
  <si>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</si>
  <si>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</si>
  <si>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</si>
  <si>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</si>
  <si>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</si>
  <si>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</si>
  <si>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</si>
  <si>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</si>
  <si>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</si>
  <si>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</si>
  <si>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</si>
  <si>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</si>
  <si>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</si>
  <si>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</si>
  <si>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</si>
  <si>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</si>
  <si>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</si>
  <si>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</si>
  <si>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</si>
  <si>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</si>
  <si>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</si>
  <si>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</si>
  <si>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</si>
  <si>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</si>
  <si>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</si>
  <si>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</si>
  <si>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</si>
  <si>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</si>
  <si>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</si>
  <si>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</si>
  <si>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</si>
  <si>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</si>
  <si>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</si>
  <si>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</si>
  <si>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</si>
  <si>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</si>
  <si>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</si>
  <si>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</si>
  <si>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</si>
  <si>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</si>
  <si>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</si>
  <si>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</si>
  <si>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</si>
  <si>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</si>
  <si>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</si>
  <si>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</si>
  <si>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</si>
  <si>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</si>
  <si>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</si>
  <si>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</si>
  <si>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</si>
  <si>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</si>
  <si>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</si>
  <si>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</si>
  <si>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</si>
  <si>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</si>
  <si>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</si>
  <si>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</si>
  <si>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</si>
  <si>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</si>
  <si>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</si>
  <si>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</si>
  <si>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</si>
  <si>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</si>
  <si>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</si>
  <si>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</si>
  <si>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</si>
  <si>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</si>
  <si>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</si>
  <si>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</si>
  <si>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</si>
  <si>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</si>
  <si>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</si>
  <si>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</si>
  <si>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</si>
  <si>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</si>
  <si>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</si>
  <si>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</si>
  <si>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</si>
  <si>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</si>
  <si>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</si>
  <si>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</si>
  <si>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</si>
  <si>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</si>
  <si>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</si>
  <si>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</si>
  <si>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</si>
  <si>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</si>
  <si>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</si>
  <si>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</si>
  <si>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</si>
  <si>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</si>
  <si>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</si>
  <si>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</si>
  <si>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</si>
  <si>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</si>
  <si>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</si>
  <si>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</si>
  <si>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</si>
  <si>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</si>
  <si>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</si>
  <si>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</si>
  <si>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</si>
  <si>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</si>
  <si>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</si>
  <si>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</si>
  <si>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</si>
  <si>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</si>
  <si>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</si>
  <si>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</si>
  <si>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</si>
  <si>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</si>
  <si>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</si>
  <si>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</si>
  <si>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</si>
  <si>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</si>
  <si>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</si>
  <si>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</si>
  <si>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</si>
  <si>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</si>
  <si>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</si>
  <si>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</si>
  <si>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</si>
  <si>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</si>
  <si>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</si>
  <si>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</si>
  <si>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</si>
  <si>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</si>
  <si>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</si>
  <si>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</si>
  <si>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</si>
  <si>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</si>
  <si>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</si>
  <si>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</si>
  <si>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</si>
  <si>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</si>
  <si>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</si>
  <si>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</si>
  <si>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</si>
  <si>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</si>
  <si>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</si>
  <si>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</si>
  <si>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</si>
  <si>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</si>
  <si>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</si>
  <si>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</si>
  <si>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</si>
  <si>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</si>
  <si>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</si>
  <si>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</si>
  <si>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</si>
  <si>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</si>
  <si>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</si>
  <si>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</si>
  <si>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</si>
  <si>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</si>
  <si>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</si>
  <si>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</si>
  <si>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</si>
  <si>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</si>
  <si>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</si>
  <si>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</si>
  <si>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</si>
  <si>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</si>
  <si>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</si>
  <si>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</si>
  <si>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</si>
  <si>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</si>
  <si>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</si>
  <si>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</si>
  <si>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</si>
  <si>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</si>
  <si>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</si>
  <si>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</si>
  <si>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</si>
  <si>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</si>
  <si>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</si>
  <si>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</si>
  <si>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</si>
  <si>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</si>
  <si>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</si>
  <si>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</si>
  <si>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</si>
  <si>
    <t>Gabe</t>
  </si>
  <si>
    <t>G. Ripardo</t>
  </si>
  <si>
    <t>Thiago T.</t>
  </si>
  <si>
    <t>Eduardo</t>
  </si>
  <si>
    <t>Mateus Luiza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</si>
</sst>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83"/>
  <sheetViews>
    <sheetView zoomScale="85" zoomScaleNormal="85" workbookViewId="0">
      <pane xSplit="1" topLeftCell="BU1" activePane="topRight" state="frozen"/>
      <selection pane="topRight" activeCell="CI8" sqref="CI8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8" width="11" customWidth="1"/>
  </cols>
  <sheetData>
    <row r="1" spans="1:94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/>
      <c r="CK1" t="s">
        <v>57</v>
      </c>
      <c r="CL1" t="s">
        <v>58</v>
      </c>
      <c r="CM1" t="s">
        <v>59</v>
      </c>
      <c r="CN1" t="s">
        <v>62</v>
      </c>
      <c r="CO1" t="s">
        <v>386</v>
      </c>
      <c r="CP1" t="s">
        <v>384</v>
      </c>
    </row>
    <row r="2" spans="1:94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B2">
        <v>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K2">
        <f>COUNT(B2:CI2)</f>
        <v>80</v>
      </c>
      <c r="CL2" s="18">
        <f>AVERAGE(B2:CI2)</f>
        <v>5.6749999999999998</v>
      </c>
      <c r="CM2">
        <f t="shared" ref="CM2:CM33" si="0">IF(CK2&gt;1,_xlfn.STDEV.S(B2:CF2),"")</f>
        <v>1.0062603085744963</v>
      </c>
      <c r="CN2">
        <v>1</v>
      </c>
      <c r="CO2">
        <f t="shared" ref="CO2:CO33" si="1">COUNT(CC2:CF2)</f>
        <v>3</v>
      </c>
      <c r="CP2">
        <f t="shared" ref="CP2:CP33" si="2">IF(CN2=0,CO2,0)</f>
        <v>0</v>
      </c>
    </row>
    <row r="3" spans="1:94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B3">
        <v>4.5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K3">
        <f t="shared" ref="CK3:CK66" si="3">COUNT(B3:CI3)</f>
        <v>77</v>
      </c>
      <c r="CL3" s="18">
        <f t="shared" ref="CL3:CL66" si="4">AVERAGE(B3:CI3)</f>
        <v>5.4285714285714288</v>
      </c>
      <c r="CM3">
        <f t="shared" ref="CM3:CM66" si="5">IF(CK3&gt;1,_xlfn.STDEV.S(B3:CF3),"")</f>
        <v>0.89273363508171999</v>
      </c>
      <c r="CN3">
        <v>2</v>
      </c>
      <c r="CO3">
        <f t="shared" ref="CO3:CO66" si="6">COUNT(CC3:CF3)</f>
        <v>4</v>
      </c>
      <c r="CP3">
        <f t="shared" ref="CP3:CP66" si="7">IF(CN3=0,CO3,0)</f>
        <v>0</v>
      </c>
    </row>
    <row r="4" spans="1:94" x14ac:dyDescent="0.35">
      <c r="A4" t="s">
        <v>4</v>
      </c>
      <c r="B4">
        <v>4.5</v>
      </c>
      <c r="C4" t="s">
        <v>26</v>
      </c>
      <c r="D4">
        <v>6</v>
      </c>
      <c r="E4">
        <v>5.5</v>
      </c>
      <c r="F4">
        <v>6</v>
      </c>
      <c r="G4" t="s">
        <v>26</v>
      </c>
      <c r="H4">
        <v>7</v>
      </c>
      <c r="I4">
        <v>5.5</v>
      </c>
      <c r="J4">
        <v>6</v>
      </c>
      <c r="K4">
        <v>5.5</v>
      </c>
      <c r="L4">
        <v>7</v>
      </c>
      <c r="M4">
        <v>6</v>
      </c>
      <c r="N4">
        <v>7</v>
      </c>
      <c r="O4">
        <v>5.5</v>
      </c>
      <c r="P4">
        <v>5.5</v>
      </c>
      <c r="Q4">
        <v>7</v>
      </c>
      <c r="R4">
        <v>6</v>
      </c>
      <c r="S4">
        <v>6</v>
      </c>
      <c r="T4">
        <v>7</v>
      </c>
      <c r="U4">
        <v>6</v>
      </c>
      <c r="V4">
        <v>5.5</v>
      </c>
      <c r="W4">
        <v>5.5</v>
      </c>
      <c r="X4">
        <v>6</v>
      </c>
      <c r="Y4">
        <v>5.5</v>
      </c>
      <c r="Z4" t="s">
        <v>26</v>
      </c>
      <c r="AA4">
        <v>7</v>
      </c>
      <c r="AB4">
        <v>6</v>
      </c>
      <c r="AC4">
        <v>6</v>
      </c>
      <c r="AD4">
        <v>6</v>
      </c>
      <c r="AE4">
        <v>6.5</v>
      </c>
      <c r="AF4">
        <v>6</v>
      </c>
      <c r="AG4">
        <v>6</v>
      </c>
      <c r="AH4">
        <v>5</v>
      </c>
      <c r="AI4">
        <v>6</v>
      </c>
      <c r="AL4">
        <v>3</v>
      </c>
      <c r="AM4">
        <v>4</v>
      </c>
      <c r="AN4">
        <v>5.5</v>
      </c>
      <c r="AO4">
        <v>5</v>
      </c>
      <c r="AP4">
        <v>4.5</v>
      </c>
      <c r="AV4">
        <v>4</v>
      </c>
      <c r="AW4">
        <v>4.5</v>
      </c>
      <c r="AX4">
        <v>4.5</v>
      </c>
      <c r="AY4">
        <v>5</v>
      </c>
      <c r="AZ4">
        <v>4</v>
      </c>
      <c r="BA4">
        <v>5</v>
      </c>
      <c r="BB4">
        <v>5</v>
      </c>
      <c r="BC4">
        <v>6</v>
      </c>
      <c r="BH4">
        <v>5.5</v>
      </c>
      <c r="BI4">
        <v>5.5</v>
      </c>
      <c r="BJ4">
        <v>5.5</v>
      </c>
      <c r="BK4">
        <v>5</v>
      </c>
      <c r="BL4">
        <v>4.5</v>
      </c>
      <c r="BM4">
        <v>5</v>
      </c>
      <c r="BN4">
        <v>6</v>
      </c>
      <c r="BO4">
        <v>5</v>
      </c>
      <c r="BP4">
        <v>5</v>
      </c>
      <c r="BQ4">
        <v>5</v>
      </c>
      <c r="BR4">
        <v>5</v>
      </c>
      <c r="BS4">
        <v>5</v>
      </c>
      <c r="BT4">
        <v>5.5</v>
      </c>
      <c r="BU4">
        <v>5.5</v>
      </c>
      <c r="BV4">
        <v>5</v>
      </c>
      <c r="BW4">
        <v>5.5</v>
      </c>
      <c r="BX4">
        <v>5</v>
      </c>
      <c r="BY4">
        <v>5</v>
      </c>
      <c r="BZ4">
        <v>5</v>
      </c>
      <c r="CA4">
        <v>5</v>
      </c>
      <c r="CB4">
        <v>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K4">
        <f t="shared" si="3"/>
        <v>72</v>
      </c>
      <c r="CL4" s="18">
        <f t="shared" si="4"/>
        <v>5.520833333333333</v>
      </c>
      <c r="CM4">
        <f t="shared" si="5"/>
        <v>0.828866973861342</v>
      </c>
      <c r="CN4">
        <v>3</v>
      </c>
      <c r="CO4">
        <f t="shared" si="6"/>
        <v>4</v>
      </c>
      <c r="CP4">
        <f t="shared" si="7"/>
        <v>0</v>
      </c>
    </row>
    <row r="5" spans="1:94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B5">
        <v>6</v>
      </c>
      <c r="CC5">
        <v>5.5</v>
      </c>
      <c r="CD5">
        <v>5.5</v>
      </c>
      <c r="CE5">
        <v>5</v>
      </c>
      <c r="CK5">
        <f t="shared" si="3"/>
        <v>68</v>
      </c>
      <c r="CL5" s="18">
        <f t="shared" si="4"/>
        <v>5.8455882352941178</v>
      </c>
      <c r="CM5">
        <f t="shared" si="5"/>
        <v>0.99722507879112954</v>
      </c>
      <c r="CN5">
        <v>4</v>
      </c>
      <c r="CO5">
        <f t="shared" si="6"/>
        <v>3</v>
      </c>
      <c r="CP5">
        <f t="shared" si="7"/>
        <v>0</v>
      </c>
    </row>
    <row r="6" spans="1:94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7.5</v>
      </c>
      <c r="I6">
        <v>7</v>
      </c>
      <c r="J6">
        <v>7.5</v>
      </c>
      <c r="K6">
        <v>7</v>
      </c>
      <c r="L6">
        <v>6</v>
      </c>
      <c r="M6">
        <v>5.5</v>
      </c>
      <c r="N6">
        <v>5.5</v>
      </c>
      <c r="O6" t="s">
        <v>26</v>
      </c>
      <c r="P6">
        <v>7</v>
      </c>
      <c r="Q6">
        <v>4.5</v>
      </c>
      <c r="R6">
        <v>6</v>
      </c>
      <c r="S6">
        <v>7</v>
      </c>
      <c r="T6">
        <v>6</v>
      </c>
      <c r="U6">
        <v>7</v>
      </c>
      <c r="V6">
        <v>6</v>
      </c>
      <c r="W6">
        <v>6</v>
      </c>
      <c r="X6">
        <v>5.5</v>
      </c>
      <c r="Y6">
        <v>6</v>
      </c>
      <c r="Z6">
        <v>6</v>
      </c>
      <c r="AA6">
        <v>7</v>
      </c>
      <c r="AB6">
        <v>5.5</v>
      </c>
      <c r="AC6">
        <v>6</v>
      </c>
      <c r="AD6">
        <v>7</v>
      </c>
      <c r="AE6">
        <v>6</v>
      </c>
      <c r="AF6">
        <v>6</v>
      </c>
      <c r="AG6">
        <v>6.5</v>
      </c>
      <c r="AI6">
        <v>5.5</v>
      </c>
      <c r="AJ6">
        <v>5</v>
      </c>
      <c r="AK6">
        <v>5.5</v>
      </c>
      <c r="AL6">
        <v>5</v>
      </c>
      <c r="AM6">
        <v>5</v>
      </c>
      <c r="AN6">
        <v>5.5</v>
      </c>
      <c r="AP6">
        <v>5</v>
      </c>
      <c r="AQ6">
        <v>4.5</v>
      </c>
      <c r="AR6">
        <v>4.5</v>
      </c>
      <c r="AT6">
        <v>5.5</v>
      </c>
      <c r="AU6">
        <v>5.5</v>
      </c>
      <c r="AV6">
        <v>5</v>
      </c>
      <c r="AW6">
        <v>4.5</v>
      </c>
      <c r="AX6">
        <v>4.5</v>
      </c>
      <c r="AY6">
        <v>5</v>
      </c>
      <c r="AZ6">
        <v>5.5</v>
      </c>
      <c r="BB6">
        <v>4.5</v>
      </c>
      <c r="BC6">
        <v>6</v>
      </c>
      <c r="BD6">
        <v>5.5</v>
      </c>
      <c r="BE6">
        <v>4</v>
      </c>
      <c r="BF6">
        <v>4.5</v>
      </c>
      <c r="BG6">
        <v>5.5</v>
      </c>
      <c r="BH6">
        <v>5</v>
      </c>
      <c r="BI6">
        <v>5</v>
      </c>
      <c r="BJ6">
        <v>5.5</v>
      </c>
      <c r="BM6">
        <v>4</v>
      </c>
      <c r="BN6">
        <v>5.5</v>
      </c>
      <c r="BO6">
        <v>4.5</v>
      </c>
      <c r="BP6">
        <v>5</v>
      </c>
      <c r="BQ6">
        <v>5</v>
      </c>
      <c r="BR6">
        <v>5</v>
      </c>
      <c r="BT6">
        <v>5.5</v>
      </c>
      <c r="BZ6">
        <v>5</v>
      </c>
      <c r="CA6">
        <v>5</v>
      </c>
      <c r="CC6">
        <v>6.5</v>
      </c>
      <c r="CD6">
        <v>7</v>
      </c>
      <c r="CF6">
        <v>5.5</v>
      </c>
      <c r="CI6">
        <v>5.5</v>
      </c>
      <c r="CK6">
        <f t="shared" si="3"/>
        <v>67</v>
      </c>
      <c r="CL6" s="18">
        <f t="shared" si="4"/>
        <v>5.6791044776119399</v>
      </c>
      <c r="CM6">
        <f t="shared" si="5"/>
        <v>0.9056929503312493</v>
      </c>
      <c r="CN6">
        <v>5</v>
      </c>
      <c r="CO6">
        <f t="shared" si="6"/>
        <v>3</v>
      </c>
      <c r="CP6">
        <f t="shared" si="7"/>
        <v>0</v>
      </c>
    </row>
    <row r="7" spans="1:94" x14ac:dyDescent="0.35">
      <c r="A7" t="s">
        <v>82</v>
      </c>
      <c r="B7">
        <v>9</v>
      </c>
      <c r="C7" t="s">
        <v>26</v>
      </c>
      <c r="D7">
        <v>7.5</v>
      </c>
      <c r="E7">
        <v>7</v>
      </c>
      <c r="F7">
        <v>6</v>
      </c>
      <c r="G7">
        <v>7</v>
      </c>
      <c r="H7">
        <v>6</v>
      </c>
      <c r="I7">
        <v>7</v>
      </c>
      <c r="J7">
        <v>7</v>
      </c>
      <c r="K7">
        <v>7</v>
      </c>
      <c r="L7">
        <v>6</v>
      </c>
      <c r="M7">
        <v>6</v>
      </c>
      <c r="N7">
        <v>7</v>
      </c>
      <c r="O7">
        <v>7</v>
      </c>
      <c r="P7">
        <v>7</v>
      </c>
      <c r="Q7">
        <v>7</v>
      </c>
      <c r="R7">
        <v>7.5</v>
      </c>
      <c r="S7">
        <v>7</v>
      </c>
      <c r="T7">
        <v>7.5</v>
      </c>
      <c r="U7">
        <v>7</v>
      </c>
      <c r="V7">
        <v>7</v>
      </c>
      <c r="W7">
        <v>7</v>
      </c>
      <c r="X7">
        <v>6</v>
      </c>
      <c r="Y7">
        <v>6</v>
      </c>
      <c r="Z7">
        <v>6</v>
      </c>
      <c r="AA7">
        <v>7</v>
      </c>
      <c r="AB7">
        <v>7</v>
      </c>
      <c r="AC7">
        <v>7</v>
      </c>
      <c r="AD7" t="s">
        <v>26</v>
      </c>
      <c r="AE7">
        <v>7</v>
      </c>
      <c r="AF7">
        <v>6</v>
      </c>
      <c r="AG7">
        <v>6</v>
      </c>
      <c r="AH7">
        <v>5</v>
      </c>
      <c r="AI7">
        <v>6.5</v>
      </c>
      <c r="AJ7">
        <v>5.5</v>
      </c>
      <c r="AK7">
        <v>6.5</v>
      </c>
      <c r="AL7">
        <v>5.5</v>
      </c>
      <c r="AN7">
        <v>6.5</v>
      </c>
      <c r="AO7">
        <v>5.5</v>
      </c>
      <c r="AP7">
        <v>6</v>
      </c>
      <c r="AV7">
        <v>5</v>
      </c>
      <c r="AY7">
        <v>6</v>
      </c>
      <c r="BA7">
        <v>5</v>
      </c>
      <c r="BB7">
        <v>6</v>
      </c>
      <c r="BC7">
        <v>5</v>
      </c>
      <c r="BD7">
        <v>6.5</v>
      </c>
      <c r="BE7">
        <v>6</v>
      </c>
      <c r="BF7">
        <v>5</v>
      </c>
      <c r="BG7">
        <v>5.5</v>
      </c>
      <c r="BH7">
        <v>5.5</v>
      </c>
      <c r="BI7">
        <v>5</v>
      </c>
      <c r="BL7">
        <v>5</v>
      </c>
      <c r="BM7">
        <v>5.5</v>
      </c>
      <c r="BN7">
        <v>6.5</v>
      </c>
      <c r="BO7">
        <v>6</v>
      </c>
      <c r="BP7">
        <v>5</v>
      </c>
      <c r="BQ7">
        <v>5</v>
      </c>
      <c r="BR7">
        <v>5.5</v>
      </c>
      <c r="BS7">
        <v>5.5</v>
      </c>
      <c r="BV7">
        <v>5.5</v>
      </c>
      <c r="BW7">
        <v>5</v>
      </c>
      <c r="BY7">
        <v>5.5</v>
      </c>
      <c r="CA7">
        <v>5.5</v>
      </c>
      <c r="CB7">
        <v>5</v>
      </c>
      <c r="CC7">
        <v>6.5</v>
      </c>
      <c r="CD7">
        <v>7.5</v>
      </c>
      <c r="CF7">
        <v>6.5</v>
      </c>
      <c r="CG7">
        <v>6.5</v>
      </c>
      <c r="CH7">
        <v>5.5</v>
      </c>
      <c r="CK7">
        <f t="shared" si="3"/>
        <v>67</v>
      </c>
      <c r="CL7" s="18">
        <f t="shared" si="4"/>
        <v>6.1940298507462686</v>
      </c>
      <c r="CM7">
        <f t="shared" si="5"/>
        <v>0.86512282364991466</v>
      </c>
      <c r="CN7">
        <v>6</v>
      </c>
      <c r="CO7">
        <f t="shared" si="6"/>
        <v>3</v>
      </c>
      <c r="CP7">
        <f t="shared" si="7"/>
        <v>0</v>
      </c>
    </row>
    <row r="8" spans="1:94" x14ac:dyDescent="0.35">
      <c r="A8" t="s">
        <v>9</v>
      </c>
      <c r="B8">
        <v>7</v>
      </c>
      <c r="C8" t="s">
        <v>26</v>
      </c>
      <c r="D8">
        <v>7</v>
      </c>
      <c r="E8">
        <v>6</v>
      </c>
      <c r="F8">
        <v>7.5</v>
      </c>
      <c r="G8">
        <v>7</v>
      </c>
      <c r="H8">
        <v>7</v>
      </c>
      <c r="I8" t="s">
        <v>26</v>
      </c>
      <c r="J8">
        <v>6</v>
      </c>
      <c r="K8" t="s">
        <v>26</v>
      </c>
      <c r="L8">
        <v>7</v>
      </c>
      <c r="M8">
        <v>7</v>
      </c>
      <c r="N8">
        <v>7.5</v>
      </c>
      <c r="O8">
        <v>6</v>
      </c>
      <c r="P8">
        <v>6</v>
      </c>
      <c r="Q8">
        <v>7</v>
      </c>
      <c r="R8" t="s">
        <v>26</v>
      </c>
      <c r="S8">
        <v>6</v>
      </c>
      <c r="T8">
        <v>7.5</v>
      </c>
      <c r="U8" t="s">
        <v>26</v>
      </c>
      <c r="V8">
        <v>6</v>
      </c>
      <c r="W8">
        <v>7</v>
      </c>
      <c r="X8">
        <v>7</v>
      </c>
      <c r="Y8" t="s">
        <v>26</v>
      </c>
      <c r="Z8">
        <v>7.5</v>
      </c>
      <c r="AA8">
        <v>7</v>
      </c>
      <c r="AB8">
        <v>7</v>
      </c>
      <c r="AC8">
        <v>6</v>
      </c>
      <c r="AD8">
        <v>7</v>
      </c>
      <c r="AE8">
        <v>8</v>
      </c>
      <c r="AF8">
        <v>6.5</v>
      </c>
      <c r="AH8">
        <v>7.5</v>
      </c>
      <c r="AI8">
        <v>5.5</v>
      </c>
      <c r="AJ8">
        <v>5.5</v>
      </c>
      <c r="AK8">
        <v>5.5</v>
      </c>
      <c r="AM8">
        <v>7</v>
      </c>
      <c r="AQ8">
        <v>5</v>
      </c>
      <c r="AR8">
        <v>5.5</v>
      </c>
      <c r="AS8">
        <v>5</v>
      </c>
      <c r="AT8">
        <v>5.5</v>
      </c>
      <c r="AU8">
        <v>5.5</v>
      </c>
      <c r="AV8">
        <v>5.5</v>
      </c>
      <c r="AX8">
        <v>6</v>
      </c>
      <c r="AY8">
        <v>6.5</v>
      </c>
      <c r="AZ8">
        <v>5.5</v>
      </c>
      <c r="BA8">
        <v>5.5</v>
      </c>
      <c r="BB8">
        <v>4.5</v>
      </c>
      <c r="BC8">
        <v>4</v>
      </c>
      <c r="BD8">
        <v>4.5</v>
      </c>
      <c r="BE8">
        <v>5.5</v>
      </c>
      <c r="BF8">
        <v>5</v>
      </c>
      <c r="BG8">
        <v>5</v>
      </c>
      <c r="BH8">
        <v>5</v>
      </c>
      <c r="BK8">
        <v>5</v>
      </c>
      <c r="BL8">
        <v>5.5</v>
      </c>
      <c r="BM8">
        <v>5</v>
      </c>
      <c r="BP8">
        <v>5.5</v>
      </c>
      <c r="BQ8">
        <v>7</v>
      </c>
      <c r="BR8">
        <v>6</v>
      </c>
      <c r="BS8">
        <v>5.5</v>
      </c>
      <c r="BT8">
        <v>5.5</v>
      </c>
      <c r="BU8">
        <v>5.5</v>
      </c>
      <c r="BW8">
        <v>6</v>
      </c>
      <c r="BY8">
        <v>6</v>
      </c>
      <c r="BZ8">
        <v>6</v>
      </c>
      <c r="CA8">
        <v>5.5</v>
      </c>
      <c r="CB8">
        <v>5.5</v>
      </c>
      <c r="CC8">
        <v>6.5</v>
      </c>
      <c r="CD8">
        <v>6</v>
      </c>
      <c r="CE8">
        <v>6</v>
      </c>
      <c r="CF8">
        <v>7</v>
      </c>
      <c r="CG8">
        <v>6.5</v>
      </c>
      <c r="CI8">
        <v>6</v>
      </c>
      <c r="CK8">
        <f t="shared" si="3"/>
        <v>67</v>
      </c>
      <c r="CL8" s="18">
        <f t="shared" si="4"/>
        <v>6.08955223880597</v>
      </c>
      <c r="CM8">
        <f t="shared" si="5"/>
        <v>0.88639557500283961</v>
      </c>
      <c r="CN8">
        <v>7</v>
      </c>
      <c r="CO8">
        <f t="shared" si="6"/>
        <v>4</v>
      </c>
      <c r="CP8">
        <f t="shared" si="7"/>
        <v>0</v>
      </c>
    </row>
    <row r="9" spans="1:94" x14ac:dyDescent="0.35">
      <c r="A9" t="s">
        <v>5</v>
      </c>
      <c r="B9">
        <v>10</v>
      </c>
      <c r="C9">
        <v>8.5</v>
      </c>
      <c r="D9">
        <v>8.5</v>
      </c>
      <c r="E9">
        <v>7.5</v>
      </c>
      <c r="F9">
        <v>7</v>
      </c>
      <c r="G9">
        <v>7.5</v>
      </c>
      <c r="H9">
        <v>7</v>
      </c>
      <c r="I9" t="s">
        <v>26</v>
      </c>
      <c r="J9">
        <v>8.5</v>
      </c>
      <c r="K9">
        <v>7.5</v>
      </c>
      <c r="L9">
        <v>8.5</v>
      </c>
      <c r="M9">
        <v>7</v>
      </c>
      <c r="N9">
        <v>7.5</v>
      </c>
      <c r="O9">
        <v>7.5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6</v>
      </c>
      <c r="W9">
        <v>7.5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F9">
        <v>6.5</v>
      </c>
      <c r="AG9">
        <v>10</v>
      </c>
      <c r="AI9">
        <v>6.5</v>
      </c>
      <c r="AJ9">
        <v>5.5</v>
      </c>
      <c r="AK9">
        <v>6.5</v>
      </c>
      <c r="AL9">
        <v>6</v>
      </c>
      <c r="AO9">
        <v>6</v>
      </c>
      <c r="AP9">
        <v>5</v>
      </c>
      <c r="AQ9">
        <v>5.5</v>
      </c>
      <c r="AR9">
        <v>6.5</v>
      </c>
      <c r="AS9">
        <v>6</v>
      </c>
      <c r="AT9">
        <v>5.5</v>
      </c>
      <c r="AU9">
        <v>6.5</v>
      </c>
      <c r="AV9">
        <v>6</v>
      </c>
      <c r="AW9">
        <v>6</v>
      </c>
      <c r="AX9">
        <v>6</v>
      </c>
      <c r="AY9">
        <v>5.5</v>
      </c>
      <c r="AZ9">
        <v>7</v>
      </c>
      <c r="BA9">
        <v>8.5</v>
      </c>
      <c r="BB9">
        <v>5.5</v>
      </c>
      <c r="BC9">
        <v>4.5</v>
      </c>
      <c r="BD9">
        <v>5.5</v>
      </c>
      <c r="BE9">
        <v>6.5</v>
      </c>
      <c r="BF9">
        <v>5.5</v>
      </c>
      <c r="BG9">
        <v>5</v>
      </c>
      <c r="BK9">
        <v>5.5</v>
      </c>
      <c r="BL9">
        <v>6</v>
      </c>
      <c r="BO9">
        <v>5.5</v>
      </c>
      <c r="BP9">
        <v>5.5</v>
      </c>
      <c r="BQ9">
        <v>6</v>
      </c>
      <c r="BR9">
        <v>5.5</v>
      </c>
      <c r="BS9">
        <v>6</v>
      </c>
      <c r="BT9">
        <v>6</v>
      </c>
      <c r="BU9">
        <v>6.5</v>
      </c>
      <c r="BV9">
        <v>5.5</v>
      </c>
      <c r="BW9">
        <v>5.5</v>
      </c>
      <c r="BX9">
        <v>6.5</v>
      </c>
      <c r="BZ9">
        <v>6</v>
      </c>
      <c r="CA9">
        <v>5.5</v>
      </c>
      <c r="CB9">
        <v>6</v>
      </c>
      <c r="CD9">
        <v>5.5</v>
      </c>
      <c r="CE9">
        <v>9</v>
      </c>
      <c r="CF9">
        <v>7</v>
      </c>
      <c r="CG9">
        <v>8</v>
      </c>
      <c r="CH9">
        <v>7.5</v>
      </c>
      <c r="CI9">
        <v>6.5</v>
      </c>
      <c r="CK9">
        <f t="shared" si="3"/>
        <v>68</v>
      </c>
      <c r="CL9" s="18">
        <f t="shared" si="4"/>
        <v>6.6102941176470589</v>
      </c>
      <c r="CM9">
        <f t="shared" si="5"/>
        <v>1.1599796914667888</v>
      </c>
      <c r="CN9">
        <v>8</v>
      </c>
      <c r="CO9">
        <f t="shared" si="6"/>
        <v>3</v>
      </c>
      <c r="CP9">
        <f t="shared" si="7"/>
        <v>0</v>
      </c>
    </row>
    <row r="10" spans="1:94" x14ac:dyDescent="0.35">
      <c r="A10" t="s">
        <v>11</v>
      </c>
      <c r="B10">
        <v>5.5</v>
      </c>
      <c r="C10" t="s">
        <v>26</v>
      </c>
      <c r="D10">
        <v>7.5</v>
      </c>
      <c r="E10">
        <v>7.5</v>
      </c>
      <c r="F10">
        <v>7.5</v>
      </c>
      <c r="G10">
        <v>5.5</v>
      </c>
      <c r="H10" t="s">
        <v>26</v>
      </c>
      <c r="I10">
        <v>4.5</v>
      </c>
      <c r="J10">
        <v>7</v>
      </c>
      <c r="K10">
        <v>6</v>
      </c>
      <c r="L10" t="s">
        <v>26</v>
      </c>
      <c r="M10" t="s">
        <v>26</v>
      </c>
      <c r="N10">
        <v>6</v>
      </c>
      <c r="O10">
        <v>5.5</v>
      </c>
      <c r="P10">
        <v>6</v>
      </c>
      <c r="Q10" t="s">
        <v>26</v>
      </c>
      <c r="R10" t="s">
        <v>26</v>
      </c>
      <c r="S10">
        <v>4.5</v>
      </c>
      <c r="T10">
        <v>7</v>
      </c>
      <c r="U10" t="s">
        <v>26</v>
      </c>
      <c r="V10" t="s">
        <v>26</v>
      </c>
      <c r="W10" t="s">
        <v>26</v>
      </c>
      <c r="X10">
        <v>6</v>
      </c>
      <c r="Y10">
        <v>6</v>
      </c>
      <c r="Z10" t="s">
        <v>26</v>
      </c>
      <c r="AA10">
        <v>4.5</v>
      </c>
      <c r="AB10" t="s">
        <v>26</v>
      </c>
      <c r="AC10">
        <v>7</v>
      </c>
      <c r="AD10" t="s">
        <v>26</v>
      </c>
      <c r="AE10">
        <v>3</v>
      </c>
      <c r="AF10">
        <v>6</v>
      </c>
      <c r="AG10">
        <v>4.5</v>
      </c>
      <c r="AH10">
        <v>6</v>
      </c>
      <c r="AI10">
        <v>6</v>
      </c>
      <c r="AJ10">
        <v>5.5</v>
      </c>
      <c r="AK10">
        <v>7</v>
      </c>
      <c r="AL10">
        <v>5</v>
      </c>
      <c r="AM10">
        <v>4.5</v>
      </c>
      <c r="AN10">
        <v>4.5</v>
      </c>
      <c r="AO10">
        <v>5</v>
      </c>
      <c r="AP10">
        <v>5</v>
      </c>
      <c r="AR10">
        <v>5.5</v>
      </c>
      <c r="AS10">
        <v>5.5</v>
      </c>
      <c r="AT10">
        <v>5</v>
      </c>
      <c r="AU10">
        <v>6</v>
      </c>
      <c r="AV10">
        <v>5</v>
      </c>
      <c r="AX10">
        <v>5</v>
      </c>
      <c r="AY10">
        <v>4.5</v>
      </c>
      <c r="BD10">
        <v>4</v>
      </c>
      <c r="BE10">
        <v>6</v>
      </c>
      <c r="BG10">
        <v>3.5</v>
      </c>
      <c r="BH10">
        <v>5.5</v>
      </c>
      <c r="BI10">
        <v>5</v>
      </c>
      <c r="BJ10">
        <v>5</v>
      </c>
      <c r="BK10">
        <v>5</v>
      </c>
      <c r="BM10">
        <v>4.5</v>
      </c>
      <c r="BN10">
        <v>7</v>
      </c>
      <c r="BO10">
        <v>5</v>
      </c>
      <c r="BR10">
        <v>7</v>
      </c>
      <c r="BS10">
        <v>5.5</v>
      </c>
      <c r="BT10">
        <v>5.5</v>
      </c>
      <c r="BU10">
        <v>5.5</v>
      </c>
      <c r="BV10">
        <v>5</v>
      </c>
      <c r="BW10">
        <v>5</v>
      </c>
      <c r="BX10">
        <v>5</v>
      </c>
      <c r="BY10">
        <v>3.5</v>
      </c>
      <c r="BZ10">
        <v>4.5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f t="shared" si="3"/>
        <v>62</v>
      </c>
      <c r="CL10" s="18">
        <f t="shared" si="4"/>
        <v>5.395161290322581</v>
      </c>
      <c r="CM10">
        <f t="shared" si="5"/>
        <v>1.0492646397134546</v>
      </c>
      <c r="CN10">
        <v>9</v>
      </c>
      <c r="CO10">
        <f t="shared" si="6"/>
        <v>4</v>
      </c>
      <c r="CP10">
        <f t="shared" si="7"/>
        <v>0</v>
      </c>
    </row>
    <row r="11" spans="1:94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K11">
        <f t="shared" si="3"/>
        <v>59</v>
      </c>
      <c r="CL11" s="18">
        <f t="shared" si="4"/>
        <v>5.9915254237288131</v>
      </c>
      <c r="CM11">
        <f t="shared" si="5"/>
        <v>0.94689837963394019</v>
      </c>
      <c r="CN11">
        <v>10</v>
      </c>
      <c r="CO11">
        <f t="shared" si="6"/>
        <v>4</v>
      </c>
      <c r="CP11">
        <f t="shared" si="7"/>
        <v>0</v>
      </c>
    </row>
    <row r="12" spans="1:94" x14ac:dyDescent="0.35">
      <c r="A12" t="s">
        <v>2</v>
      </c>
      <c r="B12">
        <v>7</v>
      </c>
      <c r="C12" t="s">
        <v>26</v>
      </c>
      <c r="D12">
        <v>4.5</v>
      </c>
      <c r="E12">
        <v>4.5</v>
      </c>
      <c r="F12">
        <v>5.5</v>
      </c>
      <c r="G12">
        <v>5.5</v>
      </c>
      <c r="H12">
        <v>7</v>
      </c>
      <c r="I12" t="s">
        <v>26</v>
      </c>
      <c r="J12">
        <v>6</v>
      </c>
      <c r="K12">
        <v>6</v>
      </c>
      <c r="L12">
        <v>5.5</v>
      </c>
      <c r="M12">
        <v>6</v>
      </c>
      <c r="N12" t="s">
        <v>26</v>
      </c>
      <c r="O12">
        <v>5.5</v>
      </c>
      <c r="P12">
        <v>6</v>
      </c>
      <c r="Q12">
        <v>4.5</v>
      </c>
      <c r="R12">
        <v>6</v>
      </c>
      <c r="S12">
        <v>7</v>
      </c>
      <c r="T12">
        <v>5.5</v>
      </c>
      <c r="U12">
        <v>5.5</v>
      </c>
      <c r="V12">
        <v>5.5</v>
      </c>
      <c r="W12">
        <v>5.5</v>
      </c>
      <c r="X12">
        <v>6</v>
      </c>
      <c r="Y12">
        <v>5.5</v>
      </c>
      <c r="Z12" t="s">
        <v>26</v>
      </c>
      <c r="AA12">
        <v>7</v>
      </c>
      <c r="AB12">
        <v>6</v>
      </c>
      <c r="AC12">
        <v>6</v>
      </c>
      <c r="AD12" t="s">
        <v>26</v>
      </c>
      <c r="AE12">
        <v>7</v>
      </c>
      <c r="AH12">
        <v>6.5</v>
      </c>
      <c r="AI12">
        <v>4.5</v>
      </c>
      <c r="AK12">
        <v>5</v>
      </c>
      <c r="AL12">
        <v>5</v>
      </c>
      <c r="AM12">
        <v>5.5</v>
      </c>
      <c r="AN12">
        <v>4</v>
      </c>
      <c r="AT12">
        <v>4.5</v>
      </c>
      <c r="AZ12">
        <v>4.5</v>
      </c>
      <c r="BC12">
        <v>4</v>
      </c>
      <c r="BG12">
        <v>4.5</v>
      </c>
      <c r="BH12">
        <v>5.5</v>
      </c>
      <c r="BI12">
        <v>5</v>
      </c>
      <c r="BJ12">
        <v>4.5</v>
      </c>
      <c r="BK12">
        <v>4.5</v>
      </c>
      <c r="BL12">
        <v>4.5</v>
      </c>
      <c r="BM12">
        <v>5</v>
      </c>
      <c r="BN12">
        <v>5.5</v>
      </c>
      <c r="BQ12">
        <v>5</v>
      </c>
      <c r="BW12">
        <v>5</v>
      </c>
      <c r="BY12">
        <v>4</v>
      </c>
      <c r="BZ12">
        <v>5</v>
      </c>
      <c r="CA12">
        <v>5</v>
      </c>
      <c r="CB12">
        <v>4.5</v>
      </c>
      <c r="CC12">
        <v>7</v>
      </c>
      <c r="CD12">
        <v>5</v>
      </c>
      <c r="CE12">
        <v>6.5</v>
      </c>
      <c r="CF12">
        <v>5.5</v>
      </c>
      <c r="CG12">
        <v>5.5</v>
      </c>
      <c r="CK12">
        <f t="shared" si="3"/>
        <v>53</v>
      </c>
      <c r="CL12" s="18">
        <f t="shared" si="4"/>
        <v>5.4056603773584904</v>
      </c>
      <c r="CM12">
        <f t="shared" si="5"/>
        <v>0.85197844455415417</v>
      </c>
      <c r="CN12">
        <v>11</v>
      </c>
      <c r="CO12">
        <f t="shared" si="6"/>
        <v>4</v>
      </c>
      <c r="CP12">
        <f t="shared" si="7"/>
        <v>0</v>
      </c>
    </row>
    <row r="13" spans="1:94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B13">
        <v>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K13">
        <f t="shared" si="3"/>
        <v>51</v>
      </c>
      <c r="CL13" s="18">
        <f t="shared" si="4"/>
        <v>5.9901960784313726</v>
      </c>
      <c r="CM13">
        <f t="shared" si="5"/>
        <v>1.0152954397277538</v>
      </c>
      <c r="CN13">
        <v>12</v>
      </c>
      <c r="CO13">
        <f t="shared" si="6"/>
        <v>4</v>
      </c>
      <c r="CP13">
        <f t="shared" si="7"/>
        <v>0</v>
      </c>
    </row>
    <row r="14" spans="1:94" x14ac:dyDescent="0.35">
      <c r="A14" t="s">
        <v>25</v>
      </c>
      <c r="B14" t="s">
        <v>26</v>
      </c>
      <c r="C14" t="s">
        <v>26</v>
      </c>
      <c r="D14" t="s">
        <v>26</v>
      </c>
      <c r="E14">
        <v>4.5</v>
      </c>
      <c r="F14">
        <v>6</v>
      </c>
      <c r="G14">
        <v>4</v>
      </c>
      <c r="H14" t="s">
        <v>26</v>
      </c>
      <c r="I14" t="s">
        <v>26</v>
      </c>
      <c r="J14">
        <v>4.5</v>
      </c>
      <c r="K14" t="s">
        <v>26</v>
      </c>
      <c r="L14">
        <v>2.5</v>
      </c>
      <c r="M14">
        <v>4.5</v>
      </c>
      <c r="N14">
        <v>5.5</v>
      </c>
      <c r="O14">
        <v>6</v>
      </c>
      <c r="P14">
        <v>4.5</v>
      </c>
      <c r="Q14" t="s">
        <v>26</v>
      </c>
      <c r="R14" t="s">
        <v>26</v>
      </c>
      <c r="S14">
        <v>4</v>
      </c>
      <c r="T14">
        <v>6</v>
      </c>
      <c r="U14">
        <v>2.5</v>
      </c>
      <c r="V14">
        <v>5.5</v>
      </c>
      <c r="W14">
        <v>6</v>
      </c>
      <c r="X14">
        <v>6</v>
      </c>
      <c r="Y14" t="s">
        <v>26</v>
      </c>
      <c r="Z14">
        <v>5.5</v>
      </c>
      <c r="AA14" t="s">
        <v>26</v>
      </c>
      <c r="AB14" t="s">
        <v>26</v>
      </c>
      <c r="AC14">
        <v>4</v>
      </c>
      <c r="AD14">
        <v>4.5</v>
      </c>
      <c r="AE14">
        <v>4</v>
      </c>
      <c r="AF14">
        <v>2.5</v>
      </c>
      <c r="AG14">
        <v>3</v>
      </c>
      <c r="AH14">
        <v>5</v>
      </c>
      <c r="AK14">
        <v>5</v>
      </c>
      <c r="AL14">
        <v>2.5</v>
      </c>
      <c r="AM14">
        <v>4</v>
      </c>
      <c r="AO14">
        <v>5.5</v>
      </c>
      <c r="AP14">
        <v>5.5</v>
      </c>
      <c r="AQ14">
        <v>4</v>
      </c>
      <c r="AR14">
        <v>3.5</v>
      </c>
      <c r="AT14">
        <v>5</v>
      </c>
      <c r="AU14">
        <v>4</v>
      </c>
      <c r="AX14">
        <v>5.5</v>
      </c>
      <c r="AY14">
        <v>4.5</v>
      </c>
      <c r="AZ14">
        <v>4.5</v>
      </c>
      <c r="BA14">
        <v>5</v>
      </c>
      <c r="BC14">
        <v>4</v>
      </c>
      <c r="BE14">
        <v>4.5</v>
      </c>
      <c r="BK14">
        <v>4.5</v>
      </c>
      <c r="BL14">
        <v>4</v>
      </c>
      <c r="BM14">
        <v>5</v>
      </c>
      <c r="BO14">
        <v>4.5</v>
      </c>
      <c r="BR14">
        <v>4.5</v>
      </c>
      <c r="BT14">
        <v>5</v>
      </c>
      <c r="CA14">
        <v>5</v>
      </c>
      <c r="CC14">
        <v>4.5</v>
      </c>
      <c r="CE14">
        <v>5</v>
      </c>
      <c r="CF14">
        <v>5.5</v>
      </c>
      <c r="CK14">
        <f t="shared" si="3"/>
        <v>47</v>
      </c>
      <c r="CL14" s="18">
        <f t="shared" si="4"/>
        <v>4.5744680851063828</v>
      </c>
      <c r="CM14">
        <f t="shared" si="5"/>
        <v>0.94970661032680381</v>
      </c>
      <c r="CN14">
        <v>13</v>
      </c>
      <c r="CO14">
        <f t="shared" si="6"/>
        <v>3</v>
      </c>
      <c r="CP14">
        <f t="shared" si="7"/>
        <v>0</v>
      </c>
    </row>
    <row r="15" spans="1:94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5.5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6</v>
      </c>
      <c r="Y15">
        <v>7</v>
      </c>
      <c r="Z15">
        <v>7</v>
      </c>
      <c r="AA15" t="s">
        <v>26</v>
      </c>
      <c r="AB15">
        <v>7</v>
      </c>
      <c r="AC15">
        <v>4.5</v>
      </c>
      <c r="AD15">
        <v>7</v>
      </c>
      <c r="AE15">
        <v>6</v>
      </c>
      <c r="AF15">
        <v>5</v>
      </c>
      <c r="AG15">
        <v>6.5</v>
      </c>
      <c r="AH15">
        <v>6.5</v>
      </c>
      <c r="AI15">
        <v>6.5</v>
      </c>
      <c r="AJ15">
        <v>5</v>
      </c>
      <c r="AK15">
        <v>5</v>
      </c>
      <c r="AL15">
        <v>6</v>
      </c>
      <c r="AM15">
        <v>5</v>
      </c>
      <c r="AO15">
        <v>5</v>
      </c>
      <c r="AP15">
        <v>5.5</v>
      </c>
      <c r="AQ15">
        <v>4.5</v>
      </c>
      <c r="AR15">
        <v>5</v>
      </c>
      <c r="AS15">
        <v>5</v>
      </c>
      <c r="AT15">
        <v>5</v>
      </c>
      <c r="AU15">
        <v>6</v>
      </c>
      <c r="AV15">
        <v>4.5</v>
      </c>
      <c r="AW15">
        <v>5</v>
      </c>
      <c r="BP15">
        <v>5</v>
      </c>
      <c r="BQ15">
        <v>5</v>
      </c>
      <c r="BR15">
        <v>5.5</v>
      </c>
      <c r="BS15">
        <v>5.5</v>
      </c>
      <c r="BV15">
        <v>5</v>
      </c>
      <c r="BW15">
        <v>5.5</v>
      </c>
      <c r="BY15">
        <v>4.5</v>
      </c>
      <c r="CA15">
        <v>5</v>
      </c>
      <c r="CB15">
        <v>5.5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K15">
        <f t="shared" si="3"/>
        <v>43</v>
      </c>
      <c r="CL15" s="18">
        <f t="shared" si="4"/>
        <v>5.6627906976744189</v>
      </c>
      <c r="CM15">
        <f t="shared" si="5"/>
        <v>0.81019149366693188</v>
      </c>
      <c r="CN15">
        <v>14</v>
      </c>
      <c r="CO15">
        <f t="shared" si="6"/>
        <v>4</v>
      </c>
      <c r="CP15">
        <f t="shared" si="7"/>
        <v>0</v>
      </c>
    </row>
    <row r="16" spans="1:94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5.5</v>
      </c>
      <c r="G16">
        <v>4.5</v>
      </c>
      <c r="H16">
        <v>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6</v>
      </c>
      <c r="R16" t="s">
        <v>26</v>
      </c>
      <c r="S16">
        <v>6</v>
      </c>
      <c r="T16">
        <v>6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G16">
        <v>6.5</v>
      </c>
      <c r="AI16">
        <v>4</v>
      </c>
      <c r="AJ16">
        <v>3.5</v>
      </c>
      <c r="AK16">
        <v>3</v>
      </c>
      <c r="AL16">
        <v>5</v>
      </c>
      <c r="AN16">
        <v>5</v>
      </c>
      <c r="AO16">
        <v>5</v>
      </c>
      <c r="AW16">
        <v>4.5</v>
      </c>
      <c r="AX16">
        <v>4.5</v>
      </c>
      <c r="AY16">
        <v>4.5</v>
      </c>
      <c r="AZ16">
        <v>4.5</v>
      </c>
      <c r="BB16">
        <v>5.5</v>
      </c>
      <c r="BC16">
        <v>2.5</v>
      </c>
      <c r="BE16">
        <v>4</v>
      </c>
      <c r="BF16">
        <v>5</v>
      </c>
      <c r="BG16">
        <v>3.5</v>
      </c>
      <c r="BH16">
        <v>4</v>
      </c>
      <c r="BI16">
        <v>5</v>
      </c>
      <c r="BJ16">
        <v>4.5</v>
      </c>
      <c r="BK16">
        <v>5</v>
      </c>
      <c r="BL16">
        <v>4.5</v>
      </c>
      <c r="BO16">
        <v>4</v>
      </c>
      <c r="BP16">
        <v>5</v>
      </c>
      <c r="BQ16">
        <v>4.5</v>
      </c>
      <c r="BS16">
        <v>4.5</v>
      </c>
      <c r="BT16">
        <v>4.5</v>
      </c>
      <c r="BV16">
        <v>4</v>
      </c>
      <c r="BX16">
        <v>5</v>
      </c>
      <c r="CB16">
        <v>5</v>
      </c>
      <c r="CC16">
        <v>5.5</v>
      </c>
      <c r="CD16">
        <v>4.5</v>
      </c>
      <c r="CE16">
        <v>5.5</v>
      </c>
      <c r="CG16">
        <v>6</v>
      </c>
      <c r="CH16">
        <v>6.5</v>
      </c>
      <c r="CI16">
        <v>5.5</v>
      </c>
      <c r="CK16">
        <f t="shared" si="3"/>
        <v>41</v>
      </c>
      <c r="CL16" s="18">
        <f t="shared" si="4"/>
        <v>4.8170731707317076</v>
      </c>
      <c r="CM16">
        <f t="shared" si="5"/>
        <v>0.8518451231286176</v>
      </c>
      <c r="CN16">
        <v>15</v>
      </c>
      <c r="CO16">
        <f t="shared" si="6"/>
        <v>3</v>
      </c>
      <c r="CP16">
        <f t="shared" si="7"/>
        <v>0</v>
      </c>
    </row>
    <row r="17" spans="1:94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4.5</v>
      </c>
      <c r="AC17">
        <v>6</v>
      </c>
      <c r="AD17" t="s">
        <v>26</v>
      </c>
      <c r="AE17">
        <v>6.5</v>
      </c>
      <c r="AF17">
        <v>6</v>
      </c>
      <c r="AG17">
        <v>6.5</v>
      </c>
      <c r="AH17">
        <v>5</v>
      </c>
      <c r="AI17">
        <v>5.5</v>
      </c>
      <c r="AL17">
        <v>5</v>
      </c>
      <c r="AO17">
        <v>5.5</v>
      </c>
      <c r="AP17">
        <v>6</v>
      </c>
      <c r="AQ17">
        <v>5.5</v>
      </c>
      <c r="AT17">
        <v>4.5</v>
      </c>
      <c r="AU17">
        <v>5</v>
      </c>
      <c r="AV17">
        <v>5</v>
      </c>
      <c r="AW17">
        <v>4.5</v>
      </c>
      <c r="AX17">
        <v>5</v>
      </c>
      <c r="AZ17">
        <v>5</v>
      </c>
      <c r="BA17">
        <v>5.5</v>
      </c>
      <c r="BB17">
        <v>5.5</v>
      </c>
      <c r="BC17">
        <v>4</v>
      </c>
      <c r="BD17">
        <v>4.5</v>
      </c>
      <c r="BE17">
        <v>4.5</v>
      </c>
      <c r="BF17">
        <v>4.5</v>
      </c>
      <c r="BG17">
        <v>5</v>
      </c>
      <c r="BI17">
        <v>4.5</v>
      </c>
      <c r="BL17">
        <v>5</v>
      </c>
      <c r="BM17">
        <v>5</v>
      </c>
      <c r="BN17">
        <v>5.5</v>
      </c>
      <c r="BO17">
        <v>5</v>
      </c>
      <c r="BQ17">
        <v>5</v>
      </c>
      <c r="BR17">
        <v>4.5</v>
      </c>
      <c r="BW17">
        <v>5</v>
      </c>
      <c r="CA17">
        <v>5</v>
      </c>
      <c r="CB17">
        <v>5.5</v>
      </c>
      <c r="CC17">
        <v>6</v>
      </c>
      <c r="CD17">
        <v>5.5</v>
      </c>
      <c r="CK17">
        <f t="shared" si="3"/>
        <v>36</v>
      </c>
      <c r="CL17" s="18">
        <f t="shared" si="4"/>
        <v>5.166666666666667</v>
      </c>
      <c r="CM17">
        <f t="shared" si="5"/>
        <v>0.59761430466719678</v>
      </c>
      <c r="CN17">
        <v>16</v>
      </c>
      <c r="CO17">
        <f t="shared" si="6"/>
        <v>2</v>
      </c>
      <c r="CP17">
        <f t="shared" si="7"/>
        <v>0</v>
      </c>
    </row>
    <row r="18" spans="1:94" x14ac:dyDescent="0.35">
      <c r="A18" t="s">
        <v>15</v>
      </c>
      <c r="B18">
        <v>7</v>
      </c>
      <c r="C18">
        <v>5.5</v>
      </c>
      <c r="D18" t="s">
        <v>26</v>
      </c>
      <c r="E18" t="s">
        <v>26</v>
      </c>
      <c r="F18" t="s">
        <v>26</v>
      </c>
      <c r="G18">
        <v>6</v>
      </c>
      <c r="H18">
        <v>4.5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6</v>
      </c>
      <c r="Q18">
        <v>5.5</v>
      </c>
      <c r="R18">
        <v>7</v>
      </c>
      <c r="S18">
        <v>6</v>
      </c>
      <c r="T18">
        <v>6</v>
      </c>
      <c r="U18">
        <v>7</v>
      </c>
      <c r="V18">
        <v>5.5</v>
      </c>
      <c r="W18">
        <v>6</v>
      </c>
      <c r="X18">
        <v>5.5</v>
      </c>
      <c r="Y18">
        <v>7</v>
      </c>
      <c r="Z18" t="s">
        <v>26</v>
      </c>
      <c r="AA18">
        <v>7</v>
      </c>
      <c r="AB18">
        <v>6</v>
      </c>
      <c r="AC18" t="s">
        <v>26</v>
      </c>
      <c r="AD18">
        <v>6</v>
      </c>
      <c r="BB18">
        <v>3.5</v>
      </c>
      <c r="BC18">
        <v>4</v>
      </c>
      <c r="BD18">
        <v>5</v>
      </c>
      <c r="BE18">
        <v>7</v>
      </c>
      <c r="BH18">
        <v>5</v>
      </c>
      <c r="BJ18">
        <v>4.5</v>
      </c>
      <c r="BK18">
        <v>5.5</v>
      </c>
      <c r="BL18">
        <v>5</v>
      </c>
      <c r="BM18">
        <v>5</v>
      </c>
      <c r="BN18">
        <v>5.5</v>
      </c>
      <c r="BR18">
        <v>5</v>
      </c>
      <c r="BS18">
        <v>5</v>
      </c>
      <c r="BW18">
        <v>5.5</v>
      </c>
      <c r="BX18">
        <v>5</v>
      </c>
      <c r="BY18">
        <v>5</v>
      </c>
      <c r="CA18">
        <v>4.5</v>
      </c>
      <c r="CB18">
        <v>5</v>
      </c>
      <c r="CC18">
        <v>5</v>
      </c>
      <c r="CI18">
        <v>5</v>
      </c>
      <c r="CK18">
        <f t="shared" si="3"/>
        <v>36</v>
      </c>
      <c r="CL18" s="18">
        <f t="shared" si="4"/>
        <v>5.5138888888888893</v>
      </c>
      <c r="CM18">
        <f t="shared" si="5"/>
        <v>0.89066116504783599</v>
      </c>
      <c r="CN18">
        <v>17</v>
      </c>
      <c r="CO18">
        <f t="shared" si="6"/>
        <v>1</v>
      </c>
      <c r="CP18">
        <f t="shared" si="7"/>
        <v>0</v>
      </c>
    </row>
    <row r="19" spans="1:94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6</v>
      </c>
      <c r="I19">
        <v>5.5</v>
      </c>
      <c r="J19">
        <v>5.5</v>
      </c>
      <c r="K19">
        <v>4</v>
      </c>
      <c r="L19" t="s">
        <v>26</v>
      </c>
      <c r="M19">
        <v>4</v>
      </c>
      <c r="N19">
        <v>4.5</v>
      </c>
      <c r="O19">
        <v>7.5</v>
      </c>
      <c r="P19">
        <v>7</v>
      </c>
      <c r="Q19">
        <v>4.5</v>
      </c>
      <c r="R19" t="s">
        <v>26</v>
      </c>
      <c r="S19" t="s">
        <v>26</v>
      </c>
      <c r="T19" t="s">
        <v>26</v>
      </c>
      <c r="U19">
        <v>5.5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H19">
        <v>5</v>
      </c>
      <c r="AI19">
        <v>5.5</v>
      </c>
      <c r="AJ19">
        <v>3.5</v>
      </c>
      <c r="BF19">
        <v>3.5</v>
      </c>
      <c r="BG19">
        <v>4.5</v>
      </c>
      <c r="BH19">
        <v>4</v>
      </c>
      <c r="BI19">
        <v>5</v>
      </c>
      <c r="BJ19">
        <v>3.5</v>
      </c>
      <c r="BK19">
        <v>4</v>
      </c>
      <c r="BL19">
        <v>5</v>
      </c>
      <c r="BO19">
        <v>5</v>
      </c>
      <c r="BQ19">
        <v>7</v>
      </c>
      <c r="BR19">
        <v>4.5</v>
      </c>
      <c r="BT19">
        <v>5</v>
      </c>
      <c r="BU19">
        <v>5.5</v>
      </c>
      <c r="BV19">
        <v>4.5</v>
      </c>
      <c r="BX19">
        <v>5</v>
      </c>
      <c r="BY19">
        <v>5</v>
      </c>
      <c r="CA19">
        <v>5</v>
      </c>
      <c r="CB19">
        <v>5</v>
      </c>
      <c r="CC19">
        <v>4</v>
      </c>
      <c r="CD19">
        <v>6.5</v>
      </c>
      <c r="CE19">
        <v>6</v>
      </c>
      <c r="CF19">
        <v>6</v>
      </c>
      <c r="CH19">
        <v>5.5</v>
      </c>
      <c r="CI19">
        <v>6</v>
      </c>
      <c r="CK19">
        <f t="shared" si="3"/>
        <v>36</v>
      </c>
      <c r="CL19" s="18">
        <f t="shared" si="4"/>
        <v>5.083333333333333</v>
      </c>
      <c r="CM19">
        <f t="shared" si="5"/>
        <v>1.010307836816922</v>
      </c>
      <c r="CN19">
        <v>18</v>
      </c>
      <c r="CO19">
        <f t="shared" si="6"/>
        <v>4</v>
      </c>
      <c r="CP19">
        <f t="shared" si="7"/>
        <v>0</v>
      </c>
    </row>
    <row r="20" spans="1:94" x14ac:dyDescent="0.35">
      <c r="A20" t="s">
        <v>367</v>
      </c>
      <c r="B20">
        <v>8.5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6</v>
      </c>
      <c r="L20">
        <v>7</v>
      </c>
      <c r="M20">
        <v>6</v>
      </c>
      <c r="N20">
        <v>6</v>
      </c>
      <c r="O20">
        <v>6</v>
      </c>
      <c r="P20">
        <v>7</v>
      </c>
      <c r="Q20">
        <v>5.5</v>
      </c>
      <c r="R20">
        <v>7.5</v>
      </c>
      <c r="S20">
        <v>7</v>
      </c>
      <c r="T20">
        <v>7</v>
      </c>
      <c r="U20">
        <v>6</v>
      </c>
      <c r="V20">
        <v>7</v>
      </c>
      <c r="W20">
        <v>7</v>
      </c>
      <c r="X20">
        <v>7</v>
      </c>
      <c r="Y20" t="s">
        <v>26</v>
      </c>
      <c r="Z20">
        <v>6</v>
      </c>
      <c r="AA20">
        <v>6</v>
      </c>
      <c r="AB20" t="s">
        <v>26</v>
      </c>
      <c r="AC20">
        <v>6</v>
      </c>
      <c r="AD20" t="s">
        <v>26</v>
      </c>
      <c r="AF20">
        <v>7</v>
      </c>
      <c r="AG20">
        <v>5.5</v>
      </c>
      <c r="AH20">
        <v>5.5</v>
      </c>
      <c r="AI20">
        <v>5.5</v>
      </c>
      <c r="AJ20">
        <v>5.5</v>
      </c>
      <c r="AK20">
        <v>6.5</v>
      </c>
      <c r="AL20">
        <v>4.5</v>
      </c>
      <c r="AV20">
        <v>4.5</v>
      </c>
      <c r="AW20">
        <v>4.5</v>
      </c>
      <c r="AX20">
        <v>5</v>
      </c>
      <c r="AY20">
        <v>5.5</v>
      </c>
      <c r="AZ20">
        <v>5.5</v>
      </c>
      <c r="BA20">
        <v>5</v>
      </c>
      <c r="BD20">
        <v>4.5</v>
      </c>
      <c r="BE20">
        <v>6</v>
      </c>
      <c r="BF20">
        <v>6.5</v>
      </c>
      <c r="BG20">
        <v>5.5</v>
      </c>
      <c r="BH20">
        <v>5</v>
      </c>
      <c r="BK20">
        <v>4.5</v>
      </c>
      <c r="BL20">
        <v>5</v>
      </c>
      <c r="BM20">
        <v>5.5</v>
      </c>
      <c r="BN20">
        <v>5.5</v>
      </c>
      <c r="BO20">
        <v>5</v>
      </c>
      <c r="BP20">
        <v>5.5</v>
      </c>
      <c r="BQ20">
        <v>5</v>
      </c>
      <c r="BR20">
        <v>4.5</v>
      </c>
      <c r="BS20">
        <v>5.5</v>
      </c>
      <c r="BT20">
        <v>5</v>
      </c>
      <c r="BV20">
        <v>5.5</v>
      </c>
      <c r="BW20">
        <v>5</v>
      </c>
      <c r="BY20">
        <v>5</v>
      </c>
      <c r="CB20">
        <v>5</v>
      </c>
      <c r="CI20">
        <v>6.5</v>
      </c>
      <c r="CK20">
        <f t="shared" si="3"/>
        <v>55</v>
      </c>
      <c r="CL20" s="18">
        <f t="shared" si="4"/>
        <v>5.9090909090909092</v>
      </c>
      <c r="CM20">
        <f t="shared" si="5"/>
        <v>1.083232538449153</v>
      </c>
      <c r="CN20">
        <v>19</v>
      </c>
      <c r="CO20">
        <f t="shared" si="6"/>
        <v>0</v>
      </c>
      <c r="CP20">
        <f t="shared" si="7"/>
        <v>0</v>
      </c>
    </row>
    <row r="21" spans="1:94" x14ac:dyDescent="0.35">
      <c r="A21" t="s">
        <v>14</v>
      </c>
      <c r="B21">
        <v>7</v>
      </c>
      <c r="C21" t="s">
        <v>26</v>
      </c>
      <c r="D21">
        <v>7.5</v>
      </c>
      <c r="E21" t="s">
        <v>26</v>
      </c>
      <c r="F21">
        <v>6</v>
      </c>
      <c r="G21">
        <v>7</v>
      </c>
      <c r="H21">
        <v>4.5</v>
      </c>
      <c r="I21">
        <v>5.5</v>
      </c>
      <c r="J21" t="s">
        <v>26</v>
      </c>
      <c r="K21">
        <v>6</v>
      </c>
      <c r="L21">
        <v>6</v>
      </c>
      <c r="M21">
        <v>6</v>
      </c>
      <c r="N21" t="s">
        <v>26</v>
      </c>
      <c r="O21">
        <v>6</v>
      </c>
      <c r="P21">
        <v>5.5</v>
      </c>
      <c r="Q21">
        <v>5.5</v>
      </c>
      <c r="R21">
        <v>6</v>
      </c>
      <c r="S21">
        <v>4.5</v>
      </c>
      <c r="T21">
        <v>7</v>
      </c>
      <c r="U21" t="s">
        <v>26</v>
      </c>
      <c r="V21">
        <v>6</v>
      </c>
      <c r="W21" t="s">
        <v>26</v>
      </c>
      <c r="X21">
        <v>7</v>
      </c>
      <c r="Y21">
        <v>6</v>
      </c>
      <c r="Z21" t="s">
        <v>26</v>
      </c>
      <c r="AA21">
        <v>6</v>
      </c>
      <c r="AB21">
        <v>5.5</v>
      </c>
      <c r="AC21">
        <v>6</v>
      </c>
      <c r="AD21">
        <v>5.5</v>
      </c>
      <c r="AI21">
        <v>5</v>
      </c>
      <c r="AL21">
        <v>5.5</v>
      </c>
      <c r="AM21">
        <v>5</v>
      </c>
      <c r="AN21">
        <v>5</v>
      </c>
      <c r="AO21">
        <v>5</v>
      </c>
      <c r="AP21">
        <v>5</v>
      </c>
      <c r="AQ21">
        <v>5</v>
      </c>
      <c r="AR21">
        <v>4.5</v>
      </c>
      <c r="AS21">
        <v>5.5</v>
      </c>
      <c r="AT21">
        <v>5.5</v>
      </c>
      <c r="AV21">
        <v>5</v>
      </c>
      <c r="AY21">
        <v>4.5</v>
      </c>
      <c r="AZ21">
        <v>5</v>
      </c>
      <c r="BB21">
        <v>5</v>
      </c>
      <c r="BC21">
        <v>6</v>
      </c>
      <c r="BD21">
        <v>6</v>
      </c>
      <c r="BE21">
        <v>6</v>
      </c>
      <c r="BF21">
        <v>5</v>
      </c>
      <c r="BG21">
        <v>5.5</v>
      </c>
      <c r="BH21">
        <v>5</v>
      </c>
      <c r="BI21">
        <v>5</v>
      </c>
      <c r="BK21">
        <v>5.5</v>
      </c>
      <c r="BL21">
        <v>5</v>
      </c>
      <c r="BM21">
        <v>5</v>
      </c>
      <c r="BN21">
        <v>5.5</v>
      </c>
      <c r="BO21">
        <v>4.5</v>
      </c>
      <c r="BP21">
        <v>4.5</v>
      </c>
      <c r="BQ21">
        <v>5</v>
      </c>
      <c r="BR21">
        <v>4.5</v>
      </c>
      <c r="CF21">
        <v>5.5</v>
      </c>
      <c r="CK21">
        <f t="shared" si="3"/>
        <v>52</v>
      </c>
      <c r="CL21" s="18">
        <f t="shared" si="4"/>
        <v>5.5</v>
      </c>
      <c r="CM21">
        <f t="shared" si="5"/>
        <v>0.72760687510899891</v>
      </c>
      <c r="CN21">
        <v>20</v>
      </c>
      <c r="CO21">
        <f t="shared" si="6"/>
        <v>1</v>
      </c>
      <c r="CP21">
        <f t="shared" si="7"/>
        <v>0</v>
      </c>
    </row>
    <row r="22" spans="1:94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6</v>
      </c>
      <c r="P22" t="s">
        <v>26</v>
      </c>
      <c r="Q22">
        <v>4.5</v>
      </c>
      <c r="R22" t="s">
        <v>26</v>
      </c>
      <c r="S22" t="s">
        <v>26</v>
      </c>
      <c r="T22">
        <v>7</v>
      </c>
      <c r="U22">
        <v>7</v>
      </c>
      <c r="V22">
        <v>6</v>
      </c>
      <c r="W22">
        <v>6</v>
      </c>
      <c r="X22">
        <v>6</v>
      </c>
      <c r="Y22">
        <v>7.5</v>
      </c>
      <c r="Z22">
        <v>6</v>
      </c>
      <c r="AA22">
        <v>6</v>
      </c>
      <c r="AB22" t="s">
        <v>26</v>
      </c>
      <c r="AC22">
        <v>6</v>
      </c>
      <c r="AD22">
        <v>7</v>
      </c>
      <c r="AF22">
        <v>7</v>
      </c>
      <c r="AG22">
        <v>7</v>
      </c>
      <c r="AQ22">
        <v>7</v>
      </c>
      <c r="AR22">
        <v>6.5</v>
      </c>
      <c r="AS22">
        <v>5</v>
      </c>
      <c r="AT22">
        <v>5</v>
      </c>
      <c r="AU22">
        <v>5</v>
      </c>
      <c r="AV22">
        <v>5</v>
      </c>
      <c r="AW22">
        <v>5</v>
      </c>
      <c r="AZ22">
        <v>5.5</v>
      </c>
      <c r="BC22">
        <v>4.5</v>
      </c>
      <c r="BE22">
        <v>5.5</v>
      </c>
      <c r="BF22">
        <v>5.5</v>
      </c>
      <c r="BH22">
        <v>5.5</v>
      </c>
      <c r="BJ22">
        <v>5</v>
      </c>
      <c r="BM22">
        <v>5</v>
      </c>
      <c r="BN22">
        <v>4.5</v>
      </c>
      <c r="BO22">
        <v>5.5</v>
      </c>
      <c r="BQ22">
        <v>5</v>
      </c>
      <c r="BR22">
        <v>6</v>
      </c>
      <c r="BS22">
        <v>5.5</v>
      </c>
      <c r="BT22">
        <v>5.5</v>
      </c>
      <c r="BU22">
        <v>5</v>
      </c>
      <c r="BX22">
        <v>5</v>
      </c>
      <c r="BZ22">
        <v>5</v>
      </c>
      <c r="CA22">
        <v>5.5</v>
      </c>
      <c r="CK22">
        <f t="shared" si="3"/>
        <v>38</v>
      </c>
      <c r="CL22" s="18">
        <f t="shared" si="4"/>
        <v>5.6973684210526319</v>
      </c>
      <c r="CM22">
        <f t="shared" si="5"/>
        <v>0.81820067653597328</v>
      </c>
      <c r="CN22">
        <v>21</v>
      </c>
      <c r="CO22">
        <f t="shared" si="6"/>
        <v>0</v>
      </c>
      <c r="CP22">
        <f t="shared" si="7"/>
        <v>0</v>
      </c>
    </row>
    <row r="23" spans="1:94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D23">
        <v>6</v>
      </c>
      <c r="CI23">
        <v>5</v>
      </c>
      <c r="CK23">
        <f t="shared" si="3"/>
        <v>25</v>
      </c>
      <c r="CL23" s="18">
        <f t="shared" si="4"/>
        <v>5.12</v>
      </c>
      <c r="CM23">
        <f t="shared" si="5"/>
        <v>0.76966960726523825</v>
      </c>
      <c r="CN23">
        <v>22</v>
      </c>
      <c r="CO23">
        <f t="shared" si="6"/>
        <v>1</v>
      </c>
      <c r="CP23">
        <f t="shared" si="7"/>
        <v>0</v>
      </c>
    </row>
    <row r="24" spans="1:94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7.5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6</v>
      </c>
      <c r="AS24">
        <v>5</v>
      </c>
      <c r="AT24">
        <v>5</v>
      </c>
      <c r="AX24">
        <v>6</v>
      </c>
      <c r="AY24">
        <v>4.5</v>
      </c>
      <c r="BB24">
        <v>5</v>
      </c>
      <c r="BD24">
        <v>5.5</v>
      </c>
      <c r="BI24">
        <v>4.5</v>
      </c>
      <c r="BJ24">
        <v>5.5</v>
      </c>
      <c r="BN24">
        <v>5</v>
      </c>
      <c r="BT24">
        <v>5</v>
      </c>
      <c r="BU24">
        <v>6.5</v>
      </c>
      <c r="BV24">
        <v>5</v>
      </c>
      <c r="BZ24">
        <v>5</v>
      </c>
      <c r="CB24">
        <v>5.5</v>
      </c>
      <c r="CE24">
        <v>6</v>
      </c>
      <c r="CF24">
        <v>7</v>
      </c>
      <c r="CG24">
        <v>7</v>
      </c>
      <c r="CH24">
        <v>6</v>
      </c>
      <c r="CI24">
        <v>7.5</v>
      </c>
      <c r="CK24">
        <f t="shared" si="3"/>
        <v>25</v>
      </c>
      <c r="CL24" s="18">
        <f t="shared" si="4"/>
        <v>5.92</v>
      </c>
      <c r="CM24">
        <f t="shared" si="5"/>
        <v>0.94691341824108899</v>
      </c>
      <c r="CN24">
        <v>23</v>
      </c>
      <c r="CO24">
        <f t="shared" si="6"/>
        <v>2</v>
      </c>
      <c r="CP24">
        <f t="shared" si="7"/>
        <v>0</v>
      </c>
    </row>
    <row r="25" spans="1:94" x14ac:dyDescent="0.35">
      <c r="A25" t="s">
        <v>3</v>
      </c>
      <c r="B25">
        <v>7.5</v>
      </c>
      <c r="C25">
        <v>6</v>
      </c>
      <c r="D25">
        <v>7.5</v>
      </c>
      <c r="E25">
        <v>4</v>
      </c>
      <c r="F25">
        <v>6</v>
      </c>
      <c r="G25">
        <v>5.5</v>
      </c>
      <c r="H25">
        <v>4.5</v>
      </c>
      <c r="I25">
        <v>5.5</v>
      </c>
      <c r="J25">
        <v>5.5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6</v>
      </c>
      <c r="Q25">
        <v>6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6.5</v>
      </c>
      <c r="AI25">
        <v>5</v>
      </c>
      <c r="AL25">
        <v>5.5</v>
      </c>
      <c r="AU25">
        <v>5</v>
      </c>
      <c r="BA25">
        <v>5</v>
      </c>
      <c r="CK25">
        <f t="shared" si="3"/>
        <v>19</v>
      </c>
      <c r="CL25" s="18">
        <f t="shared" si="4"/>
        <v>5.8421052631578947</v>
      </c>
      <c r="CM25">
        <f t="shared" si="5"/>
        <v>0.95819030206465661</v>
      </c>
      <c r="CN25">
        <v>24</v>
      </c>
      <c r="CO25">
        <f t="shared" si="6"/>
        <v>0</v>
      </c>
      <c r="CP25">
        <f t="shared" si="7"/>
        <v>0</v>
      </c>
    </row>
    <row r="26" spans="1:94" x14ac:dyDescent="0.35">
      <c r="A26" t="s">
        <v>346</v>
      </c>
      <c r="AN26">
        <v>5.5</v>
      </c>
      <c r="AO26">
        <v>5</v>
      </c>
      <c r="AQ26">
        <v>6</v>
      </c>
      <c r="AS26">
        <v>5</v>
      </c>
      <c r="AT26">
        <v>5</v>
      </c>
      <c r="AU26">
        <v>6</v>
      </c>
      <c r="AW26">
        <v>5</v>
      </c>
      <c r="AX26">
        <v>4.5</v>
      </c>
      <c r="AY26">
        <v>6</v>
      </c>
      <c r="AZ26">
        <v>5.5</v>
      </c>
      <c r="BA26">
        <v>5</v>
      </c>
      <c r="BC26">
        <v>4.5</v>
      </c>
      <c r="BE26">
        <v>4.5</v>
      </c>
      <c r="BF26">
        <v>5.5</v>
      </c>
      <c r="BG26">
        <v>5</v>
      </c>
      <c r="BV26">
        <v>5</v>
      </c>
      <c r="BW26">
        <v>5.5</v>
      </c>
      <c r="BY26">
        <v>5.5</v>
      </c>
      <c r="CK26">
        <f t="shared" si="3"/>
        <v>18</v>
      </c>
      <c r="CL26" s="18">
        <f t="shared" si="4"/>
        <v>5.2222222222222223</v>
      </c>
      <c r="CM26">
        <f t="shared" si="5"/>
        <v>0.49176220407782173</v>
      </c>
      <c r="CN26">
        <v>25</v>
      </c>
      <c r="CO26">
        <f t="shared" si="6"/>
        <v>0</v>
      </c>
      <c r="CP26">
        <f t="shared" si="7"/>
        <v>0</v>
      </c>
    </row>
    <row r="27" spans="1:94" x14ac:dyDescent="0.35">
      <c r="A27" t="s">
        <v>8</v>
      </c>
      <c r="B27">
        <v>6</v>
      </c>
      <c r="C27" t="s">
        <v>26</v>
      </c>
      <c r="D27">
        <v>4</v>
      </c>
      <c r="E27" t="s">
        <v>26</v>
      </c>
      <c r="F27" t="s">
        <v>26</v>
      </c>
      <c r="G27">
        <v>5.5</v>
      </c>
      <c r="H27">
        <v>4</v>
      </c>
      <c r="I27">
        <v>4.5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5.5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6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I27">
        <v>5</v>
      </c>
      <c r="AJ27">
        <v>5</v>
      </c>
      <c r="AN27">
        <v>5</v>
      </c>
      <c r="AP27">
        <v>5.5</v>
      </c>
      <c r="AQ27">
        <v>4</v>
      </c>
      <c r="AV27">
        <v>4.5</v>
      </c>
      <c r="CK27">
        <f t="shared" si="3"/>
        <v>17</v>
      </c>
      <c r="CL27" s="18">
        <f t="shared" si="4"/>
        <v>5.4411764705882355</v>
      </c>
      <c r="CM27">
        <f t="shared" si="5"/>
        <v>1.0880365478290537</v>
      </c>
      <c r="CN27">
        <v>26</v>
      </c>
      <c r="CO27">
        <f t="shared" si="6"/>
        <v>0</v>
      </c>
      <c r="CP27">
        <f t="shared" si="7"/>
        <v>0</v>
      </c>
    </row>
    <row r="28" spans="1:94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6</v>
      </c>
      <c r="Y28" t="s">
        <v>26</v>
      </c>
      <c r="Z28">
        <v>5.5</v>
      </c>
      <c r="AA28">
        <v>4</v>
      </c>
      <c r="AB28">
        <v>3</v>
      </c>
      <c r="AC28" t="s">
        <v>26</v>
      </c>
      <c r="AD28" t="s">
        <v>26</v>
      </c>
      <c r="AG28">
        <v>6</v>
      </c>
      <c r="AH28">
        <v>5</v>
      </c>
      <c r="AJ28">
        <v>4.5</v>
      </c>
      <c r="AK28">
        <v>5</v>
      </c>
      <c r="AO28">
        <v>4</v>
      </c>
      <c r="AP28">
        <v>5.5</v>
      </c>
      <c r="AR28">
        <v>3.5</v>
      </c>
      <c r="AW28">
        <v>3.5</v>
      </c>
      <c r="BA28">
        <v>3</v>
      </c>
      <c r="BJ28">
        <v>5.5</v>
      </c>
      <c r="BK28">
        <v>4</v>
      </c>
      <c r="BT28">
        <v>4</v>
      </c>
      <c r="CK28">
        <f t="shared" si="3"/>
        <v>16</v>
      </c>
      <c r="CL28" s="18">
        <f t="shared" si="4"/>
        <v>4.5</v>
      </c>
      <c r="CM28">
        <f t="shared" si="5"/>
        <v>1.0165300454651272</v>
      </c>
      <c r="CN28">
        <v>27</v>
      </c>
      <c r="CO28">
        <f t="shared" si="6"/>
        <v>0</v>
      </c>
      <c r="CP28">
        <f t="shared" si="7"/>
        <v>0</v>
      </c>
    </row>
    <row r="29" spans="1:94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K29">
        <f t="shared" si="3"/>
        <v>16</v>
      </c>
      <c r="CL29" s="18">
        <f t="shared" si="4"/>
        <v>6.125</v>
      </c>
      <c r="CM29">
        <f t="shared" si="5"/>
        <v>0.84656167328001963</v>
      </c>
      <c r="CN29">
        <v>28</v>
      </c>
      <c r="CO29">
        <f t="shared" si="6"/>
        <v>0</v>
      </c>
      <c r="CP29">
        <f t="shared" si="7"/>
        <v>0</v>
      </c>
    </row>
    <row r="30" spans="1:94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B30">
        <v>5</v>
      </c>
      <c r="CK30">
        <f t="shared" si="3"/>
        <v>15</v>
      </c>
      <c r="CL30" s="18">
        <f t="shared" si="4"/>
        <v>4.5333333333333332</v>
      </c>
      <c r="CM30">
        <f t="shared" si="5"/>
        <v>1.7471064513592047</v>
      </c>
      <c r="CN30">
        <v>29</v>
      </c>
      <c r="CO30">
        <f t="shared" si="6"/>
        <v>0</v>
      </c>
      <c r="CP30">
        <f t="shared" si="7"/>
        <v>0</v>
      </c>
    </row>
    <row r="31" spans="1:94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4.5</v>
      </c>
      <c r="T31" t="s">
        <v>26</v>
      </c>
      <c r="U31">
        <v>4.5</v>
      </c>
      <c r="V31" t="s">
        <v>26</v>
      </c>
      <c r="W31">
        <v>5.5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K31">
        <v>3.5</v>
      </c>
      <c r="AY31">
        <v>4.5</v>
      </c>
      <c r="BI31">
        <v>4.5</v>
      </c>
      <c r="BJ31">
        <v>5.5</v>
      </c>
      <c r="BL31">
        <v>4.5</v>
      </c>
      <c r="BN31">
        <v>4.5</v>
      </c>
      <c r="BP31">
        <v>4.5</v>
      </c>
      <c r="BV31">
        <v>5</v>
      </c>
      <c r="BY31">
        <v>5</v>
      </c>
      <c r="CF31">
        <v>5.5</v>
      </c>
      <c r="CI31">
        <v>4</v>
      </c>
      <c r="CK31">
        <f t="shared" si="3"/>
        <v>14</v>
      </c>
      <c r="CL31" s="18">
        <f t="shared" si="4"/>
        <v>4.6785714285714288</v>
      </c>
      <c r="CM31">
        <f t="shared" si="5"/>
        <v>0.56330071214910904</v>
      </c>
      <c r="CN31">
        <v>30</v>
      </c>
      <c r="CO31">
        <f t="shared" si="6"/>
        <v>1</v>
      </c>
      <c r="CP31">
        <f t="shared" si="7"/>
        <v>0</v>
      </c>
    </row>
    <row r="32" spans="1:94" x14ac:dyDescent="0.35">
      <c r="A32" t="s">
        <v>12</v>
      </c>
      <c r="B32">
        <v>8.5</v>
      </c>
      <c r="C32" t="s">
        <v>26</v>
      </c>
      <c r="D32">
        <v>7.5</v>
      </c>
      <c r="E32">
        <v>7.5</v>
      </c>
      <c r="F32" t="s">
        <v>26</v>
      </c>
      <c r="G32" t="s">
        <v>26</v>
      </c>
      <c r="H32">
        <v>6</v>
      </c>
      <c r="I32">
        <v>7.5</v>
      </c>
      <c r="J32" t="s">
        <v>26</v>
      </c>
      <c r="K32">
        <v>6</v>
      </c>
      <c r="L32">
        <v>7.5</v>
      </c>
      <c r="M32">
        <v>7</v>
      </c>
      <c r="N32">
        <v>6</v>
      </c>
      <c r="O32" t="s">
        <v>26</v>
      </c>
      <c r="P32" t="s">
        <v>26</v>
      </c>
      <c r="Q32" t="s">
        <v>26</v>
      </c>
      <c r="R32">
        <v>9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G32">
        <v>6.5</v>
      </c>
      <c r="AN32">
        <v>6</v>
      </c>
      <c r="BB32">
        <v>5</v>
      </c>
      <c r="CK32">
        <f t="shared" si="3"/>
        <v>13</v>
      </c>
      <c r="CL32" s="18">
        <f t="shared" si="4"/>
        <v>6.9230769230769234</v>
      </c>
      <c r="CM32">
        <f t="shared" si="5"/>
        <v>1.1336914969498575</v>
      </c>
      <c r="CN32">
        <v>31</v>
      </c>
      <c r="CO32">
        <f t="shared" si="6"/>
        <v>0</v>
      </c>
      <c r="CP32">
        <f t="shared" si="7"/>
        <v>0</v>
      </c>
    </row>
    <row r="33" spans="1:94" x14ac:dyDescent="0.35">
      <c r="A33" t="s">
        <v>17</v>
      </c>
      <c r="B33" t="s">
        <v>26</v>
      </c>
      <c r="C33">
        <v>5.5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4.5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5.5</v>
      </c>
      <c r="Z33">
        <v>5.5</v>
      </c>
      <c r="AA33" t="s">
        <v>26</v>
      </c>
      <c r="AB33">
        <v>5.5</v>
      </c>
      <c r="AC33">
        <v>5.5</v>
      </c>
      <c r="AD33">
        <v>4</v>
      </c>
      <c r="AH33">
        <v>4</v>
      </c>
      <c r="BE33">
        <v>5</v>
      </c>
      <c r="BF33">
        <v>4.5</v>
      </c>
      <c r="BT33">
        <v>5</v>
      </c>
      <c r="CK33">
        <f t="shared" si="3"/>
        <v>11</v>
      </c>
      <c r="CL33" s="18">
        <f t="shared" si="4"/>
        <v>4.9545454545454541</v>
      </c>
      <c r="CM33">
        <f t="shared" si="5"/>
        <v>0.61051394146839499</v>
      </c>
      <c r="CN33">
        <v>32</v>
      </c>
      <c r="CO33">
        <f t="shared" si="6"/>
        <v>0</v>
      </c>
      <c r="CP33">
        <f t="shared" si="7"/>
        <v>0</v>
      </c>
    </row>
    <row r="34" spans="1:94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C34">
        <v>6</v>
      </c>
      <c r="CK34">
        <f t="shared" si="3"/>
        <v>10</v>
      </c>
      <c r="CL34" s="18">
        <f t="shared" si="4"/>
        <v>7.8</v>
      </c>
      <c r="CM34">
        <f t="shared" si="5"/>
        <v>0.85634883857767674</v>
      </c>
      <c r="CN34">
        <v>33</v>
      </c>
      <c r="CO34">
        <f t="shared" si="6"/>
        <v>1</v>
      </c>
      <c r="CP34">
        <f t="shared" si="7"/>
        <v>0</v>
      </c>
    </row>
    <row r="35" spans="1:94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K35">
        <f t="shared" si="3"/>
        <v>8</v>
      </c>
      <c r="CL35" s="18">
        <f t="shared" si="4"/>
        <v>4.1875</v>
      </c>
      <c r="CM35">
        <f t="shared" si="5"/>
        <v>1.0669549461635468</v>
      </c>
      <c r="CN35">
        <v>34</v>
      </c>
      <c r="CO35">
        <f t="shared" si="6"/>
        <v>0</v>
      </c>
      <c r="CP35">
        <f t="shared" si="7"/>
        <v>0</v>
      </c>
    </row>
    <row r="36" spans="1:94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K36">
        <f t="shared" si="3"/>
        <v>7</v>
      </c>
      <c r="CL36" s="18">
        <f t="shared" si="4"/>
        <v>5.0714285714285712</v>
      </c>
      <c r="CM36">
        <f t="shared" si="5"/>
        <v>0.34503277967117707</v>
      </c>
      <c r="CN36">
        <v>35</v>
      </c>
      <c r="CO36">
        <f t="shared" si="6"/>
        <v>0</v>
      </c>
      <c r="CP36">
        <f t="shared" si="7"/>
        <v>0</v>
      </c>
    </row>
    <row r="37" spans="1:94" x14ac:dyDescent="0.35">
      <c r="A37" t="s">
        <v>376</v>
      </c>
      <c r="BN37">
        <v>5.5</v>
      </c>
      <c r="BO37">
        <v>5</v>
      </c>
      <c r="BP37">
        <v>5</v>
      </c>
      <c r="BQ37">
        <v>5</v>
      </c>
      <c r="BS37">
        <v>5</v>
      </c>
      <c r="BV37">
        <v>5.5</v>
      </c>
      <c r="BW37">
        <v>5</v>
      </c>
      <c r="CK37">
        <f t="shared" si="3"/>
        <v>7</v>
      </c>
      <c r="CL37" s="18">
        <f t="shared" si="4"/>
        <v>5.1428571428571432</v>
      </c>
      <c r="CM37">
        <f t="shared" si="5"/>
        <v>0.2439750182371333</v>
      </c>
      <c r="CN37">
        <v>36</v>
      </c>
      <c r="CO37">
        <f t="shared" si="6"/>
        <v>0</v>
      </c>
      <c r="CP37">
        <f t="shared" si="7"/>
        <v>0</v>
      </c>
    </row>
    <row r="38" spans="1:94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7.5</v>
      </c>
      <c r="AS38">
        <v>5</v>
      </c>
      <c r="BZ38">
        <v>5.5</v>
      </c>
      <c r="CE38">
        <v>6.5</v>
      </c>
      <c r="CG38">
        <v>6.5</v>
      </c>
      <c r="CH38">
        <v>6</v>
      </c>
      <c r="CI38">
        <v>6</v>
      </c>
      <c r="CK38">
        <f t="shared" si="3"/>
        <v>8</v>
      </c>
      <c r="CL38" s="18">
        <f t="shared" si="4"/>
        <v>6.25</v>
      </c>
      <c r="CM38">
        <f t="shared" si="5"/>
        <v>1.0368220676663875</v>
      </c>
      <c r="CN38">
        <v>37</v>
      </c>
      <c r="CO38">
        <f t="shared" si="6"/>
        <v>1</v>
      </c>
      <c r="CP38">
        <f t="shared" si="7"/>
        <v>0</v>
      </c>
    </row>
    <row r="39" spans="1:94" x14ac:dyDescent="0.35">
      <c r="A39" t="s">
        <v>378</v>
      </c>
      <c r="BW39">
        <v>5</v>
      </c>
      <c r="BY39">
        <v>4.5</v>
      </c>
      <c r="BZ39">
        <v>4.5</v>
      </c>
      <c r="CE39">
        <v>5.5</v>
      </c>
      <c r="CG39">
        <v>4.5</v>
      </c>
      <c r="CH39">
        <v>5.5</v>
      </c>
      <c r="CK39">
        <f t="shared" si="3"/>
        <v>6</v>
      </c>
      <c r="CL39" s="18">
        <f t="shared" si="4"/>
        <v>4.916666666666667</v>
      </c>
      <c r="CM39">
        <f t="shared" si="5"/>
        <v>0.47871355387816905</v>
      </c>
      <c r="CN39">
        <v>38</v>
      </c>
      <c r="CO39">
        <f t="shared" si="6"/>
        <v>1</v>
      </c>
      <c r="CP39">
        <f t="shared" si="7"/>
        <v>0</v>
      </c>
    </row>
    <row r="40" spans="1:94" x14ac:dyDescent="0.35">
      <c r="A40" t="s">
        <v>24</v>
      </c>
      <c r="B40" t="s">
        <v>26</v>
      </c>
      <c r="C40" t="s">
        <v>26</v>
      </c>
      <c r="D40" t="s">
        <v>26</v>
      </c>
      <c r="E40">
        <v>7.5</v>
      </c>
      <c r="F40" t="s">
        <v>26</v>
      </c>
      <c r="G40" t="s">
        <v>26</v>
      </c>
      <c r="H40" t="s">
        <v>26</v>
      </c>
      <c r="I40" t="s">
        <v>26</v>
      </c>
      <c r="J40">
        <v>8.5</v>
      </c>
      <c r="K40" t="s">
        <v>26</v>
      </c>
      <c r="L40">
        <v>7.5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CH40">
        <v>6.5</v>
      </c>
      <c r="CK40">
        <f t="shared" si="3"/>
        <v>5</v>
      </c>
      <c r="CL40" s="18">
        <f t="shared" si="4"/>
        <v>7.4</v>
      </c>
      <c r="CM40">
        <f t="shared" si="5"/>
        <v>0.62915286960589578</v>
      </c>
      <c r="CN40">
        <v>39</v>
      </c>
      <c r="CO40">
        <f t="shared" si="6"/>
        <v>0</v>
      </c>
      <c r="CP40">
        <f t="shared" si="7"/>
        <v>0</v>
      </c>
    </row>
    <row r="41" spans="1:94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5.5</v>
      </c>
      <c r="T41">
        <v>5.5</v>
      </c>
      <c r="U41" t="s">
        <v>26</v>
      </c>
      <c r="V41" t="s">
        <v>26</v>
      </c>
      <c r="W41">
        <v>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CK41">
        <f t="shared" si="3"/>
        <v>4</v>
      </c>
      <c r="CL41" s="18">
        <f t="shared" si="4"/>
        <v>6</v>
      </c>
      <c r="CM41">
        <f t="shared" si="5"/>
        <v>0.70710678118654757</v>
      </c>
      <c r="CN41">
        <v>40</v>
      </c>
      <c r="CO41">
        <f t="shared" si="6"/>
        <v>0</v>
      </c>
      <c r="CP41">
        <f t="shared" si="7"/>
        <v>0</v>
      </c>
    </row>
    <row r="42" spans="1:94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6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7.5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O42">
        <v>5.5</v>
      </c>
      <c r="CK42">
        <f t="shared" si="3"/>
        <v>4</v>
      </c>
      <c r="CL42" s="18">
        <f t="shared" si="4"/>
        <v>6.5</v>
      </c>
      <c r="CM42">
        <f t="shared" si="5"/>
        <v>0.9128709291752769</v>
      </c>
      <c r="CN42">
        <v>41</v>
      </c>
      <c r="CO42">
        <f t="shared" si="6"/>
        <v>0</v>
      </c>
      <c r="CP42">
        <f t="shared" si="7"/>
        <v>0</v>
      </c>
    </row>
    <row r="43" spans="1:94" x14ac:dyDescent="0.35">
      <c r="A43" t="s">
        <v>21</v>
      </c>
      <c r="B43" t="s">
        <v>26</v>
      </c>
      <c r="C43" t="s">
        <v>26</v>
      </c>
      <c r="D43">
        <v>3</v>
      </c>
      <c r="E43" t="s">
        <v>26</v>
      </c>
      <c r="F43" t="s">
        <v>26</v>
      </c>
      <c r="G43">
        <v>1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1.5</v>
      </c>
      <c r="AU43">
        <v>4</v>
      </c>
      <c r="CK43">
        <f t="shared" si="3"/>
        <v>4</v>
      </c>
      <c r="CL43" s="18">
        <f t="shared" si="4"/>
        <v>2.375</v>
      </c>
      <c r="CM43">
        <f t="shared" si="5"/>
        <v>1.3768926368215255</v>
      </c>
      <c r="CN43">
        <v>42</v>
      </c>
      <c r="CO43">
        <f t="shared" si="6"/>
        <v>0</v>
      </c>
      <c r="CP43">
        <f t="shared" si="7"/>
        <v>0</v>
      </c>
    </row>
    <row r="44" spans="1:94" x14ac:dyDescent="0.35">
      <c r="A44" t="s">
        <v>344</v>
      </c>
      <c r="AJ44">
        <v>4.5</v>
      </c>
      <c r="AQ44">
        <v>3.5</v>
      </c>
      <c r="AR44">
        <v>3.5</v>
      </c>
      <c r="AY44">
        <v>5.5</v>
      </c>
      <c r="CK44">
        <f t="shared" si="3"/>
        <v>4</v>
      </c>
      <c r="CL44" s="18">
        <f t="shared" si="4"/>
        <v>4.25</v>
      </c>
      <c r="CM44">
        <f t="shared" si="5"/>
        <v>0.9574271077563381</v>
      </c>
      <c r="CN44">
        <v>43</v>
      </c>
      <c r="CO44">
        <f t="shared" si="6"/>
        <v>0</v>
      </c>
      <c r="CP44">
        <f t="shared" si="7"/>
        <v>0</v>
      </c>
    </row>
    <row r="45" spans="1:94" x14ac:dyDescent="0.35">
      <c r="A45" t="s">
        <v>361</v>
      </c>
      <c r="AW45">
        <v>5</v>
      </c>
      <c r="BF45">
        <v>5</v>
      </c>
      <c r="BN45">
        <v>6</v>
      </c>
      <c r="BY45">
        <v>6</v>
      </c>
      <c r="CK45">
        <f t="shared" si="3"/>
        <v>4</v>
      </c>
      <c r="CL45" s="18">
        <f t="shared" si="4"/>
        <v>5.5</v>
      </c>
      <c r="CM45">
        <f t="shared" si="5"/>
        <v>0.57735026918962573</v>
      </c>
      <c r="CN45">
        <v>44</v>
      </c>
      <c r="CO45">
        <f t="shared" si="6"/>
        <v>0</v>
      </c>
      <c r="CP45">
        <f t="shared" si="7"/>
        <v>0</v>
      </c>
    </row>
    <row r="46" spans="1:94" x14ac:dyDescent="0.35">
      <c r="A46" t="s">
        <v>43</v>
      </c>
      <c r="B46" t="s">
        <v>26</v>
      </c>
      <c r="C46">
        <v>1.5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2.5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BJ46">
        <v>5</v>
      </c>
      <c r="BT46">
        <v>4.5</v>
      </c>
      <c r="CK46">
        <f t="shared" si="3"/>
        <v>4</v>
      </c>
      <c r="CL46" s="18">
        <f t="shared" si="4"/>
        <v>3.375</v>
      </c>
      <c r="CM46">
        <f t="shared" si="5"/>
        <v>1.6520189667999174</v>
      </c>
      <c r="CN46">
        <v>45</v>
      </c>
      <c r="CO46">
        <f t="shared" si="6"/>
        <v>0</v>
      </c>
      <c r="CP46">
        <f t="shared" si="7"/>
        <v>0</v>
      </c>
    </row>
    <row r="47" spans="1:94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4.5</v>
      </c>
      <c r="S47" t="s">
        <v>26</v>
      </c>
      <c r="T47">
        <v>4</v>
      </c>
      <c r="U47">
        <v>4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BY47">
        <v>4</v>
      </c>
      <c r="CK47">
        <f t="shared" si="3"/>
        <v>4</v>
      </c>
      <c r="CL47" s="18">
        <f t="shared" si="4"/>
        <v>4.125</v>
      </c>
      <c r="CM47">
        <f t="shared" si="5"/>
        <v>0.25</v>
      </c>
      <c r="CN47">
        <v>46</v>
      </c>
      <c r="CO47">
        <f t="shared" si="6"/>
        <v>0</v>
      </c>
      <c r="CP47">
        <f t="shared" si="7"/>
        <v>0</v>
      </c>
    </row>
    <row r="48" spans="1:94" x14ac:dyDescent="0.35">
      <c r="A48" t="s">
        <v>18</v>
      </c>
      <c r="B48" t="s">
        <v>26</v>
      </c>
      <c r="C48">
        <v>4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6</v>
      </c>
      <c r="R48">
        <v>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CK48">
        <f t="shared" si="3"/>
        <v>3</v>
      </c>
      <c r="CL48" s="18">
        <f t="shared" si="4"/>
        <v>5.333333333333333</v>
      </c>
      <c r="CM48">
        <f t="shared" si="5"/>
        <v>1.1547005383792526</v>
      </c>
      <c r="CN48">
        <v>47</v>
      </c>
      <c r="CO48">
        <f t="shared" si="6"/>
        <v>0</v>
      </c>
      <c r="CP48">
        <f t="shared" si="7"/>
        <v>0</v>
      </c>
    </row>
    <row r="49" spans="1:94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7</v>
      </c>
      <c r="AF49">
        <v>9</v>
      </c>
      <c r="CK49">
        <f t="shared" si="3"/>
        <v>3</v>
      </c>
      <c r="CL49" s="18">
        <f t="shared" si="4"/>
        <v>7.666666666666667</v>
      </c>
      <c r="CM49">
        <f t="shared" si="5"/>
        <v>1.1547005383792495</v>
      </c>
      <c r="CN49">
        <v>48</v>
      </c>
      <c r="CO49">
        <f t="shared" si="6"/>
        <v>0</v>
      </c>
      <c r="CP49">
        <f t="shared" si="7"/>
        <v>0</v>
      </c>
    </row>
    <row r="50" spans="1:94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5.5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5.5</v>
      </c>
      <c r="AA50" t="s">
        <v>26</v>
      </c>
      <c r="AB50" t="s">
        <v>26</v>
      </c>
      <c r="AC50" t="s">
        <v>26</v>
      </c>
      <c r="AD50" t="s">
        <v>26</v>
      </c>
      <c r="AG50">
        <v>2.5</v>
      </c>
      <c r="CK50">
        <f t="shared" si="3"/>
        <v>3</v>
      </c>
      <c r="CL50" s="18">
        <f t="shared" si="4"/>
        <v>4.5</v>
      </c>
      <c r="CM50">
        <f t="shared" si="5"/>
        <v>1.7320508075688772</v>
      </c>
      <c r="CN50">
        <v>49</v>
      </c>
      <c r="CO50">
        <f t="shared" si="6"/>
        <v>0</v>
      </c>
      <c r="CP50">
        <f t="shared" si="7"/>
        <v>0</v>
      </c>
    </row>
    <row r="51" spans="1:94" x14ac:dyDescent="0.35">
      <c r="A51" t="s">
        <v>362</v>
      </c>
      <c r="AW51">
        <v>4.5</v>
      </c>
      <c r="CD51">
        <v>5.5</v>
      </c>
      <c r="CK51">
        <f t="shared" si="3"/>
        <v>2</v>
      </c>
      <c r="CL51" s="18">
        <f t="shared" si="4"/>
        <v>5</v>
      </c>
      <c r="CM51">
        <f t="shared" si="5"/>
        <v>0.70710678118654757</v>
      </c>
      <c r="CN51">
        <v>50</v>
      </c>
      <c r="CO51">
        <f t="shared" si="6"/>
        <v>1</v>
      </c>
      <c r="CP51">
        <f t="shared" si="7"/>
        <v>0</v>
      </c>
    </row>
    <row r="52" spans="1:94" x14ac:dyDescent="0.35">
      <c r="A52" t="s">
        <v>364</v>
      </c>
      <c r="BA52">
        <v>5.5</v>
      </c>
      <c r="BJ52">
        <v>5.5</v>
      </c>
      <c r="CK52">
        <f t="shared" si="3"/>
        <v>2</v>
      </c>
      <c r="CL52" s="18">
        <f t="shared" si="4"/>
        <v>5.5</v>
      </c>
      <c r="CM52">
        <f t="shared" si="5"/>
        <v>0</v>
      </c>
      <c r="CN52">
        <v>51</v>
      </c>
      <c r="CO52">
        <f t="shared" si="6"/>
        <v>0</v>
      </c>
      <c r="CP52">
        <f t="shared" si="7"/>
        <v>0</v>
      </c>
    </row>
    <row r="53" spans="1:94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5.5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G53">
        <v>5</v>
      </c>
      <c r="CK53">
        <f t="shared" si="3"/>
        <v>2</v>
      </c>
      <c r="CL53" s="18">
        <f t="shared" si="4"/>
        <v>5.25</v>
      </c>
      <c r="CM53">
        <f t="shared" si="5"/>
        <v>0.35355339059327379</v>
      </c>
      <c r="CN53">
        <v>52</v>
      </c>
      <c r="CO53">
        <f t="shared" si="6"/>
        <v>0</v>
      </c>
      <c r="CP53">
        <f t="shared" si="7"/>
        <v>0</v>
      </c>
    </row>
    <row r="54" spans="1:94" x14ac:dyDescent="0.35">
      <c r="A54" t="s">
        <v>339</v>
      </c>
      <c r="AJ54">
        <v>7</v>
      </c>
      <c r="AW54">
        <v>4.5</v>
      </c>
      <c r="CK54">
        <f t="shared" si="3"/>
        <v>2</v>
      </c>
      <c r="CL54" s="18">
        <f t="shared" si="4"/>
        <v>5.75</v>
      </c>
      <c r="CM54">
        <f t="shared" si="5"/>
        <v>1.7677669529663689</v>
      </c>
      <c r="CN54">
        <v>53</v>
      </c>
      <c r="CO54">
        <f t="shared" si="6"/>
        <v>0</v>
      </c>
      <c r="CP54">
        <f t="shared" si="7"/>
        <v>0</v>
      </c>
    </row>
    <row r="55" spans="1:94" x14ac:dyDescent="0.35">
      <c r="A55" t="s">
        <v>342</v>
      </c>
      <c r="AM55">
        <v>6</v>
      </c>
      <c r="BA55">
        <v>4</v>
      </c>
      <c r="CK55">
        <f t="shared" si="3"/>
        <v>2</v>
      </c>
      <c r="CL55" s="18">
        <f t="shared" si="4"/>
        <v>5</v>
      </c>
      <c r="CM55">
        <f t="shared" si="5"/>
        <v>1.4142135623730951</v>
      </c>
      <c r="CN55">
        <v>54</v>
      </c>
      <c r="CO55">
        <f t="shared" si="6"/>
        <v>0</v>
      </c>
      <c r="CP55">
        <f t="shared" si="7"/>
        <v>0</v>
      </c>
    </row>
    <row r="56" spans="1:94" x14ac:dyDescent="0.35">
      <c r="A56" t="s">
        <v>369</v>
      </c>
      <c r="BG56">
        <v>5.5</v>
      </c>
      <c r="BH56">
        <v>4.5</v>
      </c>
      <c r="CK56">
        <f t="shared" si="3"/>
        <v>2</v>
      </c>
      <c r="CL56" s="18">
        <f t="shared" si="4"/>
        <v>5</v>
      </c>
      <c r="CM56">
        <f t="shared" si="5"/>
        <v>0.70710678118654757</v>
      </c>
      <c r="CN56">
        <v>55</v>
      </c>
      <c r="CO56">
        <f t="shared" si="6"/>
        <v>0</v>
      </c>
      <c r="CP56">
        <f t="shared" si="7"/>
        <v>0</v>
      </c>
    </row>
    <row r="57" spans="1:94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BU57">
        <v>5</v>
      </c>
      <c r="CG57">
        <v>6</v>
      </c>
      <c r="CK57">
        <f t="shared" si="3"/>
        <v>3</v>
      </c>
      <c r="CL57" s="18">
        <f t="shared" si="4"/>
        <v>5.666666666666667</v>
      </c>
      <c r="CM57">
        <f t="shared" si="5"/>
        <v>0.70710678118654757</v>
      </c>
      <c r="CN57">
        <v>56</v>
      </c>
      <c r="CO57">
        <f t="shared" si="6"/>
        <v>0</v>
      </c>
      <c r="CP57">
        <f t="shared" si="7"/>
        <v>0</v>
      </c>
    </row>
    <row r="58" spans="1:94" x14ac:dyDescent="0.35">
      <c r="A58" t="s">
        <v>368</v>
      </c>
      <c r="BF58">
        <v>7.5</v>
      </c>
      <c r="BU58">
        <v>9.5</v>
      </c>
      <c r="CG58">
        <v>6</v>
      </c>
      <c r="CK58">
        <f t="shared" si="3"/>
        <v>3</v>
      </c>
      <c r="CL58" s="18">
        <f t="shared" si="4"/>
        <v>7.666666666666667</v>
      </c>
      <c r="CM58">
        <f t="shared" si="5"/>
        <v>1.4142135623730951</v>
      </c>
      <c r="CN58">
        <v>57</v>
      </c>
      <c r="CO58">
        <f t="shared" si="6"/>
        <v>0</v>
      </c>
      <c r="CP58">
        <f t="shared" si="7"/>
        <v>0</v>
      </c>
    </row>
    <row r="59" spans="1:94" x14ac:dyDescent="0.35">
      <c r="A59" t="s">
        <v>379</v>
      </c>
      <c r="BY59">
        <v>5</v>
      </c>
      <c r="BZ59">
        <v>5</v>
      </c>
      <c r="CK59">
        <f t="shared" si="3"/>
        <v>2</v>
      </c>
      <c r="CL59" s="18">
        <f t="shared" si="4"/>
        <v>5</v>
      </c>
      <c r="CM59">
        <f t="shared" si="5"/>
        <v>0</v>
      </c>
      <c r="CN59">
        <v>58</v>
      </c>
      <c r="CO59">
        <f t="shared" si="6"/>
        <v>0</v>
      </c>
      <c r="CP59">
        <f t="shared" si="7"/>
        <v>0</v>
      </c>
    </row>
    <row r="60" spans="1:94" x14ac:dyDescent="0.35">
      <c r="A60" t="s">
        <v>391</v>
      </c>
      <c r="CE60">
        <v>7</v>
      </c>
      <c r="CH60">
        <v>7</v>
      </c>
      <c r="CK60">
        <f t="shared" si="3"/>
        <v>2</v>
      </c>
      <c r="CL60" s="18">
        <f t="shared" si="4"/>
        <v>7</v>
      </c>
      <c r="CM60" t="e">
        <f t="shared" si="5"/>
        <v>#DIV/0!</v>
      </c>
      <c r="CN60">
        <v>59</v>
      </c>
      <c r="CO60">
        <f t="shared" si="6"/>
        <v>1</v>
      </c>
      <c r="CP60">
        <f t="shared" si="7"/>
        <v>0</v>
      </c>
    </row>
    <row r="61" spans="1:94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9</v>
      </c>
      <c r="CK61">
        <f t="shared" si="3"/>
        <v>1</v>
      </c>
      <c r="CL61" s="18">
        <f t="shared" si="4"/>
        <v>9</v>
      </c>
      <c r="CM61" t="str">
        <f t="shared" si="5"/>
        <v/>
      </c>
      <c r="CN61">
        <v>60</v>
      </c>
      <c r="CO61">
        <f t="shared" si="6"/>
        <v>0</v>
      </c>
      <c r="CP61">
        <f t="shared" si="7"/>
        <v>0</v>
      </c>
    </row>
    <row r="62" spans="1:94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CK62">
        <f t="shared" si="3"/>
        <v>1</v>
      </c>
      <c r="CL62" s="18">
        <f t="shared" si="4"/>
        <v>7</v>
      </c>
      <c r="CM62" t="str">
        <f t="shared" si="5"/>
        <v/>
      </c>
      <c r="CN62">
        <v>61</v>
      </c>
      <c r="CO62">
        <f t="shared" si="6"/>
        <v>0</v>
      </c>
      <c r="CP62">
        <f t="shared" si="7"/>
        <v>0</v>
      </c>
    </row>
    <row r="63" spans="1:94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CK63">
        <f t="shared" si="3"/>
        <v>1</v>
      </c>
      <c r="CL63" s="18">
        <f t="shared" si="4"/>
        <v>7</v>
      </c>
      <c r="CM63" t="str">
        <f t="shared" si="5"/>
        <v/>
      </c>
      <c r="CN63">
        <v>62</v>
      </c>
      <c r="CO63">
        <f t="shared" si="6"/>
        <v>0</v>
      </c>
      <c r="CP63">
        <f t="shared" si="7"/>
        <v>0</v>
      </c>
    </row>
    <row r="64" spans="1:94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CK64">
        <f t="shared" si="3"/>
        <v>1</v>
      </c>
      <c r="CL64" s="18">
        <f t="shared" si="4"/>
        <v>7</v>
      </c>
      <c r="CM64" t="str">
        <f t="shared" si="5"/>
        <v/>
      </c>
      <c r="CN64">
        <v>63</v>
      </c>
      <c r="CO64">
        <f t="shared" si="6"/>
        <v>0</v>
      </c>
      <c r="CP64">
        <f t="shared" si="7"/>
        <v>0</v>
      </c>
    </row>
    <row r="65" spans="1:94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4.5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CK65">
        <f t="shared" si="3"/>
        <v>1</v>
      </c>
      <c r="CL65" s="18">
        <f t="shared" si="4"/>
        <v>4.5</v>
      </c>
      <c r="CM65" t="str">
        <f t="shared" si="5"/>
        <v/>
      </c>
      <c r="CN65">
        <v>64</v>
      </c>
      <c r="CO65">
        <f t="shared" si="6"/>
        <v>0</v>
      </c>
      <c r="CP65">
        <f t="shared" si="7"/>
        <v>0</v>
      </c>
    </row>
    <row r="66" spans="1:94" x14ac:dyDescent="0.35">
      <c r="A66" t="s">
        <v>389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4.5</v>
      </c>
      <c r="AA66" t="s">
        <v>26</v>
      </c>
      <c r="AB66" t="s">
        <v>26</v>
      </c>
      <c r="AC66" t="s">
        <v>26</v>
      </c>
      <c r="AD66" t="s">
        <v>26</v>
      </c>
      <c r="CH66">
        <v>5</v>
      </c>
      <c r="CK66">
        <f t="shared" si="3"/>
        <v>2</v>
      </c>
      <c r="CL66" s="18">
        <f t="shared" si="4"/>
        <v>4.75</v>
      </c>
      <c r="CM66" t="e">
        <f t="shared" si="5"/>
        <v>#DIV/0!</v>
      </c>
      <c r="CN66">
        <v>65</v>
      </c>
      <c r="CO66">
        <f t="shared" si="6"/>
        <v>0</v>
      </c>
      <c r="CP66">
        <f t="shared" si="7"/>
        <v>0</v>
      </c>
    </row>
    <row r="67" spans="1:94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4</v>
      </c>
      <c r="AC67" t="s">
        <v>26</v>
      </c>
      <c r="AD67" t="s">
        <v>26</v>
      </c>
      <c r="CK67">
        <f t="shared" ref="CK67:CK82" si="8">COUNT(B67:CI67)</f>
        <v>1</v>
      </c>
      <c r="CL67" s="18">
        <f t="shared" ref="CL67:CL82" si="9">AVERAGE(B67:CI67)</f>
        <v>4</v>
      </c>
      <c r="CM67" t="str">
        <f t="shared" ref="CM67:CM82" si="10">IF(CK67&gt;1,_xlfn.STDEV.S(B67:CF67),"")</f>
        <v/>
      </c>
      <c r="CN67">
        <v>66</v>
      </c>
      <c r="CO67">
        <f t="shared" ref="CO67:CO82" si="11">COUNT(CC67:CF67)</f>
        <v>0</v>
      </c>
      <c r="CP67">
        <f t="shared" ref="CP67:CP82" si="12">IF(CN67=0,CO67,0)</f>
        <v>0</v>
      </c>
    </row>
    <row r="68" spans="1:94" x14ac:dyDescent="0.35">
      <c r="A68" t="s">
        <v>345</v>
      </c>
      <c r="AN68">
        <v>3</v>
      </c>
      <c r="CI68">
        <v>6</v>
      </c>
      <c r="CK68">
        <f t="shared" si="8"/>
        <v>2</v>
      </c>
      <c r="CL68" s="18">
        <f t="shared" si="9"/>
        <v>4.5</v>
      </c>
      <c r="CM68" t="e">
        <f t="shared" si="10"/>
        <v>#DIV/0!</v>
      </c>
      <c r="CN68">
        <v>67</v>
      </c>
      <c r="CO68">
        <f t="shared" si="11"/>
        <v>0</v>
      </c>
      <c r="CP68">
        <f t="shared" si="12"/>
        <v>0</v>
      </c>
    </row>
    <row r="69" spans="1:94" x14ac:dyDescent="0.35">
      <c r="A69" t="s">
        <v>347</v>
      </c>
      <c r="AP69">
        <v>5.5</v>
      </c>
      <c r="CK69">
        <f t="shared" si="8"/>
        <v>1</v>
      </c>
      <c r="CL69" s="18">
        <f t="shared" si="9"/>
        <v>5.5</v>
      </c>
      <c r="CM69" t="str">
        <f t="shared" si="10"/>
        <v/>
      </c>
      <c r="CN69">
        <v>68</v>
      </c>
      <c r="CO69">
        <f t="shared" si="11"/>
        <v>0</v>
      </c>
      <c r="CP69">
        <f t="shared" si="12"/>
        <v>0</v>
      </c>
    </row>
    <row r="70" spans="1:94" x14ac:dyDescent="0.35">
      <c r="A70" t="s">
        <v>350</v>
      </c>
      <c r="AR70">
        <v>4</v>
      </c>
      <c r="CK70">
        <f t="shared" si="8"/>
        <v>1</v>
      </c>
      <c r="CL70" s="18">
        <f t="shared" si="9"/>
        <v>4</v>
      </c>
      <c r="CM70" t="str">
        <f t="shared" si="10"/>
        <v/>
      </c>
      <c r="CN70">
        <v>69</v>
      </c>
      <c r="CO70">
        <f t="shared" si="11"/>
        <v>0</v>
      </c>
      <c r="CP70">
        <f t="shared" si="12"/>
        <v>0</v>
      </c>
    </row>
    <row r="71" spans="1:94" x14ac:dyDescent="0.35">
      <c r="A71" t="s">
        <v>351</v>
      </c>
      <c r="AS71">
        <v>5.5</v>
      </c>
      <c r="CK71">
        <f t="shared" si="8"/>
        <v>1</v>
      </c>
      <c r="CL71" s="18">
        <f t="shared" si="9"/>
        <v>5.5</v>
      </c>
      <c r="CM71" t="str">
        <f t="shared" si="10"/>
        <v/>
      </c>
      <c r="CN71">
        <v>70</v>
      </c>
      <c r="CO71">
        <f t="shared" si="11"/>
        <v>0</v>
      </c>
      <c r="CP71">
        <f t="shared" si="12"/>
        <v>0</v>
      </c>
    </row>
    <row r="72" spans="1:94" x14ac:dyDescent="0.35">
      <c r="A72" t="s">
        <v>352</v>
      </c>
      <c r="AS72">
        <v>4.5</v>
      </c>
      <c r="CK72">
        <f t="shared" si="8"/>
        <v>1</v>
      </c>
      <c r="CL72" s="18">
        <f t="shared" si="9"/>
        <v>4.5</v>
      </c>
      <c r="CM72" t="str">
        <f t="shared" si="10"/>
        <v/>
      </c>
      <c r="CN72">
        <v>71</v>
      </c>
      <c r="CO72">
        <f t="shared" si="11"/>
        <v>0</v>
      </c>
      <c r="CP72">
        <f t="shared" si="12"/>
        <v>0</v>
      </c>
    </row>
    <row r="73" spans="1:94" x14ac:dyDescent="0.35">
      <c r="A73" t="s">
        <v>354</v>
      </c>
      <c r="AU73">
        <v>5</v>
      </c>
      <c r="CK73">
        <f t="shared" si="8"/>
        <v>1</v>
      </c>
      <c r="CL73" s="18">
        <f t="shared" si="9"/>
        <v>5</v>
      </c>
      <c r="CM73" t="str">
        <f t="shared" si="10"/>
        <v/>
      </c>
      <c r="CN73">
        <v>72</v>
      </c>
      <c r="CO73">
        <f t="shared" si="11"/>
        <v>0</v>
      </c>
      <c r="CP73">
        <f t="shared" si="12"/>
        <v>0</v>
      </c>
    </row>
    <row r="74" spans="1:94" x14ac:dyDescent="0.35">
      <c r="A74" t="s">
        <v>365</v>
      </c>
      <c r="AZ74">
        <v>2.5</v>
      </c>
      <c r="CK74">
        <f t="shared" si="8"/>
        <v>1</v>
      </c>
      <c r="CL74" s="18">
        <f t="shared" si="9"/>
        <v>2.5</v>
      </c>
      <c r="CM74" t="str">
        <f t="shared" si="10"/>
        <v/>
      </c>
      <c r="CN74">
        <v>73</v>
      </c>
      <c r="CO74">
        <f t="shared" si="11"/>
        <v>0</v>
      </c>
      <c r="CP74">
        <f t="shared" si="12"/>
        <v>0</v>
      </c>
    </row>
    <row r="75" spans="1:94" x14ac:dyDescent="0.35">
      <c r="A75" t="s">
        <v>366</v>
      </c>
      <c r="BB75">
        <v>3</v>
      </c>
      <c r="CK75">
        <f t="shared" si="8"/>
        <v>1</v>
      </c>
      <c r="CL75" s="18">
        <f t="shared" si="9"/>
        <v>3</v>
      </c>
      <c r="CM75" t="str">
        <f t="shared" si="10"/>
        <v/>
      </c>
      <c r="CN75">
        <v>74</v>
      </c>
      <c r="CO75">
        <f t="shared" si="11"/>
        <v>0</v>
      </c>
      <c r="CP75">
        <f t="shared" si="12"/>
        <v>0</v>
      </c>
    </row>
    <row r="76" spans="1:94" x14ac:dyDescent="0.35">
      <c r="A76" t="s">
        <v>374</v>
      </c>
      <c r="BP76">
        <v>6</v>
      </c>
      <c r="CK76">
        <f t="shared" si="8"/>
        <v>1</v>
      </c>
      <c r="CL76" s="18">
        <f t="shared" si="9"/>
        <v>6</v>
      </c>
      <c r="CM76" t="str">
        <f t="shared" si="10"/>
        <v/>
      </c>
      <c r="CN76">
        <v>75</v>
      </c>
      <c r="CO76">
        <f t="shared" si="11"/>
        <v>0</v>
      </c>
      <c r="CP76">
        <f t="shared" si="12"/>
        <v>0</v>
      </c>
    </row>
    <row r="77" spans="1:94" x14ac:dyDescent="0.35">
      <c r="A77" t="s">
        <v>375</v>
      </c>
      <c r="BP77">
        <v>5</v>
      </c>
      <c r="CK77">
        <f t="shared" si="8"/>
        <v>1</v>
      </c>
      <c r="CL77" s="18">
        <f t="shared" si="9"/>
        <v>5</v>
      </c>
      <c r="CM77" t="str">
        <f t="shared" si="10"/>
        <v/>
      </c>
      <c r="CN77">
        <v>76</v>
      </c>
      <c r="CO77">
        <f t="shared" si="11"/>
        <v>0</v>
      </c>
      <c r="CP77">
        <f t="shared" si="12"/>
        <v>0</v>
      </c>
    </row>
    <row r="78" spans="1:94" x14ac:dyDescent="0.35">
      <c r="A78" t="s">
        <v>377</v>
      </c>
      <c r="BS78">
        <v>4.5</v>
      </c>
      <c r="CK78">
        <f t="shared" si="8"/>
        <v>1</v>
      </c>
      <c r="CL78" s="18">
        <f t="shared" si="9"/>
        <v>4.5</v>
      </c>
      <c r="CM78" t="str">
        <f t="shared" si="10"/>
        <v/>
      </c>
      <c r="CN78">
        <v>77</v>
      </c>
      <c r="CO78">
        <f t="shared" si="11"/>
        <v>0</v>
      </c>
      <c r="CP78">
        <f t="shared" si="12"/>
        <v>0</v>
      </c>
    </row>
    <row r="79" spans="1:94" x14ac:dyDescent="0.35">
      <c r="A79" t="s">
        <v>381</v>
      </c>
      <c r="BZ79">
        <v>5</v>
      </c>
      <c r="CK79">
        <f t="shared" si="8"/>
        <v>1</v>
      </c>
      <c r="CL79" s="18">
        <f t="shared" si="9"/>
        <v>5</v>
      </c>
      <c r="CM79" t="str">
        <f t="shared" si="10"/>
        <v/>
      </c>
      <c r="CN79">
        <v>78</v>
      </c>
      <c r="CO79">
        <f t="shared" si="11"/>
        <v>0</v>
      </c>
      <c r="CP79">
        <f t="shared" si="12"/>
        <v>0</v>
      </c>
    </row>
    <row r="80" spans="1:94" x14ac:dyDescent="0.35">
      <c r="A80" t="s">
        <v>382</v>
      </c>
      <c r="BZ80">
        <v>5</v>
      </c>
      <c r="CK80">
        <f t="shared" si="8"/>
        <v>1</v>
      </c>
      <c r="CL80" s="18">
        <f t="shared" si="9"/>
        <v>5</v>
      </c>
      <c r="CM80" t="str">
        <f t="shared" si="10"/>
        <v/>
      </c>
      <c r="CN80">
        <v>79</v>
      </c>
      <c r="CO80">
        <f t="shared" si="11"/>
        <v>0</v>
      </c>
      <c r="CP80">
        <f t="shared" si="12"/>
        <v>0</v>
      </c>
    </row>
    <row r="81" spans="1:94" x14ac:dyDescent="0.35">
      <c r="A81" t="s">
        <v>388</v>
      </c>
      <c r="CG81">
        <v>7</v>
      </c>
      <c r="CH81">
        <v>6</v>
      </c>
      <c r="CK81">
        <f t="shared" si="8"/>
        <v>2</v>
      </c>
      <c r="CL81" s="18">
        <f t="shared" si="9"/>
        <v>6.5</v>
      </c>
      <c r="CM81" t="e">
        <f t="shared" si="10"/>
        <v>#DIV/0!</v>
      </c>
      <c r="CN81">
        <v>80</v>
      </c>
      <c r="CO81">
        <f t="shared" si="11"/>
        <v>0</v>
      </c>
      <c r="CP81">
        <f t="shared" si="12"/>
        <v>0</v>
      </c>
    </row>
    <row r="82" spans="1:94" x14ac:dyDescent="0.35">
      <c r="A82" t="s">
        <v>390</v>
      </c>
      <c r="CH82">
        <v>7.5</v>
      </c>
      <c r="CK82">
        <f t="shared" si="8"/>
        <v>1</v>
      </c>
      <c r="CL82" s="18">
        <f t="shared" si="9"/>
        <v>7.5</v>
      </c>
      <c r="CM82" t="str">
        <f t="shared" si="10"/>
        <v/>
      </c>
      <c r="CN82">
        <v>81</v>
      </c>
      <c r="CO82">
        <f t="shared" si="11"/>
        <v>0</v>
      </c>
      <c r="CP82">
        <f t="shared" si="12"/>
        <v>0</v>
      </c>
    </row>
    <row r="83" spans="1:94" x14ac:dyDescent="0.35">
      <c r="A83" t="s">
        <v>392</v>
      </c>
      <c r="CI83">
        <v>7</v>
      </c>
      <c r="CK83">
        <f t="shared" ref="CK83" si="13">COUNT(B83:CI83)</f>
        <v>1</v>
      </c>
      <c r="CL83" s="18">
        <f t="shared" ref="CL83" si="14">AVERAGE(B83:CI83)</f>
        <v>7</v>
      </c>
      <c r="CM83" t="str">
        <f t="shared" ref="CM83" si="15">IF(CK83&gt;1,_xlfn.STDEV.S(B83:CF83),"")</f>
        <v/>
      </c>
      <c r="CN83">
        <v>82</v>
      </c>
      <c r="CO83">
        <f t="shared" ref="CO83" si="16">COUNT(CC83:CF83)</f>
        <v>0</v>
      </c>
      <c r="CP83">
        <f t="shared" ref="CP83" si="17">IF(CN83=0,CO83,0)</f>
        <v>0</v>
      </c>
    </row>
  </sheetData>
  <autoFilter ref="A1:CP80" xr:uid="{B9A4D56B-02EF-476F-9B0E-F093A198C591}">
    <sortState ref="A2:CP80">
      <sortCondition descending="1" ref="CN1:CN80"/>
    </sortState>
  </autoFilter>
  <conditionalFormatting sqref="CK2:CK8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K2:CK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83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8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J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J67 AA2:CJ3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J67 AA2:CJ47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J67 AA2:CJ4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C1" workbookViewId="0">
      <selection activeCell="S29" sqref="S29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Y85"/>
  <sheetViews>
    <sheetView topLeftCell="A34" zoomScale="85" zoomScaleNormal="85" workbookViewId="0">
      <pane xSplit="1" topLeftCell="E1" activePane="topRight" state="frozen"/>
      <selection activeCell="A31" sqref="A31"/>
      <selection pane="topRight" activeCell="T32" sqref="T32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1" width="12.26953125" bestFit="1" customWidth="1"/>
    <col min="22" max="22" width="9.6328125" bestFit="1" customWidth="1"/>
    <col min="23" max="23" width="9.6328125" customWidth="1"/>
    <col min="25" max="25" width="16.6328125" bestFit="1" customWidth="1"/>
  </cols>
  <sheetData>
    <row r="1" spans="1:25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Y1" t="s">
        <v>349</v>
      </c>
    </row>
    <row r="2" spans="1:25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Y2" s="1">
        <v>46051</v>
      </c>
    </row>
    <row r="3" spans="1:25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</row>
    <row r="4" spans="1:25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5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/>
      <c r="W5" s="19"/>
      <c r="X5" t="s">
        <v>370</v>
      </c>
      <c r="Y5">
        <v>10</v>
      </c>
    </row>
    <row r="6" spans="1:25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X6" t="s">
        <v>371</v>
      </c>
      <c r="Y6">
        <f>27*Y5</f>
        <v>270</v>
      </c>
    </row>
    <row r="7" spans="1:25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21">
        <v>93.34</v>
      </c>
      <c r="V7" s="19"/>
      <c r="W7" s="19"/>
      <c r="X7" t="s">
        <v>372</v>
      </c>
      <c r="Y7">
        <f>1950-Y6</f>
        <v>1680</v>
      </c>
    </row>
    <row r="8" spans="1:25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X8" t="s">
        <v>373</v>
      </c>
      <c r="Y8">
        <f>Y7/18</f>
        <v>93.333333333333329</v>
      </c>
    </row>
    <row r="9" spans="1:25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5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</row>
    <row r="11" spans="1:25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</row>
    <row r="12" spans="1:25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</row>
    <row r="13" spans="1:25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</row>
    <row r="14" spans="1:25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</row>
    <row r="15" spans="1:25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21">
        <v>93.34</v>
      </c>
    </row>
    <row r="16" spans="1:25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X16" s="60"/>
    </row>
    <row r="17" spans="1:24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X17" s="60"/>
    </row>
    <row r="18" spans="1:24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21">
        <v>93.34</v>
      </c>
    </row>
    <row r="19" spans="1:24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</row>
    <row r="20" spans="1:24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</row>
    <row r="21" spans="1:24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4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4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4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</row>
    <row r="25" spans="1:24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4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/>
    </row>
    <row r="27" spans="1:24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4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4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4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21">
        <v>93.34</v>
      </c>
    </row>
    <row r="31" spans="1:24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4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21">
        <v>54</v>
      </c>
      <c r="U32" s="21">
        <v>54</v>
      </c>
    </row>
    <row r="33" spans="1:21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1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1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21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1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1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1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</row>
    <row r="40" spans="1:21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1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1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</row>
    <row r="43" spans="1:21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</row>
    <row r="44" spans="1:21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1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1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1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</row>
    <row r="48" spans="1:21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21" x14ac:dyDescent="0.35">
      <c r="A49" t="s">
        <v>80</v>
      </c>
      <c r="G49" s="19">
        <v>25</v>
      </c>
      <c r="H49" s="19"/>
      <c r="I49" s="19"/>
    </row>
    <row r="50" spans="1:21" x14ac:dyDescent="0.35">
      <c r="A50" t="s">
        <v>83</v>
      </c>
      <c r="G50" s="19"/>
      <c r="H50" s="19">
        <v>25</v>
      </c>
      <c r="I50" s="19"/>
    </row>
    <row r="51" spans="1:21" x14ac:dyDescent="0.35">
      <c r="A51" t="s">
        <v>86</v>
      </c>
      <c r="G51" s="19"/>
      <c r="H51" s="19">
        <v>25</v>
      </c>
      <c r="I51" s="19"/>
    </row>
    <row r="52" spans="1:21" x14ac:dyDescent="0.35">
      <c r="A52" t="s">
        <v>85</v>
      </c>
      <c r="G52" s="19"/>
      <c r="H52" s="19">
        <v>25</v>
      </c>
      <c r="I52" s="19">
        <v>50</v>
      </c>
    </row>
    <row r="53" spans="1:21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</row>
    <row r="54" spans="1:21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1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1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1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</row>
    <row r="58" spans="1:21" x14ac:dyDescent="0.35">
      <c r="A58" t="s">
        <v>345</v>
      </c>
      <c r="G58"/>
      <c r="H58"/>
      <c r="I58"/>
      <c r="K58" s="19">
        <v>25</v>
      </c>
      <c r="L58" s="19"/>
    </row>
    <row r="59" spans="1:21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1" x14ac:dyDescent="0.35">
      <c r="A60" t="s">
        <v>347</v>
      </c>
      <c r="G60"/>
      <c r="H60"/>
      <c r="I60"/>
      <c r="K60" s="19">
        <v>25</v>
      </c>
      <c r="L60" s="19"/>
    </row>
    <row r="61" spans="1:21" x14ac:dyDescent="0.35">
      <c r="A61" t="s">
        <v>354</v>
      </c>
      <c r="G61"/>
      <c r="H61"/>
      <c r="I61"/>
      <c r="K61" s="19"/>
      <c r="L61" s="19">
        <v>25</v>
      </c>
    </row>
    <row r="62" spans="1:21" x14ac:dyDescent="0.35">
      <c r="A62" t="s">
        <v>356</v>
      </c>
      <c r="L62" s="19">
        <v>25</v>
      </c>
    </row>
    <row r="63" spans="1:21" x14ac:dyDescent="0.35">
      <c r="A63" t="s">
        <v>352</v>
      </c>
      <c r="L63" s="19">
        <v>25</v>
      </c>
    </row>
    <row r="64" spans="1:21" x14ac:dyDescent="0.35">
      <c r="A64" t="s">
        <v>350</v>
      </c>
      <c r="L64" s="19">
        <v>25</v>
      </c>
    </row>
    <row r="65" spans="1:21" x14ac:dyDescent="0.35">
      <c r="A65" t="s">
        <v>363</v>
      </c>
      <c r="L65" s="19"/>
      <c r="M65" s="19">
        <v>25</v>
      </c>
      <c r="U65" s="19">
        <v>27</v>
      </c>
    </row>
    <row r="66" spans="1:21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1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1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1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1" x14ac:dyDescent="0.35">
      <c r="A70" t="s">
        <v>368</v>
      </c>
      <c r="O70" s="19">
        <v>27</v>
      </c>
      <c r="P70" s="19"/>
      <c r="Q70" s="19"/>
      <c r="R70" s="19">
        <v>27</v>
      </c>
      <c r="S70" s="19"/>
    </row>
    <row r="71" spans="1:21" x14ac:dyDescent="0.35">
      <c r="A71" t="s">
        <v>369</v>
      </c>
      <c r="O71" s="19">
        <v>54</v>
      </c>
      <c r="P71" s="19"/>
      <c r="Q71" s="19"/>
    </row>
    <row r="72" spans="1:21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1" x14ac:dyDescent="0.35">
      <c r="A73" t="s">
        <v>374</v>
      </c>
      <c r="O73" s="19"/>
      <c r="P73" s="19"/>
      <c r="Q73" s="19">
        <v>27</v>
      </c>
    </row>
    <row r="74" spans="1:21" x14ac:dyDescent="0.35">
      <c r="A74" t="s">
        <v>375</v>
      </c>
      <c r="O74" s="19"/>
      <c r="P74" s="19"/>
      <c r="Q74" s="19">
        <v>27</v>
      </c>
    </row>
    <row r="75" spans="1:21" x14ac:dyDescent="0.35">
      <c r="A75" t="s">
        <v>377</v>
      </c>
      <c r="O75" s="19"/>
      <c r="P75" s="19"/>
      <c r="Q75" s="19"/>
      <c r="R75" s="19">
        <v>27</v>
      </c>
      <c r="S75" s="19"/>
    </row>
    <row r="76" spans="1:21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</row>
    <row r="77" spans="1:21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1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1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1" x14ac:dyDescent="0.35">
      <c r="A80" t="s">
        <v>385</v>
      </c>
      <c r="O80" s="19"/>
      <c r="P80" s="19"/>
      <c r="Q80" s="19"/>
      <c r="R80" s="19"/>
      <c r="S80" s="19"/>
      <c r="T80" s="19"/>
      <c r="U80" s="21">
        <v>27</v>
      </c>
    </row>
    <row r="82" spans="1:21" x14ac:dyDescent="0.35">
      <c r="A82" t="s">
        <v>387</v>
      </c>
      <c r="B82" s="20">
        <f>SUM(B2:B80)</f>
        <v>1799.9999999999998</v>
      </c>
      <c r="C82" s="20">
        <f t="shared" ref="C82:U82" si="1">SUM(C2:C80)</f>
        <v>1800.1200000000001</v>
      </c>
      <c r="D82" s="20">
        <f t="shared" si="1"/>
        <v>1825.1200000000001</v>
      </c>
      <c r="E82" s="20">
        <f t="shared" si="1"/>
        <v>1775.04</v>
      </c>
      <c r="F82" s="20">
        <f t="shared" si="1"/>
        <v>1850.04</v>
      </c>
      <c r="G82" s="20">
        <f t="shared" si="1"/>
        <v>1800.0399999999997</v>
      </c>
      <c r="H82" s="20">
        <f t="shared" si="1"/>
        <v>1800.14</v>
      </c>
      <c r="I82" s="20">
        <f t="shared" si="1"/>
        <v>1800.0399999999997</v>
      </c>
      <c r="J82" s="20">
        <f t="shared" si="1"/>
        <v>1800.1599999999994</v>
      </c>
      <c r="K82" s="20">
        <f t="shared" si="1"/>
        <v>1825.0066666666664</v>
      </c>
      <c r="L82" s="20">
        <f t="shared" si="1"/>
        <v>1800.0600000000004</v>
      </c>
      <c r="M82" s="20">
        <f t="shared" si="1"/>
        <v>1800.0200000000004</v>
      </c>
      <c r="N82" s="20">
        <f t="shared" si="1"/>
        <v>1950.1199999999997</v>
      </c>
      <c r="O82" s="20">
        <f t="shared" si="1"/>
        <v>1950.1199999999997</v>
      </c>
      <c r="P82" s="20">
        <f t="shared" si="1"/>
        <v>1950.1199999999997</v>
      </c>
      <c r="Q82" s="20">
        <f t="shared" si="1"/>
        <v>1951.9399999999998</v>
      </c>
      <c r="R82" s="20">
        <f t="shared" si="1"/>
        <v>1952.1199999999997</v>
      </c>
      <c r="S82" s="20">
        <f t="shared" si="1"/>
        <v>1950.1199999999997</v>
      </c>
      <c r="T82" s="20">
        <f t="shared" si="1"/>
        <v>1950.1199999999997</v>
      </c>
      <c r="U82" s="20">
        <f t="shared" si="1"/>
        <v>1950.1199999999997</v>
      </c>
    </row>
    <row r="83" spans="1:21" x14ac:dyDescent="0.35">
      <c r="A83" t="s">
        <v>74</v>
      </c>
      <c r="B83" s="20">
        <f>SUM(B3:B28)</f>
        <v>1716.6666666666665</v>
      </c>
      <c r="C83" s="20">
        <f>SUM(C3:C35)</f>
        <v>1729.2800000000002</v>
      </c>
      <c r="D83" s="20">
        <f>SUM(D3:D38)</f>
        <v>1754.2800000000002</v>
      </c>
      <c r="E83" s="20">
        <f>SUM(E3:E41)</f>
        <v>1697.26</v>
      </c>
      <c r="F83" s="20">
        <f>SUM(F3:F44)</f>
        <v>1772.26</v>
      </c>
      <c r="G83" s="20">
        <f>SUM(G3:G49)</f>
        <v>1722.2599999999998</v>
      </c>
      <c r="H83" s="20">
        <f>SUM(H3:H53)</f>
        <v>1715.41</v>
      </c>
      <c r="I83" s="20">
        <f>SUM(I3:I53)</f>
        <v>1722.2599999999998</v>
      </c>
      <c r="J83" s="20">
        <f>SUM(J3:J56)</f>
        <v>1714.0399999999995</v>
      </c>
      <c r="K83" s="20">
        <f>SUM(K3:K59)</f>
        <v>1716.6733333333332</v>
      </c>
      <c r="L83" s="20">
        <f>SUM(L3:L59)</f>
        <v>1620.8900000000003</v>
      </c>
      <c r="M83" s="20">
        <f>SUM(M3:M69)</f>
        <v>1723.6300000000003</v>
      </c>
      <c r="N83" s="20">
        <f>SUM(N3:N69)</f>
        <v>1861.2799999999997</v>
      </c>
      <c r="O83" s="20">
        <f>SUM(O3:O71)</f>
        <v>1865.7799999999997</v>
      </c>
      <c r="P83" s="20">
        <f>SUM(P3:P71)</f>
        <v>1864.2799999999997</v>
      </c>
      <c r="Q83" s="20">
        <f>SUM(Q3:Q74)</f>
        <v>1869.11</v>
      </c>
      <c r="R83" s="20">
        <f>SUM(R3:R75)</f>
        <v>1870.7799999999997</v>
      </c>
      <c r="S83" s="20">
        <f>SUM(S3:S77)</f>
        <v>1864.2799999999997</v>
      </c>
      <c r="T83" s="20">
        <f>SUM(T3:T79)</f>
        <v>1859.7799999999997</v>
      </c>
      <c r="U83" s="20">
        <f>SUM(U3:U80)</f>
        <v>1856.7799999999997</v>
      </c>
    </row>
    <row r="84" spans="1:21" x14ac:dyDescent="0.35">
      <c r="A84" t="s">
        <v>75</v>
      </c>
      <c r="B84" s="20">
        <f>25*12+83.34*17</f>
        <v>1716.78</v>
      </c>
      <c r="C84" s="20">
        <f>22*25+70.84*17</f>
        <v>1754.28</v>
      </c>
      <c r="D84" s="20">
        <f>20*25+70.84*17</f>
        <v>1704.28</v>
      </c>
      <c r="E84" s="20">
        <f>15*25+77.78*17</f>
        <v>1697.26</v>
      </c>
      <c r="F84" s="20">
        <f>18*25+77.78*17</f>
        <v>1772.26</v>
      </c>
      <c r="G84" s="23">
        <f>17*77.78+25*16</f>
        <v>1722.26</v>
      </c>
      <c r="H84" s="23">
        <f>11*25+84.73*17</f>
        <v>1715.41</v>
      </c>
      <c r="I84" s="23">
        <f>17*25+77.78*17</f>
        <v>1747.26</v>
      </c>
      <c r="J84" s="23">
        <f>10*25+86.12*17</f>
        <v>1714.04</v>
      </c>
      <c r="K84" s="23">
        <f>14*25+83.33*17</f>
        <v>1766.61</v>
      </c>
      <c r="L84" s="23">
        <f>15*25+79.17*17</f>
        <v>1720.89</v>
      </c>
      <c r="M84" s="23">
        <f>17*25+76.39*17</f>
        <v>1723.63</v>
      </c>
      <c r="N84" s="23">
        <f>14*27+88.84*17</f>
        <v>1888.28</v>
      </c>
      <c r="O84" s="23">
        <f>16*27+84.34*17</f>
        <v>1865.78</v>
      </c>
      <c r="P84" s="23">
        <f>15*27+85.84*17</f>
        <v>1864.28</v>
      </c>
      <c r="Q84" s="23">
        <f>17*27+82.83*17</f>
        <v>1867.11</v>
      </c>
      <c r="R84" s="23">
        <f>18*27+82.83*17</f>
        <v>1894.11</v>
      </c>
      <c r="S84" s="23">
        <f>15*27+85.84*17</f>
        <v>1864.28</v>
      </c>
      <c r="T84" s="23">
        <f>10*27+85.84*17</f>
        <v>1729.28</v>
      </c>
      <c r="U84" s="23">
        <f>5*27+85.84*13</f>
        <v>1250.92</v>
      </c>
    </row>
    <row r="85" spans="1:21" x14ac:dyDescent="0.35">
      <c r="B85" s="24">
        <f t="shared" ref="B85:G85" si="2">B84/B83</f>
        <v>1.0000660194174757</v>
      </c>
      <c r="C85" s="24">
        <f t="shared" si="2"/>
        <v>1.0144568837897852</v>
      </c>
      <c r="D85" s="24">
        <f t="shared" si="2"/>
        <v>0.97149827849602099</v>
      </c>
      <c r="E85" s="24">
        <f t="shared" si="2"/>
        <v>1</v>
      </c>
      <c r="F85" s="24">
        <f t="shared" si="2"/>
        <v>1</v>
      </c>
      <c r="G85" s="24">
        <f t="shared" si="2"/>
        <v>1.0000000000000002</v>
      </c>
      <c r="H85" s="24">
        <f t="shared" ref="H85:I85" si="3">H84/H83</f>
        <v>1</v>
      </c>
      <c r="I85" s="24">
        <f t="shared" si="3"/>
        <v>1.0145158106209284</v>
      </c>
      <c r="J85" s="24">
        <f t="shared" ref="J85:K85" si="4">J84/J83</f>
        <v>1.0000000000000002</v>
      </c>
      <c r="K85" s="24">
        <f t="shared" si="4"/>
        <v>1.0290892074205538</v>
      </c>
      <c r="L85" s="24">
        <f t="shared" ref="L85:M85" si="5">L84/L83</f>
        <v>1.0616945011691106</v>
      </c>
      <c r="M85" s="24">
        <f t="shared" si="5"/>
        <v>0.99999999999999989</v>
      </c>
      <c r="N85" s="24">
        <f t="shared" ref="N85:O85" si="6">N84/N83</f>
        <v>1.0145061463079172</v>
      </c>
      <c r="O85" s="24">
        <f t="shared" si="6"/>
        <v>1.0000000000000002</v>
      </c>
      <c r="P85" s="24">
        <f t="shared" ref="P85" si="7">P84/P83</f>
        <v>1.0000000000000002</v>
      </c>
      <c r="Q85" s="24">
        <f>Q84/Q83</f>
        <v>0.99892997201876832</v>
      </c>
      <c r="R85" s="24">
        <f>R84/R83</f>
        <v>1.0124707341322872</v>
      </c>
      <c r="S85" s="24">
        <f>S84/S83</f>
        <v>1.0000000000000002</v>
      </c>
      <c r="T85" s="24">
        <f>T84/T83</f>
        <v>0.92983041004850042</v>
      </c>
      <c r="U85" s="24">
        <f>U84/U83</f>
        <v>0.67370393907732751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52"/>
  <sheetViews>
    <sheetView topLeftCell="A219" workbookViewId="0">
      <selection activeCell="K253" sqref="K253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389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389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389</v>
      </c>
      <c r="O247" s="10" t="s">
        <v>385</v>
      </c>
      <c r="P247" s="10" t="s">
        <v>390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389</v>
      </c>
      <c r="G248" s="10" t="s">
        <v>385</v>
      </c>
      <c r="H248" s="10" t="s">
        <v>390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388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392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393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393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P83"/>
  <sheetViews>
    <sheetView tabSelected="1" topLeftCell="A39" zoomScaleNormal="100" workbookViewId="0">
      <pane xSplit="1" topLeftCell="BG1" activePane="topRight" state="frozen"/>
      <selection pane="topRight" activeCell="BP76" sqref="BP76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8" width="10.453125" bestFit="1" customWidth="1"/>
  </cols>
  <sheetData>
    <row r="1" spans="1:68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</row>
    <row r="2" spans="1:68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</row>
    <row r="3" spans="1:68" x14ac:dyDescent="0.35">
      <c r="A3" t="s">
        <v>24</v>
      </c>
      <c r="BO3">
        <v>2</v>
      </c>
    </row>
    <row r="4" spans="1:68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8" hidden="1" x14ac:dyDescent="0.35">
      <c r="A5" t="s">
        <v>365</v>
      </c>
    </row>
    <row r="6" spans="1:68" x14ac:dyDescent="0.35">
      <c r="A6" t="s">
        <v>77</v>
      </c>
      <c r="G6">
        <v>3</v>
      </c>
    </row>
    <row r="7" spans="1:68" x14ac:dyDescent="0.35">
      <c r="A7" t="s">
        <v>364</v>
      </c>
      <c r="AH7">
        <v>3</v>
      </c>
      <c r="AQ7">
        <v>2</v>
      </c>
    </row>
    <row r="8" spans="1:68" x14ac:dyDescent="0.35">
      <c r="A8" t="s">
        <v>7</v>
      </c>
      <c r="K8">
        <v>1</v>
      </c>
    </row>
    <row r="9" spans="1:68" x14ac:dyDescent="0.35">
      <c r="A9" t="s">
        <v>353</v>
      </c>
      <c r="G9">
        <v>1</v>
      </c>
    </row>
    <row r="10" spans="1:68" hidden="1" x14ac:dyDescent="0.35">
      <c r="A10" t="s">
        <v>347</v>
      </c>
    </row>
    <row r="11" spans="1:68" x14ac:dyDescent="0.35">
      <c r="A11" t="s">
        <v>48</v>
      </c>
    </row>
    <row r="12" spans="1:68" x14ac:dyDescent="0.35">
      <c r="A12" t="s">
        <v>382</v>
      </c>
    </row>
    <row r="13" spans="1:68" x14ac:dyDescent="0.35">
      <c r="A13" t="s">
        <v>362</v>
      </c>
      <c r="BK13">
        <v>1</v>
      </c>
    </row>
    <row r="14" spans="1:68" hidden="1" x14ac:dyDescent="0.35">
      <c r="A14" t="s">
        <v>18</v>
      </c>
    </row>
    <row r="15" spans="1:68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68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8" x14ac:dyDescent="0.35">
      <c r="A17" t="s">
        <v>378</v>
      </c>
      <c r="BL17">
        <v>1</v>
      </c>
    </row>
    <row r="18" spans="1:68" x14ac:dyDescent="0.35">
      <c r="A18" t="s">
        <v>54</v>
      </c>
      <c r="C18">
        <v>2</v>
      </c>
      <c r="D18">
        <v>3</v>
      </c>
      <c r="V18">
        <v>2</v>
      </c>
    </row>
    <row r="19" spans="1:68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</row>
    <row r="20" spans="1:68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</row>
    <row r="21" spans="1:68" x14ac:dyDescent="0.35">
      <c r="A21" t="s">
        <v>392</v>
      </c>
      <c r="BP21">
        <v>2</v>
      </c>
    </row>
    <row r="22" spans="1:68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</row>
    <row r="23" spans="1:68" x14ac:dyDescent="0.35">
      <c r="A23" t="s">
        <v>375</v>
      </c>
      <c r="AW23">
        <v>1</v>
      </c>
    </row>
    <row r="24" spans="1:68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68" x14ac:dyDescent="0.35">
      <c r="A25" t="s">
        <v>342</v>
      </c>
      <c r="T25">
        <v>4</v>
      </c>
      <c r="AH25">
        <v>1</v>
      </c>
      <c r="AK25">
        <v>1</v>
      </c>
    </row>
    <row r="26" spans="1:68" hidden="1" x14ac:dyDescent="0.35">
      <c r="A26" t="s">
        <v>52</v>
      </c>
    </row>
    <row r="27" spans="1:68" x14ac:dyDescent="0.35">
      <c r="A27" t="s">
        <v>389</v>
      </c>
    </row>
    <row r="28" spans="1:68" x14ac:dyDescent="0.35">
      <c r="A28" t="s">
        <v>12</v>
      </c>
      <c r="N28">
        <v>2</v>
      </c>
      <c r="U28">
        <v>1</v>
      </c>
      <c r="AI28">
        <v>1</v>
      </c>
    </row>
    <row r="29" spans="1:68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68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68" x14ac:dyDescent="0.35">
      <c r="A31" t="s">
        <v>390</v>
      </c>
      <c r="BO31">
        <v>3</v>
      </c>
    </row>
    <row r="32" spans="1:68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</row>
    <row r="33" spans="1:68" hidden="1" x14ac:dyDescent="0.35">
      <c r="A33" t="s">
        <v>351</v>
      </c>
      <c r="Z33">
        <v>1</v>
      </c>
    </row>
    <row r="34" spans="1:68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</row>
    <row r="35" spans="1:68" x14ac:dyDescent="0.35">
      <c r="A35" t="s">
        <v>381</v>
      </c>
      <c r="BG35">
        <v>2</v>
      </c>
    </row>
    <row r="36" spans="1:68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68" x14ac:dyDescent="0.35">
      <c r="A37" t="s">
        <v>80</v>
      </c>
      <c r="F37">
        <v>1</v>
      </c>
    </row>
    <row r="38" spans="1:68" hidden="1" x14ac:dyDescent="0.35">
      <c r="A38" t="s">
        <v>61</v>
      </c>
      <c r="D38">
        <v>1</v>
      </c>
    </row>
    <row r="39" spans="1:68" x14ac:dyDescent="0.35">
      <c r="A39" t="s">
        <v>374</v>
      </c>
      <c r="AW39">
        <v>2</v>
      </c>
    </row>
    <row r="40" spans="1:68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</row>
    <row r="41" spans="1:68" x14ac:dyDescent="0.35">
      <c r="A41" t="s">
        <v>43</v>
      </c>
      <c r="AQ41">
        <v>2</v>
      </c>
    </row>
    <row r="42" spans="1:68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68" hidden="1" x14ac:dyDescent="0.35">
      <c r="A43" t="s">
        <v>53</v>
      </c>
      <c r="N43">
        <v>1</v>
      </c>
    </row>
    <row r="44" spans="1:68" x14ac:dyDescent="0.35">
      <c r="A44" t="s">
        <v>368</v>
      </c>
      <c r="AM44">
        <v>5</v>
      </c>
      <c r="BB44">
        <v>9</v>
      </c>
      <c r="BN44">
        <v>2</v>
      </c>
    </row>
    <row r="45" spans="1:68" x14ac:dyDescent="0.35">
      <c r="A45" t="s">
        <v>345</v>
      </c>
      <c r="U45">
        <v>1</v>
      </c>
    </row>
    <row r="46" spans="1:68" x14ac:dyDescent="0.35">
      <c r="A46" t="s">
        <v>343</v>
      </c>
      <c r="AN46">
        <v>1</v>
      </c>
    </row>
    <row r="47" spans="1:68" x14ac:dyDescent="0.35">
      <c r="A47" t="s">
        <v>344</v>
      </c>
      <c r="X47">
        <v>1</v>
      </c>
      <c r="Y47">
        <v>2</v>
      </c>
      <c r="AF47">
        <v>2</v>
      </c>
    </row>
    <row r="48" spans="1:68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</row>
    <row r="49" spans="1:68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</row>
    <row r="50" spans="1:68" x14ac:dyDescent="0.35">
      <c r="A50" t="s">
        <v>377</v>
      </c>
    </row>
    <row r="51" spans="1:68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68" hidden="1" x14ac:dyDescent="0.35">
      <c r="A52" t="s">
        <v>350</v>
      </c>
    </row>
    <row r="53" spans="1:68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</row>
    <row r="54" spans="1:68" x14ac:dyDescent="0.35">
      <c r="A54" t="s">
        <v>369</v>
      </c>
      <c r="AN54">
        <v>3</v>
      </c>
    </row>
    <row r="55" spans="1:68" x14ac:dyDescent="0.35">
      <c r="A55" t="s">
        <v>388</v>
      </c>
      <c r="BN55">
        <v>3</v>
      </c>
      <c r="BO55">
        <v>2</v>
      </c>
    </row>
    <row r="56" spans="1:68" x14ac:dyDescent="0.35">
      <c r="A56" t="s">
        <v>60</v>
      </c>
      <c r="B56">
        <v>2</v>
      </c>
      <c r="BF56">
        <v>1</v>
      </c>
    </row>
    <row r="57" spans="1:68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68" x14ac:dyDescent="0.35">
      <c r="A58" t="s">
        <v>339</v>
      </c>
    </row>
    <row r="59" spans="1:68" x14ac:dyDescent="0.35">
      <c r="A59" t="s">
        <v>11</v>
      </c>
    </row>
    <row r="60" spans="1:68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</row>
    <row r="61" spans="1:68" x14ac:dyDescent="0.35">
      <c r="A61" t="s">
        <v>21</v>
      </c>
    </row>
    <row r="62" spans="1:68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</row>
    <row r="63" spans="1:68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68" hidden="1" x14ac:dyDescent="0.35">
      <c r="A64" t="s">
        <v>83</v>
      </c>
    </row>
    <row r="65" spans="1:68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</row>
    <row r="66" spans="1:68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68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</row>
    <row r="68" spans="1:68" x14ac:dyDescent="0.35">
      <c r="A68" t="s">
        <v>379</v>
      </c>
      <c r="BF68">
        <v>1</v>
      </c>
      <c r="BG68">
        <v>1</v>
      </c>
    </row>
    <row r="69" spans="1:68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68" hidden="1" x14ac:dyDescent="0.35">
      <c r="A70" t="s">
        <v>354</v>
      </c>
    </row>
    <row r="71" spans="1:68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</row>
    <row r="72" spans="1:68" x14ac:dyDescent="0.35">
      <c r="A72" t="s">
        <v>49</v>
      </c>
      <c r="G72">
        <v>2</v>
      </c>
    </row>
    <row r="73" spans="1:68" x14ac:dyDescent="0.35">
      <c r="A73" t="s">
        <v>385</v>
      </c>
    </row>
    <row r="74" spans="1:68" x14ac:dyDescent="0.35">
      <c r="A74" t="s">
        <v>85</v>
      </c>
      <c r="K74">
        <v>4</v>
      </c>
      <c r="L74">
        <v>2</v>
      </c>
      <c r="M74">
        <v>5</v>
      </c>
    </row>
    <row r="75" spans="1:68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</row>
    <row r="76" spans="1:68" x14ac:dyDescent="0.35">
      <c r="A76" t="s">
        <v>45</v>
      </c>
      <c r="K76">
        <v>1</v>
      </c>
      <c r="BJ76">
        <v>1</v>
      </c>
    </row>
    <row r="77" spans="1:68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</row>
    <row r="78" spans="1:68" hidden="1" x14ac:dyDescent="0.35">
      <c r="A78" t="s">
        <v>352</v>
      </c>
      <c r="Z78">
        <v>1</v>
      </c>
    </row>
    <row r="79" spans="1:68" hidden="1" x14ac:dyDescent="0.35">
      <c r="A79" t="s">
        <v>366</v>
      </c>
    </row>
    <row r="80" spans="1:68" x14ac:dyDescent="0.35">
      <c r="A80" t="s">
        <v>17</v>
      </c>
      <c r="F80">
        <v>2</v>
      </c>
      <c r="J80">
        <v>1</v>
      </c>
      <c r="K80">
        <v>1</v>
      </c>
    </row>
    <row r="81" spans="1:67" hidden="1" x14ac:dyDescent="0.35">
      <c r="A81" t="s">
        <v>86</v>
      </c>
      <c r="K81">
        <v>5</v>
      </c>
    </row>
    <row r="82" spans="1:67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</row>
    <row r="83" spans="1:67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2026-02-19T13:09:15Z</dcterms:modified>
</cp:coreProperties>
</file>