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70" documentId="14_{A1B3B906-E661-414D-BCC5-34D6B6413D4C}" xr6:coauthVersionLast="36" xr6:coauthVersionMax="36" xr10:uidLastSave="{8696725A-FD65-4510-83C1-53C433FC3300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artilharia!$A$1:$AB$83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notas!$A$1:$CS$83</definedName>
  </definedNames>
  <calcPr calcId="191029"/>
</workbook>
</file>

<file path=xl/calcChain.xml><?xml version="1.0" encoding="utf-8"?>
<calcChain xmlns="http://schemas.openxmlformats.org/spreadsheetml/2006/main">
  <c r="CN38" i="1" l="1"/>
  <c r="CO38" i="1"/>
  <c r="CN24" i="1"/>
  <c r="CO24" i="1"/>
  <c r="CN16" i="1"/>
  <c r="CO16" i="1"/>
  <c r="CN15" i="1"/>
  <c r="CO15" i="1"/>
  <c r="CN13" i="1"/>
  <c r="CO13" i="1"/>
  <c r="CN12" i="1"/>
  <c r="CO12" i="1"/>
  <c r="CN9" i="1"/>
  <c r="CO9" i="1"/>
  <c r="CN8" i="1"/>
  <c r="CO8" i="1"/>
  <c r="CN7" i="1"/>
  <c r="CO7" i="1"/>
  <c r="CN2" i="1"/>
  <c r="CO2" i="1"/>
  <c r="CN3" i="1" l="1"/>
  <c r="CO3" i="1"/>
  <c r="V87" i="4" l="1"/>
  <c r="U88" i="4"/>
  <c r="U87" i="4"/>
  <c r="T87" i="4"/>
  <c r="V85" i="4" l="1"/>
  <c r="V81" i="4"/>
  <c r="CR83" i="1"/>
  <c r="CR82" i="1"/>
  <c r="CR81" i="1"/>
  <c r="CR80" i="1"/>
  <c r="CR79" i="1"/>
  <c r="CR78" i="1"/>
  <c r="CR77" i="1"/>
  <c r="CR76" i="1"/>
  <c r="CR75" i="1"/>
  <c r="CR74" i="1"/>
  <c r="CR73" i="1"/>
  <c r="CR72" i="1"/>
  <c r="CR71" i="1"/>
  <c r="CR70" i="1"/>
  <c r="CR69" i="1"/>
  <c r="CR68" i="1"/>
  <c r="CR67" i="1"/>
  <c r="CR66" i="1"/>
  <c r="CR65" i="1"/>
  <c r="CR64" i="1"/>
  <c r="CR63" i="1"/>
  <c r="CR62" i="1"/>
  <c r="CR61" i="1"/>
  <c r="CR60" i="1"/>
  <c r="CR59" i="1"/>
  <c r="CR58" i="1"/>
  <c r="CR57" i="1"/>
  <c r="CR56" i="1"/>
  <c r="CR55" i="1"/>
  <c r="CR54" i="1"/>
  <c r="CR53" i="1"/>
  <c r="CR52" i="1"/>
  <c r="CR51" i="1"/>
  <c r="CR50" i="1"/>
  <c r="CR49" i="1"/>
  <c r="CR48" i="1"/>
  <c r="CR47" i="1"/>
  <c r="CR46" i="1"/>
  <c r="CR45" i="1"/>
  <c r="CR44" i="1"/>
  <c r="CR43" i="1"/>
  <c r="CR42" i="1"/>
  <c r="CR41" i="1"/>
  <c r="CR40" i="1"/>
  <c r="CR39" i="1"/>
  <c r="CR38" i="1"/>
  <c r="CR37" i="1"/>
  <c r="CR36" i="1"/>
  <c r="CR35" i="1"/>
  <c r="CR34" i="1"/>
  <c r="CR33" i="1"/>
  <c r="CR32" i="1"/>
  <c r="CR31" i="1"/>
  <c r="CR30" i="1"/>
  <c r="CR29" i="1"/>
  <c r="CR28" i="1"/>
  <c r="CR27" i="1"/>
  <c r="CR26" i="1"/>
  <c r="CR25" i="1"/>
  <c r="CR24" i="1"/>
  <c r="CR23" i="1"/>
  <c r="CR22" i="1"/>
  <c r="CR21" i="1"/>
  <c r="CR20" i="1"/>
  <c r="CR19" i="1"/>
  <c r="CR18" i="1"/>
  <c r="CR17" i="1"/>
  <c r="CR16" i="1"/>
  <c r="CR15" i="1"/>
  <c r="CR14" i="1"/>
  <c r="CR13" i="1"/>
  <c r="CR12" i="1"/>
  <c r="CR11" i="1"/>
  <c r="CR10" i="1"/>
  <c r="CR9" i="1"/>
  <c r="CR8" i="1"/>
  <c r="CR7" i="1"/>
  <c r="CR6" i="1"/>
  <c r="CR5" i="1"/>
  <c r="CR4" i="1"/>
  <c r="CR3" i="1"/>
  <c r="CR2" i="1"/>
  <c r="V86" i="4"/>
  <c r="V88" i="4" l="1"/>
  <c r="CN19" i="1"/>
  <c r="CO19" i="1"/>
  <c r="CN83" i="1" l="1"/>
  <c r="CP83" i="1" s="1"/>
  <c r="CO83" i="1"/>
  <c r="CS83" i="1"/>
  <c r="CP3" i="1"/>
  <c r="CS3" i="1"/>
  <c r="CN4" i="1"/>
  <c r="CP4" i="1" s="1"/>
  <c r="CO4" i="1"/>
  <c r="CS4" i="1"/>
  <c r="CN5" i="1"/>
  <c r="CO5" i="1"/>
  <c r="CP5" i="1"/>
  <c r="CS5" i="1"/>
  <c r="CN6" i="1"/>
  <c r="CP6" i="1" s="1"/>
  <c r="CO6" i="1"/>
  <c r="CS6" i="1"/>
  <c r="CP7" i="1"/>
  <c r="CS7" i="1"/>
  <c r="CP8" i="1"/>
  <c r="CS8" i="1"/>
  <c r="CP9" i="1"/>
  <c r="CS9" i="1"/>
  <c r="CN10" i="1"/>
  <c r="CP10" i="1" s="1"/>
  <c r="CO10" i="1"/>
  <c r="CS10" i="1"/>
  <c r="CN11" i="1"/>
  <c r="CP11" i="1" s="1"/>
  <c r="CO11" i="1"/>
  <c r="CS11" i="1"/>
  <c r="CP12" i="1"/>
  <c r="CS12" i="1"/>
  <c r="CP13" i="1"/>
  <c r="CS13" i="1"/>
  <c r="CN14" i="1"/>
  <c r="CO14" i="1"/>
  <c r="CP14" i="1"/>
  <c r="CS14" i="1"/>
  <c r="CP15" i="1"/>
  <c r="CS15" i="1"/>
  <c r="CP16" i="1"/>
  <c r="CS16" i="1"/>
  <c r="CN17" i="1"/>
  <c r="CP17" i="1" s="1"/>
  <c r="CO17" i="1"/>
  <c r="CS17" i="1"/>
  <c r="CN18" i="1"/>
  <c r="CO18" i="1"/>
  <c r="CP18" i="1"/>
  <c r="CS18" i="1"/>
  <c r="CP19" i="1"/>
  <c r="CS19" i="1"/>
  <c r="CN20" i="1"/>
  <c r="CP20" i="1" s="1"/>
  <c r="CO20" i="1"/>
  <c r="CS20" i="1"/>
  <c r="CN21" i="1"/>
  <c r="CO21" i="1"/>
  <c r="CP21" i="1"/>
  <c r="CS21" i="1"/>
  <c r="CN22" i="1"/>
  <c r="CP22" i="1" s="1"/>
  <c r="CO22" i="1"/>
  <c r="CS22" i="1"/>
  <c r="CN23" i="1"/>
  <c r="CP23" i="1" s="1"/>
  <c r="CO23" i="1"/>
  <c r="CS23" i="1"/>
  <c r="CP24" i="1"/>
  <c r="CS24" i="1"/>
  <c r="CN25" i="1"/>
  <c r="CO25" i="1"/>
  <c r="CP25" i="1"/>
  <c r="CS25" i="1"/>
  <c r="CN26" i="1"/>
  <c r="CP26" i="1" s="1"/>
  <c r="CO26" i="1"/>
  <c r="CS26" i="1"/>
  <c r="CN27" i="1"/>
  <c r="CP27" i="1" s="1"/>
  <c r="CO27" i="1"/>
  <c r="CS27" i="1"/>
  <c r="CN28" i="1"/>
  <c r="CP28" i="1" s="1"/>
  <c r="CO28" i="1"/>
  <c r="CS28" i="1"/>
  <c r="CN29" i="1"/>
  <c r="CP29" i="1" s="1"/>
  <c r="CO29" i="1"/>
  <c r="CS29" i="1"/>
  <c r="CN30" i="1"/>
  <c r="CO30" i="1"/>
  <c r="CP30" i="1"/>
  <c r="CS30" i="1"/>
  <c r="CN31" i="1"/>
  <c r="CP31" i="1" s="1"/>
  <c r="CO31" i="1"/>
  <c r="CS31" i="1"/>
  <c r="CN32" i="1"/>
  <c r="CP32" i="1" s="1"/>
  <c r="CO32" i="1"/>
  <c r="CS32" i="1"/>
  <c r="CN33" i="1"/>
  <c r="CP33" i="1" s="1"/>
  <c r="CO33" i="1"/>
  <c r="CS33" i="1"/>
  <c r="CN34" i="1"/>
  <c r="CP34" i="1" s="1"/>
  <c r="CO34" i="1"/>
  <c r="CS34" i="1"/>
  <c r="CN35" i="1"/>
  <c r="CP35" i="1" s="1"/>
  <c r="CO35" i="1"/>
  <c r="CS35" i="1"/>
  <c r="CN36" i="1"/>
  <c r="CO36" i="1"/>
  <c r="CP36" i="1"/>
  <c r="CS36" i="1"/>
  <c r="CN37" i="1"/>
  <c r="CO37" i="1"/>
  <c r="CP37" i="1"/>
  <c r="CS37" i="1"/>
  <c r="CP38" i="1"/>
  <c r="CS38" i="1"/>
  <c r="CN39" i="1"/>
  <c r="CP39" i="1" s="1"/>
  <c r="CO39" i="1"/>
  <c r="CS39" i="1"/>
  <c r="CN40" i="1"/>
  <c r="CP40" i="1" s="1"/>
  <c r="CO40" i="1"/>
  <c r="CS40" i="1"/>
  <c r="CN41" i="1"/>
  <c r="CP41" i="1" s="1"/>
  <c r="CO41" i="1"/>
  <c r="CS41" i="1"/>
  <c r="CN42" i="1"/>
  <c r="CP42" i="1" s="1"/>
  <c r="CO42" i="1"/>
  <c r="CS42" i="1"/>
  <c r="CN43" i="1"/>
  <c r="CO43" i="1"/>
  <c r="CP43" i="1"/>
  <c r="CS43" i="1"/>
  <c r="CN44" i="1"/>
  <c r="CO44" i="1"/>
  <c r="CP44" i="1"/>
  <c r="CS44" i="1"/>
  <c r="CN45" i="1"/>
  <c r="CO45" i="1"/>
  <c r="CP45" i="1"/>
  <c r="CS45" i="1"/>
  <c r="CN46" i="1"/>
  <c r="CP46" i="1" s="1"/>
  <c r="CO46" i="1"/>
  <c r="CS46" i="1"/>
  <c r="CN47" i="1"/>
  <c r="CO47" i="1"/>
  <c r="CP47" i="1"/>
  <c r="CS47" i="1"/>
  <c r="CN48" i="1"/>
  <c r="CP48" i="1" s="1"/>
  <c r="CO48" i="1"/>
  <c r="CS48" i="1"/>
  <c r="CN49" i="1"/>
  <c r="CP49" i="1" s="1"/>
  <c r="CO49" i="1"/>
  <c r="CS49" i="1"/>
  <c r="CN50" i="1"/>
  <c r="CO50" i="1"/>
  <c r="CP50" i="1"/>
  <c r="CS50" i="1"/>
  <c r="CN51" i="1"/>
  <c r="CP51" i="1" s="1"/>
  <c r="CO51" i="1"/>
  <c r="CS51" i="1"/>
  <c r="CN52" i="1"/>
  <c r="CO52" i="1"/>
  <c r="CP52" i="1"/>
  <c r="CS52" i="1"/>
  <c r="CN53" i="1"/>
  <c r="CP53" i="1" s="1"/>
  <c r="CO53" i="1"/>
  <c r="CS53" i="1"/>
  <c r="CN54" i="1"/>
  <c r="CP54" i="1" s="1"/>
  <c r="CO54" i="1"/>
  <c r="CS54" i="1"/>
  <c r="CN55" i="1"/>
  <c r="CO55" i="1"/>
  <c r="CP55" i="1"/>
  <c r="CS55" i="1"/>
  <c r="CN56" i="1"/>
  <c r="CP56" i="1" s="1"/>
  <c r="CO56" i="1"/>
  <c r="CS56" i="1"/>
  <c r="CN57" i="1"/>
  <c r="CP57" i="1" s="1"/>
  <c r="CO57" i="1"/>
  <c r="CS57" i="1"/>
  <c r="CN58" i="1"/>
  <c r="CO58" i="1"/>
  <c r="CP58" i="1"/>
  <c r="CS58" i="1"/>
  <c r="CN59" i="1"/>
  <c r="CP59" i="1" s="1"/>
  <c r="CO59" i="1"/>
  <c r="CS59" i="1"/>
  <c r="CN60" i="1"/>
  <c r="CP60" i="1" s="1"/>
  <c r="CO60" i="1"/>
  <c r="CS60" i="1"/>
  <c r="CN61" i="1"/>
  <c r="CO61" i="1"/>
  <c r="CP61" i="1"/>
  <c r="CS61" i="1"/>
  <c r="CN62" i="1"/>
  <c r="CO62" i="1"/>
  <c r="CP62" i="1"/>
  <c r="CS62" i="1"/>
  <c r="CN63" i="1"/>
  <c r="CP63" i="1" s="1"/>
  <c r="CO63" i="1"/>
  <c r="CS63" i="1"/>
  <c r="CN64" i="1"/>
  <c r="CO64" i="1"/>
  <c r="CP64" i="1"/>
  <c r="CS64" i="1"/>
  <c r="CN65" i="1"/>
  <c r="CP65" i="1" s="1"/>
  <c r="CO65" i="1"/>
  <c r="CS65" i="1"/>
  <c r="CN66" i="1"/>
  <c r="CO66" i="1"/>
  <c r="CP66" i="1"/>
  <c r="CS66" i="1"/>
  <c r="CN67" i="1"/>
  <c r="CP67" i="1" s="1"/>
  <c r="CO67" i="1"/>
  <c r="CS67" i="1"/>
  <c r="CN68" i="1"/>
  <c r="CP68" i="1" s="1"/>
  <c r="CO68" i="1"/>
  <c r="CS68" i="1"/>
  <c r="CN69" i="1"/>
  <c r="CP69" i="1" s="1"/>
  <c r="CO69" i="1"/>
  <c r="CS69" i="1"/>
  <c r="CN70" i="1"/>
  <c r="CP70" i="1" s="1"/>
  <c r="CO70" i="1"/>
  <c r="CS70" i="1"/>
  <c r="CN71" i="1"/>
  <c r="CO71" i="1"/>
  <c r="CP71" i="1"/>
  <c r="CS71" i="1"/>
  <c r="CN72" i="1"/>
  <c r="CP72" i="1" s="1"/>
  <c r="CO72" i="1"/>
  <c r="CS72" i="1"/>
  <c r="CN73" i="1"/>
  <c r="CP73" i="1" s="1"/>
  <c r="CO73" i="1"/>
  <c r="CS73" i="1"/>
  <c r="CN74" i="1"/>
  <c r="CO74" i="1"/>
  <c r="CP74" i="1"/>
  <c r="CS74" i="1"/>
  <c r="CN75" i="1"/>
  <c r="CP75" i="1" s="1"/>
  <c r="CO75" i="1"/>
  <c r="CS75" i="1"/>
  <c r="CN76" i="1"/>
  <c r="CP76" i="1" s="1"/>
  <c r="CO76" i="1"/>
  <c r="CS76" i="1"/>
  <c r="CN77" i="1"/>
  <c r="CP77" i="1" s="1"/>
  <c r="CO77" i="1"/>
  <c r="CS77" i="1"/>
  <c r="CN78" i="1"/>
  <c r="CO78" i="1"/>
  <c r="CP78" i="1"/>
  <c r="CS78" i="1"/>
  <c r="CN79" i="1"/>
  <c r="CO79" i="1"/>
  <c r="CP79" i="1"/>
  <c r="CS79" i="1"/>
  <c r="CN80" i="1"/>
  <c r="CO80" i="1"/>
  <c r="CP80" i="1"/>
  <c r="CS80" i="1"/>
  <c r="CN81" i="1"/>
  <c r="CP81" i="1" s="1"/>
  <c r="CO81" i="1"/>
  <c r="CS81" i="1"/>
  <c r="CN82" i="1"/>
  <c r="CP82" i="1" s="1"/>
  <c r="CO82" i="1"/>
  <c r="CS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S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P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Z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Z7" i="4"/>
  <c r="Z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<sst xmlns="http://schemas.openxmlformats.org/spreadsheetml/2006/main" count="9147" uniqueCount="393">
  <si>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</si>
  <si>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</si>
  <si>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</si>
  <si>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</si>
  <si>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</si>
  <si>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</si>
  <si>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</si>
  <si>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</si>
  <si>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</si>
  <si>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</si>
  <si>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</si>
  <si>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</si>
  <si>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</si>
  <si>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</si>
  <si>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</si>
  <si>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</si>
  <si>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</si>
  <si>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</si>
  <si>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</si>
  <si>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</si>
  <si>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</si>
  <si>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</si>
  <si>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</si>
  <si>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</si>
  <si>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</si>
  <si>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</si>
  <si>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</si>
  <si>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</si>
  <si>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</si>
  <si>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</si>
  <si>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</si>
  <si>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</si>
  <si>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</si>
  <si>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</si>
  <si>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</si>
  <si>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</si>
  <si>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</si>
  <si>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</si>
  <si>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</si>
  <si>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</si>
  <si>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</si>
  <si>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</si>
  <si>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</si>
  <si>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</si>
  <si>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</si>
  <si>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</si>
  <si>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</si>
  <si>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</si>
  <si>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</si>
  <si>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</si>
  <si>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</si>
  <si>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</si>
  <si>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</si>
  <si>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</si>
  <si>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</si>
  <si>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</si>
  <si>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</si>
  <si>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</si>
  <si>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</si>
  <si>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</si>
  <si>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</si>
  <si>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</si>
  <si>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</si>
  <si>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</si>
  <si>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</si>
  <si>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</si>
  <si>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</si>
  <si>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</si>
  <si>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</si>
  <si>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</si>
  <si>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</si>
  <si>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</si>
  <si>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</si>
  <si>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</si>
  <si>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</si>
  <si>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</si>
  <si>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</si>
  <si>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</si>
  <si>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</si>
  <si>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</si>
  <si>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</si>
  <si>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</si>
  <si>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</si>
  <si>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</si>
  <si>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</si>
  <si>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</si>
  <si>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</si>
  <si>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</si>
  <si>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</si>
  <si>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</si>
  <si>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</si>
  <si>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</si>
  <si>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</si>
  <si>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</si>
  <si>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</si>
  <si>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</si>
  <si>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</si>
  <si>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</si>
  <si>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</si>
  <si>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</si>
  <si>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</si>
  <si>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</si>
  <si>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</si>
  <si>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</si>
  <si>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</si>
  <si>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</si>
  <si>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</si>
  <si>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</si>
  <si>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</si>
  <si>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</si>
  <si>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</si>
  <si>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</si>
  <si>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</si>
  <si>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</si>
  <si>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</si>
  <si>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</si>
  <si>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</si>
  <si>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</si>
  <si>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</si>
  <si>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</si>
  <si>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</si>
  <si>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</si>
  <si>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</si>
  <si>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</si>
  <si>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</si>
  <si>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</si>
  <si>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</si>
  <si>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</si>
  <si>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</si>
  <si>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</si>
  <si>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</si>
  <si>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</si>
  <si>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</si>
  <si>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</si>
  <si>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</si>
  <si>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</si>
  <si>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</si>
  <si>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</si>
  <si>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</si>
  <si>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</si>
  <si>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</si>
  <si>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</si>
  <si>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</si>
  <si>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</si>
  <si>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</si>
  <si>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</si>
  <si>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</si>
  <si>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</si>
  <si>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</si>
  <si>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</si>
  <si>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</si>
  <si>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</si>
  <si>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</si>
  <si>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</si>
  <si>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</si>
  <si>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</si>
  <si>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</si>
  <si>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</si>
  <si>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</si>
  <si>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</si>
  <si>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</si>
  <si>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</si>
  <si>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</si>
  <si>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</si>
  <si>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</si>
  <si>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</si>
  <si>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</si>
  <si>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</si>
  <si>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</si>
  <si>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</si>
  <si>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</si>
  <si>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</si>
  <si>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</si>
  <si>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</si>
  <si>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</si>
  <si>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</si>
  <si>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</si>
  <si>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</si>
  <si>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</si>
  <si>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</si>
  <si>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</si>
  <si>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</si>
  <si>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</si>
  <si>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</si>
  <si>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</si>
  <si>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</si>
  <si>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</si>
  <si>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</si>
  <si>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</si>
  <si>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</si>
  <si>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</si>
  <si>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</si>
  <si>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</si>
  <si>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</si>
  <si>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</si>
  <si>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</si>
  <si>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</si>
  <si>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</si>
  <si>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</si>
  <si>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</si>
  <si>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</si>
  <si>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</si>
  <si>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</si>
  <si>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</si>
  <si>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</si>
  <si>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</si>
  <si>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</si>
  <si>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</si>
  <si>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</si>
  <si>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</si>
  <si>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</si>
  <si>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</si>
  <si>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</si>
  <si>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</si>
  <si>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</si>
  <si>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</si>
  <si>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</si>
  <si>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</si>
  <si>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</si>
  <si>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</si>
  <si>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</si>
  <si>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</si>
  <si>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</si>
  <si>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</si>
  <si>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</si>
  <si>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</si>
  <si>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</si>
  <si>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</si>
  <si>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</si>
  <si>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</si>
  <si>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</si>
  <si>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</si>
  <si>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</si>
  <si>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</si>
  <si>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</si>
  <si>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</si>
  <si>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</si>
  <si>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</si>
  <si>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</si>
  <si>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</si>
  <si>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</si>
  <si>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</si>
  <si>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</si>
  <si>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</si>
  <si>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</si>
  <si>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</si>
  <si>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</si>
  <si>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</si>
  <si>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</si>
  <si>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</si>
  <si>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</si>
  <si>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</si>
  <si>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</si>
  <si>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</si>
  <si>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</si>
  <si>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</si>
  <si>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</si>
  <si>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</si>
  <si>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</si>
  <si>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</si>
  <si>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</si>
  <si>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</si>
  <si>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</si>
  <si>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</si>
  <si>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</si>
  <si>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</si>
  <si>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</si>
  <si>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</si>
  <si>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</si>
  <si>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</si>
  <si>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</si>
  <si>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</si>
  <si>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</si>
  <si>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</si>
  <si>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</si>
  <si>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</si>
  <si>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</si>
  <si>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</si>
  <si>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</si>
  <si>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</si>
  <si>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</si>
  <si>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</si>
  <si>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</si>
  <si>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</si>
  <si>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</si>
  <si>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</si>
  <si>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</si>
  <si>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</si>
  <si>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</si>
  <si>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</si>
  <si>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</si>
  <si>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</si>
  <si>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</si>
  <si>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</si>
  <si>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</si>
  <si>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</si>
  <si>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</si>
  <si>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</si>
  <si>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</si>
  <si>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</si>
  <si>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</si>
  <si>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</si>
  <si>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</si>
  <si>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</si>
  <si>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</si>
  <si>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</si>
  <si>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</si>
  <si>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</si>
  <si>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</si>
  <si>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</si>
  <si>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</si>
  <si>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</si>
  <si>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</si>
  <si>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</si>
  <si>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</si>
  <si>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</si>
  <si>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</si>
  <si>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</si>
  <si>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</si>
  <si>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</si>
  <si>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</si>
  <si>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</si>
  <si>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</si>
  <si>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</si>
  <si>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</si>
  <si>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</si>
  <si>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</si>
  <si>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</si>
  <si>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</si>
  <si>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</si>
  <si>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</si>
  <si>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</si>
  <si>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</si>
  <si>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</si>
  <si>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</si>
  <si>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</si>
  <si>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</si>
  <si>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</si>
  <si>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</si>
  <si>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</si>
  <si>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</si>
  <si>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</si>
  <si>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</si>
  <si>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</si>
  <si>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</si>
  <si>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</si>
  <si>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</si>
  <si>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</si>
  <si>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</si>
  <si>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</si>
  <si>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</si>
  <si>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</si>
  <si>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</si>
  <si>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</si>
  <si>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</si>
  <si>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</si>
  <si>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</si>
  <si>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</si>
  <si>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</si>
  <si>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</si>
  <si>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</si>
  <si>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</si>
  <si>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</si>
  <si>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</si>
  <si>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</si>
  <si>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</si>
  <si>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</si>
  <si>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</si>
  <si>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</si>
  <si>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</si>
  <si>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</si>
  <si>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</si>
  <si>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</si>
  <si>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</si>
  <si>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</si>
  <si>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</si>
  <si>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</si>
  <si>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</si>
  <si>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</si>
  <si>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</si>
  <si>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</si>
  <si>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</si>
  <si>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</si>
  <si>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</si>
  <si>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</si>
  <si>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</si>
  <si>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jan</t>
  </si>
  <si>
    <t>Verificação</t>
  </si>
  <si>
    <t>Passo</t>
  </si>
  <si>
    <t>Gabe</t>
  </si>
  <si>
    <t>G. Ripardo</t>
  </si>
  <si>
    <t>Thiago T.</t>
  </si>
  <si>
    <t>Eduardo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</si>
</sst>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S83"/>
  <sheetViews>
    <sheetView tabSelected="1" zoomScale="85" zoomScaleNormal="85" workbookViewId="0">
      <pane xSplit="1" topLeftCell="BU1" activePane="topRight" state="frozen"/>
      <selection pane="topRight" activeCell="CL53" sqref="CL53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1" width="11" customWidth="1"/>
  </cols>
  <sheetData>
    <row r="1" spans="1:97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/>
      <c r="CN1" t="s">
        <v>57</v>
      </c>
      <c r="CO1" t="s">
        <v>58</v>
      </c>
      <c r="CP1" t="s">
        <v>59</v>
      </c>
      <c r="CQ1" t="s">
        <v>62</v>
      </c>
      <c r="CR1" t="s">
        <v>386</v>
      </c>
      <c r="CS1" t="s">
        <v>384</v>
      </c>
    </row>
    <row r="2" spans="1:97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N2">
        <f>COUNT(B2:CL2)</f>
        <v>83</v>
      </c>
      <c r="CO2" s="18">
        <f>AVERAGE(B2:CL2)</f>
        <v>6.0361445783132526</v>
      </c>
      <c r="CP2">
        <f t="shared" ref="CP2" si="0">IF(CN2&gt;1,_xlfn.STDEV.S(B2:CF2),"")</f>
        <v>1.2512468149547391</v>
      </c>
      <c r="CQ2">
        <v>1</v>
      </c>
      <c r="CR2">
        <f>COUNT(CG2:CJ2)</f>
        <v>4</v>
      </c>
      <c r="CS2">
        <f t="shared" ref="CS2" si="1">IF(CQ2=0,CR2,0)</f>
        <v>0</v>
      </c>
    </row>
    <row r="3" spans="1:97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N3">
        <f>COUNT(B3:CK3)</f>
        <v>79</v>
      </c>
      <c r="CO3" s="18">
        <f>AVERAGE(B3:CK3)</f>
        <v>5.6518987341772151</v>
      </c>
      <c r="CP3">
        <f t="shared" ref="CP3:CP66" si="2">IF(CN3&gt;1,_xlfn.STDEV.S(B3:CF3),"")</f>
        <v>1.0518094984498128</v>
      </c>
      <c r="CQ3">
        <v>1</v>
      </c>
      <c r="CR3">
        <f t="shared" ref="CR3:CR66" si="3">COUNT(CG3:CJ3)</f>
        <v>4</v>
      </c>
      <c r="CS3">
        <f t="shared" ref="CS3:CS66" si="4">IF(CQ3=0,CR3,0)</f>
        <v>0</v>
      </c>
    </row>
    <row r="4" spans="1:97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N4">
        <f t="shared" ref="CN4:CN66" si="5">COUNT(B4:CI4)</f>
        <v>72</v>
      </c>
      <c r="CO4" s="18">
        <f t="shared" ref="CO4:CO66" si="6">AVERAGE(B4:CI4)</f>
        <v>5.708333333333333</v>
      </c>
      <c r="CP4">
        <f t="shared" si="2"/>
        <v>0.96435844595057774</v>
      </c>
      <c r="CQ4">
        <v>1</v>
      </c>
      <c r="CR4">
        <f t="shared" si="3"/>
        <v>3</v>
      </c>
      <c r="CS4">
        <f t="shared" si="4"/>
        <v>0</v>
      </c>
    </row>
    <row r="5" spans="1:97" x14ac:dyDescent="0.35">
      <c r="A5" t="s">
        <v>6</v>
      </c>
      <c r="B5">
        <v>8</v>
      </c>
      <c r="C5">
        <v>7</v>
      </c>
      <c r="D5">
        <v>7</v>
      </c>
      <c r="E5">
        <v>8</v>
      </c>
      <c r="F5">
        <v>5.5</v>
      </c>
      <c r="G5">
        <v>5.5</v>
      </c>
      <c r="H5" t="s">
        <v>26</v>
      </c>
      <c r="I5">
        <v>8</v>
      </c>
      <c r="J5" t="s">
        <v>26</v>
      </c>
      <c r="K5">
        <v>8</v>
      </c>
      <c r="L5" t="s">
        <v>26</v>
      </c>
      <c r="M5" t="s">
        <v>26</v>
      </c>
      <c r="N5">
        <v>5.5</v>
      </c>
      <c r="O5">
        <v>7</v>
      </c>
      <c r="P5">
        <v>5.5</v>
      </c>
      <c r="Q5" t="s">
        <v>26</v>
      </c>
      <c r="R5" t="s">
        <v>26</v>
      </c>
      <c r="S5">
        <v>5.5</v>
      </c>
      <c r="T5">
        <v>7</v>
      </c>
      <c r="U5">
        <v>7</v>
      </c>
      <c r="V5" t="s">
        <v>26</v>
      </c>
      <c r="W5">
        <v>5.5</v>
      </c>
      <c r="X5">
        <v>5.5</v>
      </c>
      <c r="Y5" t="s">
        <v>26</v>
      </c>
      <c r="Z5" t="s">
        <v>26</v>
      </c>
      <c r="AA5">
        <v>5.5</v>
      </c>
      <c r="AB5" t="s">
        <v>26</v>
      </c>
      <c r="AC5" t="s">
        <v>26</v>
      </c>
      <c r="AD5" t="s">
        <v>26</v>
      </c>
      <c r="AE5">
        <v>7</v>
      </c>
      <c r="AF5">
        <v>8</v>
      </c>
      <c r="AG5">
        <v>8.5</v>
      </c>
      <c r="AH5">
        <v>6.5</v>
      </c>
      <c r="AI5" t="s">
        <v>26</v>
      </c>
      <c r="AJ5">
        <v>6.5</v>
      </c>
      <c r="AK5">
        <v>5.5</v>
      </c>
      <c r="AL5">
        <v>5</v>
      </c>
      <c r="AM5">
        <v>6.5</v>
      </c>
      <c r="AN5">
        <v>8</v>
      </c>
      <c r="AO5">
        <v>7</v>
      </c>
      <c r="AP5">
        <v>5.5</v>
      </c>
      <c r="AQ5">
        <v>6.5</v>
      </c>
      <c r="AR5">
        <v>6.5</v>
      </c>
      <c r="AS5">
        <v>5.5</v>
      </c>
      <c r="AT5">
        <v>6.5</v>
      </c>
      <c r="AU5">
        <v>5.5</v>
      </c>
      <c r="AV5">
        <v>5.5</v>
      </c>
      <c r="AW5" t="s">
        <v>26</v>
      </c>
      <c r="AX5">
        <v>10</v>
      </c>
      <c r="AY5">
        <v>6.5</v>
      </c>
      <c r="AZ5">
        <v>5.5</v>
      </c>
      <c r="BA5">
        <v>5.5</v>
      </c>
      <c r="BB5">
        <v>5</v>
      </c>
      <c r="BC5">
        <v>8.5</v>
      </c>
      <c r="BD5">
        <v>6.5</v>
      </c>
      <c r="BE5">
        <v>8</v>
      </c>
      <c r="BF5">
        <v>5</v>
      </c>
      <c r="BG5">
        <v>5</v>
      </c>
      <c r="BH5">
        <v>9.5</v>
      </c>
      <c r="BI5">
        <v>8</v>
      </c>
      <c r="BJ5">
        <v>7</v>
      </c>
      <c r="BK5">
        <v>6.5</v>
      </c>
      <c r="BL5">
        <v>5.5</v>
      </c>
      <c r="BM5">
        <v>7</v>
      </c>
      <c r="BN5">
        <v>7</v>
      </c>
      <c r="BO5">
        <v>8</v>
      </c>
      <c r="BP5">
        <v>5.5</v>
      </c>
      <c r="BQ5">
        <v>5</v>
      </c>
      <c r="BR5">
        <v>7</v>
      </c>
      <c r="BS5">
        <v>5.5</v>
      </c>
      <c r="BT5">
        <v>6.5</v>
      </c>
      <c r="BU5">
        <v>5</v>
      </c>
      <c r="BV5">
        <v>6.5</v>
      </c>
      <c r="BW5">
        <v>5.5</v>
      </c>
      <c r="BX5">
        <v>5.5</v>
      </c>
      <c r="BY5">
        <v>5.5</v>
      </c>
      <c r="BZ5">
        <v>5.5</v>
      </c>
      <c r="CA5">
        <v>5.5</v>
      </c>
      <c r="CB5">
        <v>7</v>
      </c>
      <c r="CC5">
        <v>5.5</v>
      </c>
      <c r="CD5">
        <v>5.5</v>
      </c>
      <c r="CE5">
        <v>5</v>
      </c>
      <c r="CN5">
        <f t="shared" si="5"/>
        <v>68</v>
      </c>
      <c r="CO5" s="18">
        <f t="shared" si="6"/>
        <v>6.4191176470588234</v>
      </c>
      <c r="CP5">
        <f t="shared" si="2"/>
        <v>1.1769245721961776</v>
      </c>
      <c r="CQ5">
        <v>0</v>
      </c>
      <c r="CR5">
        <f t="shared" si="3"/>
        <v>0</v>
      </c>
      <c r="CS5">
        <f t="shared" si="4"/>
        <v>0</v>
      </c>
    </row>
    <row r="6" spans="1:97" x14ac:dyDescent="0.35">
      <c r="A6" t="s">
        <v>20</v>
      </c>
      <c r="B6" t="s">
        <v>26</v>
      </c>
      <c r="C6" t="s">
        <v>26</v>
      </c>
      <c r="D6">
        <v>7</v>
      </c>
      <c r="E6">
        <v>7</v>
      </c>
      <c r="F6">
        <v>7</v>
      </c>
      <c r="G6">
        <v>7</v>
      </c>
      <c r="H6">
        <v>8</v>
      </c>
      <c r="I6">
        <v>7</v>
      </c>
      <c r="J6">
        <v>8</v>
      </c>
      <c r="K6">
        <v>7</v>
      </c>
      <c r="L6">
        <v>5.5</v>
      </c>
      <c r="M6">
        <v>5</v>
      </c>
      <c r="N6">
        <v>5</v>
      </c>
      <c r="O6" t="s">
        <v>26</v>
      </c>
      <c r="P6">
        <v>7</v>
      </c>
      <c r="Q6">
        <v>3.5</v>
      </c>
      <c r="R6">
        <v>5.5</v>
      </c>
      <c r="S6">
        <v>7</v>
      </c>
      <c r="T6">
        <v>5.5</v>
      </c>
      <c r="U6">
        <v>7</v>
      </c>
      <c r="V6">
        <v>5.5</v>
      </c>
      <c r="W6">
        <v>5.5</v>
      </c>
      <c r="X6">
        <v>5</v>
      </c>
      <c r="Y6">
        <v>5.5</v>
      </c>
      <c r="Z6">
        <v>5.5</v>
      </c>
      <c r="AA6">
        <v>7</v>
      </c>
      <c r="AB6">
        <v>5</v>
      </c>
      <c r="AC6">
        <v>5.5</v>
      </c>
      <c r="AD6">
        <v>7</v>
      </c>
      <c r="AE6">
        <v>7</v>
      </c>
      <c r="AF6">
        <v>7</v>
      </c>
      <c r="AG6">
        <v>8</v>
      </c>
      <c r="AH6" t="s">
        <v>26</v>
      </c>
      <c r="AI6">
        <v>6.5</v>
      </c>
      <c r="AJ6">
        <v>5.5</v>
      </c>
      <c r="AK6">
        <v>6.5</v>
      </c>
      <c r="AL6">
        <v>5.5</v>
      </c>
      <c r="AM6">
        <v>5.5</v>
      </c>
      <c r="AN6">
        <v>6.5</v>
      </c>
      <c r="AO6" t="s">
        <v>26</v>
      </c>
      <c r="AP6">
        <v>5.5</v>
      </c>
      <c r="AQ6">
        <v>5</v>
      </c>
      <c r="AR6">
        <v>5</v>
      </c>
      <c r="AS6" t="s">
        <v>26</v>
      </c>
      <c r="AT6">
        <v>6.5</v>
      </c>
      <c r="AU6">
        <v>6.5</v>
      </c>
      <c r="AV6">
        <v>5.5</v>
      </c>
      <c r="AW6">
        <v>5</v>
      </c>
      <c r="AX6">
        <v>5</v>
      </c>
      <c r="AY6">
        <v>5.5</v>
      </c>
      <c r="AZ6">
        <v>6.5</v>
      </c>
      <c r="BA6" t="s">
        <v>26</v>
      </c>
      <c r="BB6">
        <v>5</v>
      </c>
      <c r="BC6">
        <v>7</v>
      </c>
      <c r="BD6">
        <v>6.5</v>
      </c>
      <c r="BE6">
        <v>4</v>
      </c>
      <c r="BF6">
        <v>5</v>
      </c>
      <c r="BG6">
        <v>6.5</v>
      </c>
      <c r="BH6">
        <v>5.5</v>
      </c>
      <c r="BI6">
        <v>5.5</v>
      </c>
      <c r="BJ6">
        <v>6.5</v>
      </c>
      <c r="BK6" t="s">
        <v>26</v>
      </c>
      <c r="BL6" t="s">
        <v>26</v>
      </c>
      <c r="BM6">
        <v>4</v>
      </c>
      <c r="BN6">
        <v>6.5</v>
      </c>
      <c r="BO6">
        <v>5</v>
      </c>
      <c r="BP6">
        <v>5.5</v>
      </c>
      <c r="BQ6">
        <v>5.5</v>
      </c>
      <c r="BR6">
        <v>5.5</v>
      </c>
      <c r="BS6" t="s">
        <v>26</v>
      </c>
      <c r="BT6">
        <v>6.5</v>
      </c>
      <c r="BU6" t="s">
        <v>26</v>
      </c>
      <c r="BV6" t="s">
        <v>26</v>
      </c>
      <c r="BW6" t="s">
        <v>26</v>
      </c>
      <c r="BX6" t="s">
        <v>26</v>
      </c>
      <c r="BY6" t="s">
        <v>26</v>
      </c>
      <c r="BZ6">
        <v>5.5</v>
      </c>
      <c r="CA6">
        <v>5.5</v>
      </c>
      <c r="CB6" t="s">
        <v>26</v>
      </c>
      <c r="CC6">
        <v>6.5</v>
      </c>
      <c r="CD6">
        <v>7</v>
      </c>
      <c r="CF6">
        <v>5.5</v>
      </c>
      <c r="CI6">
        <v>5.5</v>
      </c>
      <c r="CN6">
        <f t="shared" si="5"/>
        <v>67</v>
      </c>
      <c r="CO6" s="18">
        <f t="shared" si="6"/>
        <v>5.9701492537313436</v>
      </c>
      <c r="CP6">
        <f t="shared" si="2"/>
        <v>0.96648378625350351</v>
      </c>
      <c r="CQ6">
        <v>0</v>
      </c>
      <c r="CR6">
        <f t="shared" si="3"/>
        <v>1</v>
      </c>
      <c r="CS6">
        <f t="shared" si="4"/>
        <v>1</v>
      </c>
    </row>
    <row r="7" spans="1:97" x14ac:dyDescent="0.35">
      <c r="A7" t="s">
        <v>82</v>
      </c>
      <c r="B7">
        <v>10</v>
      </c>
      <c r="C7" t="s">
        <v>26</v>
      </c>
      <c r="D7">
        <v>8</v>
      </c>
      <c r="E7">
        <v>7</v>
      </c>
      <c r="F7">
        <v>5.5</v>
      </c>
      <c r="G7">
        <v>7</v>
      </c>
      <c r="H7">
        <v>5.5</v>
      </c>
      <c r="I7">
        <v>7</v>
      </c>
      <c r="J7">
        <v>7</v>
      </c>
      <c r="K7">
        <v>7</v>
      </c>
      <c r="L7">
        <v>5.5</v>
      </c>
      <c r="M7">
        <v>5.5</v>
      </c>
      <c r="N7">
        <v>7</v>
      </c>
      <c r="O7">
        <v>7</v>
      </c>
      <c r="P7">
        <v>7</v>
      </c>
      <c r="Q7">
        <v>7</v>
      </c>
      <c r="R7">
        <v>8</v>
      </c>
      <c r="S7">
        <v>7</v>
      </c>
      <c r="T7">
        <v>8</v>
      </c>
      <c r="U7">
        <v>7</v>
      </c>
      <c r="V7">
        <v>7</v>
      </c>
      <c r="W7">
        <v>7</v>
      </c>
      <c r="X7">
        <v>5.5</v>
      </c>
      <c r="Y7">
        <v>5.5</v>
      </c>
      <c r="Z7">
        <v>5.5</v>
      </c>
      <c r="AA7">
        <v>7</v>
      </c>
      <c r="AB7">
        <v>7</v>
      </c>
      <c r="AC7">
        <v>7</v>
      </c>
      <c r="AD7" t="s">
        <v>26</v>
      </c>
      <c r="AE7">
        <v>8.5</v>
      </c>
      <c r="AF7">
        <v>7</v>
      </c>
      <c r="AG7">
        <v>7</v>
      </c>
      <c r="AH7">
        <v>5.5</v>
      </c>
      <c r="AI7">
        <v>8</v>
      </c>
      <c r="AJ7">
        <v>6.5</v>
      </c>
      <c r="AK7">
        <v>8</v>
      </c>
      <c r="AL7">
        <v>6.5</v>
      </c>
      <c r="AM7" t="s">
        <v>26</v>
      </c>
      <c r="AN7">
        <v>8</v>
      </c>
      <c r="AO7">
        <v>6.5</v>
      </c>
      <c r="AP7">
        <v>7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5.5</v>
      </c>
      <c r="AW7" t="s">
        <v>26</v>
      </c>
      <c r="AX7" t="s">
        <v>26</v>
      </c>
      <c r="AY7">
        <v>7</v>
      </c>
      <c r="AZ7" t="s">
        <v>26</v>
      </c>
      <c r="BA7">
        <v>5.5</v>
      </c>
      <c r="BB7">
        <v>7</v>
      </c>
      <c r="BC7">
        <v>5.5</v>
      </c>
      <c r="BD7">
        <v>8</v>
      </c>
      <c r="BE7">
        <v>7</v>
      </c>
      <c r="BF7">
        <v>5.5</v>
      </c>
      <c r="BG7">
        <v>6.5</v>
      </c>
      <c r="BH7">
        <v>6.5</v>
      </c>
      <c r="BI7">
        <v>5.5</v>
      </c>
      <c r="BJ7" t="s">
        <v>26</v>
      </c>
      <c r="BK7" t="s">
        <v>26</v>
      </c>
      <c r="BL7">
        <v>5.5</v>
      </c>
      <c r="BM7">
        <v>6.5</v>
      </c>
      <c r="BN7">
        <v>8</v>
      </c>
      <c r="BO7">
        <v>7</v>
      </c>
      <c r="BP7">
        <v>5.5</v>
      </c>
      <c r="BQ7">
        <v>5.5</v>
      </c>
      <c r="BR7">
        <v>6.5</v>
      </c>
      <c r="BS7">
        <v>6.5</v>
      </c>
      <c r="BT7" t="s">
        <v>26</v>
      </c>
      <c r="BU7" t="s">
        <v>26</v>
      </c>
      <c r="BV7">
        <v>6.5</v>
      </c>
      <c r="BW7">
        <v>5.5</v>
      </c>
      <c r="BX7" t="s">
        <v>26</v>
      </c>
      <c r="BY7">
        <v>6.5</v>
      </c>
      <c r="BZ7" t="s">
        <v>26</v>
      </c>
      <c r="CA7">
        <v>6.5</v>
      </c>
      <c r="CB7">
        <v>5.5</v>
      </c>
      <c r="CC7">
        <v>6.5</v>
      </c>
      <c r="CD7">
        <v>7.5</v>
      </c>
      <c r="CF7">
        <v>6.5</v>
      </c>
      <c r="CG7">
        <v>6.5</v>
      </c>
      <c r="CH7">
        <v>5.5</v>
      </c>
      <c r="CJ7">
        <v>4.5</v>
      </c>
      <c r="CK7">
        <v>6</v>
      </c>
      <c r="CL7">
        <v>6</v>
      </c>
      <c r="CN7">
        <f>COUNT(B7:CL7)</f>
        <v>70</v>
      </c>
      <c r="CO7" s="18">
        <f>AVERAGE(B7:CL7)</f>
        <v>6.6142857142857139</v>
      </c>
      <c r="CP7">
        <f t="shared" si="2"/>
        <v>0.9419445925236869</v>
      </c>
      <c r="CQ7">
        <v>1</v>
      </c>
      <c r="CR7">
        <f t="shared" si="3"/>
        <v>3</v>
      </c>
      <c r="CS7">
        <f t="shared" si="4"/>
        <v>0</v>
      </c>
    </row>
    <row r="8" spans="1:97" x14ac:dyDescent="0.35">
      <c r="A8" t="s">
        <v>9</v>
      </c>
      <c r="B8">
        <v>7</v>
      </c>
      <c r="C8" t="s">
        <v>26</v>
      </c>
      <c r="D8">
        <v>7</v>
      </c>
      <c r="E8">
        <v>5.5</v>
      </c>
      <c r="F8">
        <v>8</v>
      </c>
      <c r="G8">
        <v>7</v>
      </c>
      <c r="H8">
        <v>7</v>
      </c>
      <c r="I8" t="s">
        <v>26</v>
      </c>
      <c r="J8">
        <v>5.5</v>
      </c>
      <c r="K8" t="s">
        <v>26</v>
      </c>
      <c r="L8">
        <v>7</v>
      </c>
      <c r="M8">
        <v>7</v>
      </c>
      <c r="N8">
        <v>8</v>
      </c>
      <c r="O8">
        <v>5.5</v>
      </c>
      <c r="P8">
        <v>5.5</v>
      </c>
      <c r="Q8">
        <v>7</v>
      </c>
      <c r="R8" t="s">
        <v>26</v>
      </c>
      <c r="S8">
        <v>5.5</v>
      </c>
      <c r="T8">
        <v>8</v>
      </c>
      <c r="U8" t="s">
        <v>26</v>
      </c>
      <c r="V8">
        <v>5.5</v>
      </c>
      <c r="W8">
        <v>7</v>
      </c>
      <c r="X8">
        <v>7</v>
      </c>
      <c r="Y8" t="s">
        <v>26</v>
      </c>
      <c r="Z8">
        <v>8</v>
      </c>
      <c r="AA8">
        <v>7</v>
      </c>
      <c r="AB8">
        <v>7</v>
      </c>
      <c r="AC8">
        <v>5.5</v>
      </c>
      <c r="AD8">
        <v>7</v>
      </c>
      <c r="AE8">
        <v>10</v>
      </c>
      <c r="AF8">
        <v>8</v>
      </c>
      <c r="AG8" t="s">
        <v>26</v>
      </c>
      <c r="AH8">
        <v>9.5</v>
      </c>
      <c r="AI8">
        <v>6.5</v>
      </c>
      <c r="AJ8">
        <v>6.5</v>
      </c>
      <c r="AK8">
        <v>6.5</v>
      </c>
      <c r="AL8" t="s">
        <v>26</v>
      </c>
      <c r="AM8">
        <v>8.5</v>
      </c>
      <c r="AN8" t="s">
        <v>26</v>
      </c>
      <c r="AO8" t="s">
        <v>26</v>
      </c>
      <c r="AP8" t="s">
        <v>26</v>
      </c>
      <c r="AQ8">
        <v>5.5</v>
      </c>
      <c r="AR8">
        <v>6.5</v>
      </c>
      <c r="AS8">
        <v>5.5</v>
      </c>
      <c r="AT8">
        <v>6.5</v>
      </c>
      <c r="AU8">
        <v>6.5</v>
      </c>
      <c r="AV8">
        <v>6.5</v>
      </c>
      <c r="AW8" t="s">
        <v>26</v>
      </c>
      <c r="AX8">
        <v>7</v>
      </c>
      <c r="AY8">
        <v>8</v>
      </c>
      <c r="AZ8">
        <v>6.5</v>
      </c>
      <c r="BA8">
        <v>6.5</v>
      </c>
      <c r="BB8">
        <v>5</v>
      </c>
      <c r="BC8">
        <v>4</v>
      </c>
      <c r="BD8">
        <v>5</v>
      </c>
      <c r="BE8">
        <v>6.5</v>
      </c>
      <c r="BF8">
        <v>5.5</v>
      </c>
      <c r="BG8">
        <v>5.5</v>
      </c>
      <c r="BH8">
        <v>5.5</v>
      </c>
      <c r="BI8" t="s">
        <v>26</v>
      </c>
      <c r="BJ8" t="s">
        <v>26</v>
      </c>
      <c r="BK8">
        <v>5.5</v>
      </c>
      <c r="BL8">
        <v>6.5</v>
      </c>
      <c r="BM8">
        <v>5.5</v>
      </c>
      <c r="BN8" t="s">
        <v>26</v>
      </c>
      <c r="BO8" t="s">
        <v>26</v>
      </c>
      <c r="BP8">
        <v>6.5</v>
      </c>
      <c r="BQ8">
        <v>8.5</v>
      </c>
      <c r="BR8">
        <v>7</v>
      </c>
      <c r="BS8">
        <v>6.5</v>
      </c>
      <c r="BT8">
        <v>6.5</v>
      </c>
      <c r="BU8">
        <v>6.5</v>
      </c>
      <c r="BV8" t="s">
        <v>26</v>
      </c>
      <c r="BW8">
        <v>7</v>
      </c>
      <c r="BX8" t="s">
        <v>26</v>
      </c>
      <c r="BY8">
        <v>7</v>
      </c>
      <c r="BZ8">
        <v>7</v>
      </c>
      <c r="CA8">
        <v>6.5</v>
      </c>
      <c r="CB8">
        <v>6.5</v>
      </c>
      <c r="CC8">
        <v>6.5</v>
      </c>
      <c r="CD8">
        <v>6</v>
      </c>
      <c r="CE8">
        <v>6</v>
      </c>
      <c r="CF8">
        <v>7</v>
      </c>
      <c r="CG8">
        <v>6.5</v>
      </c>
      <c r="CI8">
        <v>6</v>
      </c>
      <c r="CJ8">
        <v>6.5</v>
      </c>
      <c r="CK8">
        <v>6.5</v>
      </c>
      <c r="CL8">
        <v>6.5</v>
      </c>
      <c r="CN8">
        <f>COUNT(B8:CL8)</f>
        <v>70</v>
      </c>
      <c r="CO8" s="18">
        <f>AVERAGE(B8:CL8)</f>
        <v>6.6071428571428568</v>
      </c>
      <c r="CP8">
        <f t="shared" si="2"/>
        <v>1.0570846156365068</v>
      </c>
      <c r="CQ8">
        <v>1</v>
      </c>
      <c r="CR8">
        <f t="shared" si="3"/>
        <v>3</v>
      </c>
      <c r="CS8">
        <f t="shared" si="4"/>
        <v>0</v>
      </c>
    </row>
    <row r="9" spans="1:97" x14ac:dyDescent="0.35">
      <c r="A9" t="s">
        <v>5</v>
      </c>
      <c r="B9">
        <v>10</v>
      </c>
      <c r="C9">
        <v>9.5</v>
      </c>
      <c r="D9">
        <v>9.5</v>
      </c>
      <c r="E9">
        <v>8</v>
      </c>
      <c r="F9">
        <v>7</v>
      </c>
      <c r="G9">
        <v>8</v>
      </c>
      <c r="H9">
        <v>7</v>
      </c>
      <c r="I9" t="s">
        <v>26</v>
      </c>
      <c r="J9">
        <v>9.5</v>
      </c>
      <c r="K9">
        <v>8</v>
      </c>
      <c r="L9">
        <v>9.5</v>
      </c>
      <c r="M9">
        <v>7</v>
      </c>
      <c r="N9">
        <v>8</v>
      </c>
      <c r="O9">
        <v>8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5.5</v>
      </c>
      <c r="W9">
        <v>8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E9" t="s">
        <v>26</v>
      </c>
      <c r="AF9">
        <v>8</v>
      </c>
      <c r="AG9">
        <v>10</v>
      </c>
      <c r="AH9" t="s">
        <v>26</v>
      </c>
      <c r="AI9">
        <v>8</v>
      </c>
      <c r="AJ9">
        <v>6.5</v>
      </c>
      <c r="AK9">
        <v>8</v>
      </c>
      <c r="AL9">
        <v>7</v>
      </c>
      <c r="AM9" t="s">
        <v>26</v>
      </c>
      <c r="AN9" t="s">
        <v>26</v>
      </c>
      <c r="AO9">
        <v>7</v>
      </c>
      <c r="AP9">
        <v>5.5</v>
      </c>
      <c r="AQ9">
        <v>6.5</v>
      </c>
      <c r="AR9">
        <v>8</v>
      </c>
      <c r="AS9">
        <v>7</v>
      </c>
      <c r="AT9">
        <v>6.5</v>
      </c>
      <c r="AU9">
        <v>8</v>
      </c>
      <c r="AV9">
        <v>7</v>
      </c>
      <c r="AW9">
        <v>7</v>
      </c>
      <c r="AX9">
        <v>7</v>
      </c>
      <c r="AY9">
        <v>6.5</v>
      </c>
      <c r="AZ9">
        <v>8.5</v>
      </c>
      <c r="BA9">
        <v>10</v>
      </c>
      <c r="BB9">
        <v>6.5</v>
      </c>
      <c r="BC9">
        <v>5</v>
      </c>
      <c r="BD9">
        <v>6.5</v>
      </c>
      <c r="BE9">
        <v>8</v>
      </c>
      <c r="BF9">
        <v>6.5</v>
      </c>
      <c r="BG9">
        <v>5.5</v>
      </c>
      <c r="BH9" t="s">
        <v>26</v>
      </c>
      <c r="BI9" t="s">
        <v>26</v>
      </c>
      <c r="BJ9" t="s">
        <v>26</v>
      </c>
      <c r="BK9">
        <v>6.5</v>
      </c>
      <c r="BL9">
        <v>7</v>
      </c>
      <c r="BM9" t="s">
        <v>26</v>
      </c>
      <c r="BN9" t="s">
        <v>26</v>
      </c>
      <c r="BO9">
        <v>6.5</v>
      </c>
      <c r="BP9">
        <v>6.5</v>
      </c>
      <c r="BQ9">
        <v>7</v>
      </c>
      <c r="BR9">
        <v>6.5</v>
      </c>
      <c r="BS9">
        <v>7</v>
      </c>
      <c r="BT9">
        <v>7</v>
      </c>
      <c r="BU9">
        <v>8</v>
      </c>
      <c r="BV9">
        <v>6.5</v>
      </c>
      <c r="BW9">
        <v>6.5</v>
      </c>
      <c r="BX9">
        <v>8</v>
      </c>
      <c r="BY9" t="s">
        <v>26</v>
      </c>
      <c r="BZ9">
        <v>7</v>
      </c>
      <c r="CA9">
        <v>6.5</v>
      </c>
      <c r="CB9">
        <v>7</v>
      </c>
      <c r="CD9">
        <v>5.5</v>
      </c>
      <c r="CE9">
        <v>9</v>
      </c>
      <c r="CF9">
        <v>7</v>
      </c>
      <c r="CG9">
        <v>8</v>
      </c>
      <c r="CH9">
        <v>7.5</v>
      </c>
      <c r="CI9">
        <v>6.5</v>
      </c>
      <c r="CJ9">
        <v>5.5</v>
      </c>
      <c r="CK9">
        <v>6.5</v>
      </c>
      <c r="CL9">
        <v>5.5</v>
      </c>
      <c r="CN9">
        <f>COUNT(B9:CL9)</f>
        <v>71</v>
      </c>
      <c r="CO9" s="18">
        <f>AVERAGE(B9:CL9)</f>
        <v>7.267605633802817</v>
      </c>
      <c r="CP9">
        <f t="shared" si="2"/>
        <v>1.1294250579557983</v>
      </c>
      <c r="CQ9">
        <v>1</v>
      </c>
      <c r="CR9">
        <f t="shared" si="3"/>
        <v>4</v>
      </c>
      <c r="CS9">
        <f t="shared" si="4"/>
        <v>0</v>
      </c>
    </row>
    <row r="10" spans="1:97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N10">
        <f t="shared" si="5"/>
        <v>62</v>
      </c>
      <c r="CO10" s="18">
        <f t="shared" si="6"/>
        <v>5.717741935483871</v>
      </c>
      <c r="CP10">
        <f t="shared" si="2"/>
        <v>1.3617531291315086</v>
      </c>
      <c r="CQ10">
        <v>1</v>
      </c>
      <c r="CR10">
        <f t="shared" si="3"/>
        <v>1</v>
      </c>
      <c r="CS10">
        <f t="shared" si="4"/>
        <v>0</v>
      </c>
    </row>
    <row r="11" spans="1:97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N11">
        <f t="shared" si="5"/>
        <v>59</v>
      </c>
      <c r="CO11" s="18">
        <f t="shared" si="6"/>
        <v>6.6779661016949152</v>
      </c>
      <c r="CP11">
        <f t="shared" si="2"/>
        <v>1.0072574989410263</v>
      </c>
      <c r="CQ11">
        <v>1</v>
      </c>
      <c r="CR11">
        <f t="shared" si="3"/>
        <v>2</v>
      </c>
      <c r="CS11">
        <f t="shared" si="4"/>
        <v>0</v>
      </c>
    </row>
    <row r="12" spans="1:97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N12">
        <f>COUNT(B12:CL12)</f>
        <v>56</v>
      </c>
      <c r="CO12" s="18">
        <f>AVERAGE(B12:CL12)</f>
        <v>5.4821428571428568</v>
      </c>
      <c r="CP12">
        <f t="shared" si="2"/>
        <v>1.0254583642020354</v>
      </c>
      <c r="CQ12">
        <v>1</v>
      </c>
      <c r="CR12">
        <f t="shared" si="3"/>
        <v>2</v>
      </c>
      <c r="CS12">
        <f t="shared" si="4"/>
        <v>0</v>
      </c>
    </row>
    <row r="13" spans="1:97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N13">
        <f>COUNT(B13:CL13)</f>
        <v>54</v>
      </c>
      <c r="CO13" s="18">
        <f>AVERAGE(B13:CL13)</f>
        <v>6.3796296296296298</v>
      </c>
      <c r="CP13">
        <f t="shared" si="2"/>
        <v>1.1769469323774333</v>
      </c>
      <c r="CQ13">
        <v>1</v>
      </c>
      <c r="CR13">
        <f t="shared" si="3"/>
        <v>3</v>
      </c>
      <c r="CS13">
        <f t="shared" si="4"/>
        <v>0</v>
      </c>
    </row>
    <row r="14" spans="1:97" x14ac:dyDescent="0.35">
      <c r="A14" t="s">
        <v>25</v>
      </c>
      <c r="B14" t="s">
        <v>26</v>
      </c>
      <c r="C14" t="s">
        <v>26</v>
      </c>
      <c r="D14" t="s">
        <v>26</v>
      </c>
      <c r="E14">
        <v>3.5</v>
      </c>
      <c r="F14">
        <v>5.5</v>
      </c>
      <c r="G14">
        <v>3</v>
      </c>
      <c r="H14" t="s">
        <v>26</v>
      </c>
      <c r="I14" t="s">
        <v>26</v>
      </c>
      <c r="J14">
        <v>3.5</v>
      </c>
      <c r="K14" t="s">
        <v>26</v>
      </c>
      <c r="L14">
        <v>1</v>
      </c>
      <c r="M14">
        <v>3.5</v>
      </c>
      <c r="N14">
        <v>5</v>
      </c>
      <c r="O14">
        <v>5.5</v>
      </c>
      <c r="P14">
        <v>3.5</v>
      </c>
      <c r="Q14" t="s">
        <v>26</v>
      </c>
      <c r="R14" t="s">
        <v>26</v>
      </c>
      <c r="S14">
        <v>3</v>
      </c>
      <c r="T14">
        <v>5.5</v>
      </c>
      <c r="U14">
        <v>1</v>
      </c>
      <c r="V14">
        <v>5</v>
      </c>
      <c r="W14">
        <v>5.5</v>
      </c>
      <c r="X14">
        <v>5.5</v>
      </c>
      <c r="Y14" t="s">
        <v>26</v>
      </c>
      <c r="Z14">
        <v>5</v>
      </c>
      <c r="AA14" t="s">
        <v>26</v>
      </c>
      <c r="AB14" t="s">
        <v>26</v>
      </c>
      <c r="AC14">
        <v>3</v>
      </c>
      <c r="AD14">
        <v>3.5</v>
      </c>
      <c r="AE14">
        <v>4</v>
      </c>
      <c r="AF14">
        <v>2</v>
      </c>
      <c r="AG14">
        <v>2.5</v>
      </c>
      <c r="AH14">
        <v>5.5</v>
      </c>
      <c r="AI14" t="s">
        <v>26</v>
      </c>
      <c r="AJ14" t="s">
        <v>26</v>
      </c>
      <c r="AK14">
        <v>5.5</v>
      </c>
      <c r="AL14">
        <v>2</v>
      </c>
      <c r="AM14">
        <v>4</v>
      </c>
      <c r="AN14" t="s">
        <v>26</v>
      </c>
      <c r="AO14">
        <v>6.5</v>
      </c>
      <c r="AP14">
        <v>6.5</v>
      </c>
      <c r="AQ14">
        <v>4</v>
      </c>
      <c r="AR14">
        <v>3.5</v>
      </c>
      <c r="AS14" t="s">
        <v>26</v>
      </c>
      <c r="AT14">
        <v>5.5</v>
      </c>
      <c r="AU14">
        <v>4</v>
      </c>
      <c r="AV14" t="s">
        <v>26</v>
      </c>
      <c r="AW14" t="s">
        <v>26</v>
      </c>
      <c r="AX14">
        <v>6.5</v>
      </c>
      <c r="AY14">
        <v>5</v>
      </c>
      <c r="AZ14">
        <v>5</v>
      </c>
      <c r="BA14">
        <v>5.5</v>
      </c>
      <c r="BB14" t="s">
        <v>26</v>
      </c>
      <c r="BC14">
        <v>4</v>
      </c>
      <c r="BD14" t="s">
        <v>26</v>
      </c>
      <c r="BE14">
        <v>5</v>
      </c>
      <c r="BF14" t="s">
        <v>26</v>
      </c>
      <c r="BG14" t="s">
        <v>26</v>
      </c>
      <c r="BH14" t="s">
        <v>26</v>
      </c>
      <c r="BI14" t="s">
        <v>26</v>
      </c>
      <c r="BJ14" t="s">
        <v>26</v>
      </c>
      <c r="BK14">
        <v>5</v>
      </c>
      <c r="BL14">
        <v>4</v>
      </c>
      <c r="BM14">
        <v>5.5</v>
      </c>
      <c r="BN14" t="s">
        <v>26</v>
      </c>
      <c r="BO14">
        <v>5</v>
      </c>
      <c r="BP14" t="s">
        <v>26</v>
      </c>
      <c r="BQ14" t="s">
        <v>26</v>
      </c>
      <c r="BR14">
        <v>5</v>
      </c>
      <c r="BS14" t="s">
        <v>26</v>
      </c>
      <c r="BT14">
        <v>5.5</v>
      </c>
      <c r="BU14" t="s">
        <v>26</v>
      </c>
      <c r="BV14" t="s">
        <v>26</v>
      </c>
      <c r="BW14" t="s">
        <v>26</v>
      </c>
      <c r="BX14" t="s">
        <v>26</v>
      </c>
      <c r="BY14" t="s">
        <v>26</v>
      </c>
      <c r="BZ14" t="s">
        <v>26</v>
      </c>
      <c r="CA14">
        <v>5.5</v>
      </c>
      <c r="CB14" t="s">
        <v>26</v>
      </c>
      <c r="CC14">
        <v>4.5</v>
      </c>
      <c r="CE14">
        <v>5</v>
      </c>
      <c r="CF14">
        <v>5.5</v>
      </c>
      <c r="CN14">
        <f t="shared" si="5"/>
        <v>47</v>
      </c>
      <c r="CO14" s="18">
        <f t="shared" si="6"/>
        <v>4.4255319148936172</v>
      </c>
      <c r="CP14">
        <f t="shared" si="2"/>
        <v>1.3391217246854428</v>
      </c>
      <c r="CQ14">
        <v>1</v>
      </c>
      <c r="CR14">
        <f t="shared" si="3"/>
        <v>0</v>
      </c>
      <c r="CS14">
        <f t="shared" si="4"/>
        <v>0</v>
      </c>
    </row>
    <row r="15" spans="1:97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f>COUNT(B15:CL15)</f>
        <v>46</v>
      </c>
      <c r="CO15" s="18">
        <f>AVERAGE(B15:CL15)</f>
        <v>6.0652173913043477</v>
      </c>
      <c r="CP15">
        <f t="shared" si="2"/>
        <v>0.9573434129174403</v>
      </c>
      <c r="CQ15">
        <v>1</v>
      </c>
      <c r="CR15">
        <f t="shared" si="3"/>
        <v>4</v>
      </c>
      <c r="CS15">
        <f t="shared" si="4"/>
        <v>0</v>
      </c>
    </row>
    <row r="16" spans="1:97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</v>
      </c>
      <c r="G16">
        <v>3.5</v>
      </c>
      <c r="H16">
        <v>5.5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5.5</v>
      </c>
      <c r="T16">
        <v>5.5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E16" t="s">
        <v>26</v>
      </c>
      <c r="AF16" t="s">
        <v>26</v>
      </c>
      <c r="AG16">
        <v>8</v>
      </c>
      <c r="AH16" t="s">
        <v>26</v>
      </c>
      <c r="AI16">
        <v>4</v>
      </c>
      <c r="AJ16">
        <v>3.5</v>
      </c>
      <c r="AK16">
        <v>2.5</v>
      </c>
      <c r="AL16">
        <v>5.5</v>
      </c>
      <c r="AM16" t="s">
        <v>26</v>
      </c>
      <c r="AN16">
        <v>5.5</v>
      </c>
      <c r="AO16">
        <v>5.5</v>
      </c>
      <c r="AP16" t="s">
        <v>26</v>
      </c>
      <c r="AQ16" t="s">
        <v>26</v>
      </c>
      <c r="AR16" t="s">
        <v>26</v>
      </c>
      <c r="AS16" t="s">
        <v>26</v>
      </c>
      <c r="AT16" t="s">
        <v>26</v>
      </c>
      <c r="AU16" t="s">
        <v>26</v>
      </c>
      <c r="AV16" t="s">
        <v>26</v>
      </c>
      <c r="AW16">
        <v>5</v>
      </c>
      <c r="AX16">
        <v>5</v>
      </c>
      <c r="AY16">
        <v>5</v>
      </c>
      <c r="AZ16">
        <v>5</v>
      </c>
      <c r="BA16" t="s">
        <v>26</v>
      </c>
      <c r="BB16">
        <v>6.5</v>
      </c>
      <c r="BC16">
        <v>2</v>
      </c>
      <c r="BD16" t="s">
        <v>26</v>
      </c>
      <c r="BE16">
        <v>4</v>
      </c>
      <c r="BF16">
        <v>5.5</v>
      </c>
      <c r="BG16">
        <v>3.5</v>
      </c>
      <c r="BH16">
        <v>4</v>
      </c>
      <c r="BI16">
        <v>5.5</v>
      </c>
      <c r="BJ16">
        <v>5</v>
      </c>
      <c r="BK16">
        <v>5.5</v>
      </c>
      <c r="BL16">
        <v>5</v>
      </c>
      <c r="BM16" t="s">
        <v>26</v>
      </c>
      <c r="BN16" t="s">
        <v>26</v>
      </c>
      <c r="BO16">
        <v>4</v>
      </c>
      <c r="BP16">
        <v>5.5</v>
      </c>
      <c r="BQ16">
        <v>5</v>
      </c>
      <c r="BR16" t="s">
        <v>26</v>
      </c>
      <c r="BS16">
        <v>5</v>
      </c>
      <c r="BT16">
        <v>5</v>
      </c>
      <c r="BU16" t="s">
        <v>26</v>
      </c>
      <c r="BV16">
        <v>4</v>
      </c>
      <c r="BW16" t="s">
        <v>26</v>
      </c>
      <c r="BX16">
        <v>5.5</v>
      </c>
      <c r="BY16" t="s">
        <v>26</v>
      </c>
      <c r="BZ16" t="s">
        <v>26</v>
      </c>
      <c r="CA16" t="s">
        <v>26</v>
      </c>
      <c r="CB16">
        <v>5.5</v>
      </c>
      <c r="CC16">
        <v>5.5</v>
      </c>
      <c r="CD16">
        <v>4.5</v>
      </c>
      <c r="CE16">
        <v>5.5</v>
      </c>
      <c r="CG16">
        <v>6</v>
      </c>
      <c r="CH16">
        <v>6.5</v>
      </c>
      <c r="CI16">
        <v>5.5</v>
      </c>
      <c r="CJ16">
        <v>4.5</v>
      </c>
      <c r="CK16">
        <v>5.5</v>
      </c>
      <c r="CL16">
        <v>6</v>
      </c>
      <c r="CN16">
        <f>COUNT(B16:CL16)</f>
        <v>44</v>
      </c>
      <c r="CO16" s="18">
        <f>AVERAGE(B16:CL16)</f>
        <v>5.0113636363636367</v>
      </c>
      <c r="CP16">
        <f t="shared" si="2"/>
        <v>1.0645089158214895</v>
      </c>
      <c r="CQ16">
        <v>1</v>
      </c>
      <c r="CR16">
        <f t="shared" si="3"/>
        <v>4</v>
      </c>
      <c r="CS16">
        <f t="shared" si="4"/>
        <v>0</v>
      </c>
    </row>
    <row r="17" spans="1:97" x14ac:dyDescent="0.35">
      <c r="A17" t="s">
        <v>84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  <c r="U17" t="s">
        <v>26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>
        <v>3.5</v>
      </c>
      <c r="AC17">
        <v>5.5</v>
      </c>
      <c r="AD17" t="s">
        <v>26</v>
      </c>
      <c r="AE17">
        <v>8</v>
      </c>
      <c r="AF17">
        <v>7</v>
      </c>
      <c r="AG17">
        <v>8</v>
      </c>
      <c r="AH17">
        <v>5.5</v>
      </c>
      <c r="AI17">
        <v>6.5</v>
      </c>
      <c r="AJ17" t="s">
        <v>26</v>
      </c>
      <c r="AK17" t="s">
        <v>26</v>
      </c>
      <c r="AL17">
        <v>5.5</v>
      </c>
      <c r="AM17" t="s">
        <v>26</v>
      </c>
      <c r="AN17" t="s">
        <v>26</v>
      </c>
      <c r="AO17">
        <v>6.5</v>
      </c>
      <c r="AP17">
        <v>7</v>
      </c>
      <c r="AQ17">
        <v>6.5</v>
      </c>
      <c r="AR17" t="s">
        <v>26</v>
      </c>
      <c r="AS17" t="s">
        <v>26</v>
      </c>
      <c r="AT17">
        <v>5</v>
      </c>
      <c r="AU17">
        <v>5.5</v>
      </c>
      <c r="AV17">
        <v>5.5</v>
      </c>
      <c r="AW17">
        <v>5</v>
      </c>
      <c r="AX17">
        <v>5.5</v>
      </c>
      <c r="AY17" t="s">
        <v>26</v>
      </c>
      <c r="AZ17">
        <v>5.5</v>
      </c>
      <c r="BA17">
        <v>6.5</v>
      </c>
      <c r="BB17">
        <v>6.5</v>
      </c>
      <c r="BC17">
        <v>4</v>
      </c>
      <c r="BD17">
        <v>5</v>
      </c>
      <c r="BE17">
        <v>5</v>
      </c>
      <c r="BF17">
        <v>5</v>
      </c>
      <c r="BG17">
        <v>5.5</v>
      </c>
      <c r="BH17" t="s">
        <v>26</v>
      </c>
      <c r="BI17">
        <v>5</v>
      </c>
      <c r="BJ17" t="s">
        <v>26</v>
      </c>
      <c r="BK17" t="s">
        <v>26</v>
      </c>
      <c r="BL17">
        <v>5.5</v>
      </c>
      <c r="BM17">
        <v>5.5</v>
      </c>
      <c r="BN17">
        <v>6.5</v>
      </c>
      <c r="BO17">
        <v>5.5</v>
      </c>
      <c r="BP17" t="s">
        <v>26</v>
      </c>
      <c r="BQ17">
        <v>5.5</v>
      </c>
      <c r="BR17">
        <v>5</v>
      </c>
      <c r="BS17" t="s">
        <v>26</v>
      </c>
      <c r="BT17" t="s">
        <v>26</v>
      </c>
      <c r="BU17" t="s">
        <v>26</v>
      </c>
      <c r="BV17" t="s">
        <v>26</v>
      </c>
      <c r="BW17">
        <v>5.5</v>
      </c>
      <c r="BX17" t="s">
        <v>26</v>
      </c>
      <c r="BY17" t="s">
        <v>26</v>
      </c>
      <c r="BZ17" t="s">
        <v>26</v>
      </c>
      <c r="CA17">
        <v>5.5</v>
      </c>
      <c r="CB17">
        <v>6.5</v>
      </c>
      <c r="CC17">
        <v>6</v>
      </c>
      <c r="CD17">
        <v>5.5</v>
      </c>
      <c r="CJ17">
        <v>6</v>
      </c>
      <c r="CK17">
        <v>6.5</v>
      </c>
      <c r="CN17">
        <f t="shared" si="5"/>
        <v>36</v>
      </c>
      <c r="CO17" s="18">
        <f t="shared" si="6"/>
        <v>5.7361111111111107</v>
      </c>
      <c r="CP17">
        <f t="shared" si="2"/>
        <v>0.92956296268047622</v>
      </c>
      <c r="CQ17">
        <v>1</v>
      </c>
      <c r="CR17">
        <f t="shared" si="3"/>
        <v>1</v>
      </c>
      <c r="CS17">
        <f t="shared" si="4"/>
        <v>0</v>
      </c>
    </row>
    <row r="18" spans="1:97" x14ac:dyDescent="0.35">
      <c r="A18" t="s">
        <v>15</v>
      </c>
      <c r="B18">
        <v>7</v>
      </c>
      <c r="C18">
        <v>5</v>
      </c>
      <c r="D18" t="s">
        <v>26</v>
      </c>
      <c r="E18" t="s">
        <v>26</v>
      </c>
      <c r="F18" t="s">
        <v>26</v>
      </c>
      <c r="G18">
        <v>5.5</v>
      </c>
      <c r="H18">
        <v>3.5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>
        <v>5.5</v>
      </c>
      <c r="Q18">
        <v>5</v>
      </c>
      <c r="R18">
        <v>7</v>
      </c>
      <c r="S18">
        <v>5.5</v>
      </c>
      <c r="T18">
        <v>5.5</v>
      </c>
      <c r="U18">
        <v>7</v>
      </c>
      <c r="V18">
        <v>5</v>
      </c>
      <c r="W18">
        <v>5.5</v>
      </c>
      <c r="X18">
        <v>5</v>
      </c>
      <c r="Y18">
        <v>7</v>
      </c>
      <c r="Z18" t="s">
        <v>26</v>
      </c>
      <c r="AA18">
        <v>7</v>
      </c>
      <c r="AB18">
        <v>5.5</v>
      </c>
      <c r="AC18" t="s">
        <v>26</v>
      </c>
      <c r="AD18">
        <v>5.5</v>
      </c>
      <c r="AE18" t="s">
        <v>26</v>
      </c>
      <c r="AF18" t="s">
        <v>26</v>
      </c>
      <c r="AG18" t="s">
        <v>26</v>
      </c>
      <c r="AH18" t="s">
        <v>26</v>
      </c>
      <c r="AI18" t="s">
        <v>26</v>
      </c>
      <c r="AJ18" t="s">
        <v>26</v>
      </c>
      <c r="AK18" t="s">
        <v>26</v>
      </c>
      <c r="AL18" t="s">
        <v>26</v>
      </c>
      <c r="AM18" t="s">
        <v>26</v>
      </c>
      <c r="AN18" t="s">
        <v>26</v>
      </c>
      <c r="AO18" t="s">
        <v>26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 t="s">
        <v>26</v>
      </c>
      <c r="AX18" t="s">
        <v>26</v>
      </c>
      <c r="AY18" t="s">
        <v>26</v>
      </c>
      <c r="AZ18" t="s">
        <v>26</v>
      </c>
      <c r="BA18" t="s">
        <v>26</v>
      </c>
      <c r="BB18">
        <v>3.5</v>
      </c>
      <c r="BC18">
        <v>4</v>
      </c>
      <c r="BD18">
        <v>5.5</v>
      </c>
      <c r="BE18">
        <v>8.5</v>
      </c>
      <c r="BF18" t="s">
        <v>26</v>
      </c>
      <c r="BG18" t="s">
        <v>26</v>
      </c>
      <c r="BH18">
        <v>5.5</v>
      </c>
      <c r="BI18" t="s">
        <v>26</v>
      </c>
      <c r="BJ18">
        <v>5</v>
      </c>
      <c r="BK18">
        <v>6.5</v>
      </c>
      <c r="BL18">
        <v>5.5</v>
      </c>
      <c r="BM18">
        <v>5.5</v>
      </c>
      <c r="BN18">
        <v>6.5</v>
      </c>
      <c r="BO18" t="s">
        <v>26</v>
      </c>
      <c r="BP18" t="s">
        <v>26</v>
      </c>
      <c r="BQ18" t="s">
        <v>26</v>
      </c>
      <c r="BR18">
        <v>5.5</v>
      </c>
      <c r="BS18">
        <v>5.5</v>
      </c>
      <c r="BT18" t="s">
        <v>26</v>
      </c>
      <c r="BU18" t="s">
        <v>26</v>
      </c>
      <c r="BV18" t="s">
        <v>26</v>
      </c>
      <c r="BW18">
        <v>6.5</v>
      </c>
      <c r="BX18">
        <v>5.5</v>
      </c>
      <c r="BY18">
        <v>5.5</v>
      </c>
      <c r="BZ18" t="s">
        <v>26</v>
      </c>
      <c r="CA18">
        <v>5</v>
      </c>
      <c r="CB18">
        <v>5.5</v>
      </c>
      <c r="CC18">
        <v>5</v>
      </c>
      <c r="CI18">
        <v>5</v>
      </c>
      <c r="CJ18">
        <v>6</v>
      </c>
      <c r="CK18">
        <v>6</v>
      </c>
      <c r="CL18">
        <v>6</v>
      </c>
      <c r="CN18">
        <f t="shared" si="5"/>
        <v>36</v>
      </c>
      <c r="CO18" s="18">
        <f t="shared" si="6"/>
        <v>5.6111111111111107</v>
      </c>
      <c r="CP18">
        <f t="shared" si="2"/>
        <v>1.0098256776095882</v>
      </c>
      <c r="CQ18">
        <v>1</v>
      </c>
      <c r="CR18">
        <f t="shared" si="3"/>
        <v>2</v>
      </c>
      <c r="CS18">
        <f t="shared" si="4"/>
        <v>0</v>
      </c>
    </row>
    <row r="19" spans="1:97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5.5</v>
      </c>
      <c r="I19">
        <v>5</v>
      </c>
      <c r="J19">
        <v>5</v>
      </c>
      <c r="K19">
        <v>3</v>
      </c>
      <c r="L19" t="s">
        <v>26</v>
      </c>
      <c r="M19">
        <v>3</v>
      </c>
      <c r="N19">
        <v>3.5</v>
      </c>
      <c r="O19">
        <v>8</v>
      </c>
      <c r="P19">
        <v>7</v>
      </c>
      <c r="Q19">
        <v>3.5</v>
      </c>
      <c r="R19" t="s">
        <v>26</v>
      </c>
      <c r="S19" t="s">
        <v>26</v>
      </c>
      <c r="T19" t="s">
        <v>26</v>
      </c>
      <c r="U19">
        <v>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 t="s">
        <v>26</v>
      </c>
      <c r="AH19">
        <v>5.5</v>
      </c>
      <c r="AI19">
        <v>6.5</v>
      </c>
      <c r="AJ19">
        <v>3.5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 t="s">
        <v>26</v>
      </c>
      <c r="AX19" t="s">
        <v>26</v>
      </c>
      <c r="AY19" t="s">
        <v>26</v>
      </c>
      <c r="AZ19" t="s">
        <v>26</v>
      </c>
      <c r="BA19" t="s">
        <v>26</v>
      </c>
      <c r="BB19" t="s">
        <v>26</v>
      </c>
      <c r="BC19" t="s">
        <v>26</v>
      </c>
      <c r="BD19" t="s">
        <v>26</v>
      </c>
      <c r="BE19" t="s">
        <v>26</v>
      </c>
      <c r="BF19">
        <v>3.5</v>
      </c>
      <c r="BG19">
        <v>5</v>
      </c>
      <c r="BH19">
        <v>4</v>
      </c>
      <c r="BI19">
        <v>5.5</v>
      </c>
      <c r="BJ19">
        <v>3.5</v>
      </c>
      <c r="BK19">
        <v>4</v>
      </c>
      <c r="BL19">
        <v>5.5</v>
      </c>
      <c r="BM19" t="s">
        <v>26</v>
      </c>
      <c r="BN19" t="s">
        <v>26</v>
      </c>
      <c r="BO19">
        <v>5.5</v>
      </c>
      <c r="BP19" t="s">
        <v>26</v>
      </c>
      <c r="BQ19">
        <v>8.5</v>
      </c>
      <c r="BR19">
        <v>5</v>
      </c>
      <c r="BS19" t="s">
        <v>26</v>
      </c>
      <c r="BT19">
        <v>5.5</v>
      </c>
      <c r="BU19">
        <v>6.5</v>
      </c>
      <c r="BV19">
        <v>5</v>
      </c>
      <c r="BW19" t="s">
        <v>26</v>
      </c>
      <c r="BX19">
        <v>5.5</v>
      </c>
      <c r="BY19">
        <v>5.5</v>
      </c>
      <c r="BZ19" t="s">
        <v>26</v>
      </c>
      <c r="CA19">
        <v>5.5</v>
      </c>
      <c r="CB19">
        <v>5.5</v>
      </c>
      <c r="CC19">
        <v>4</v>
      </c>
      <c r="CD19">
        <v>6.5</v>
      </c>
      <c r="CE19">
        <v>6</v>
      </c>
      <c r="CF19">
        <v>6</v>
      </c>
      <c r="CH19">
        <v>5.5</v>
      </c>
      <c r="CI19">
        <v>6</v>
      </c>
      <c r="CJ19">
        <v>5.5</v>
      </c>
      <c r="CN19">
        <f>COUNT(B19:CJ19)</f>
        <v>37</v>
      </c>
      <c r="CO19" s="18">
        <f>AVERAGE(B19:CJ19)</f>
        <v>5.2027027027027026</v>
      </c>
      <c r="CP19">
        <f t="shared" si="2"/>
        <v>1.3241383031954423</v>
      </c>
      <c r="CQ19">
        <v>1</v>
      </c>
      <c r="CR19">
        <f t="shared" si="3"/>
        <v>3</v>
      </c>
      <c r="CS19">
        <f t="shared" si="4"/>
        <v>0</v>
      </c>
    </row>
    <row r="20" spans="1:97" x14ac:dyDescent="0.35">
      <c r="A20" t="s">
        <v>367</v>
      </c>
      <c r="B20">
        <v>9.5</v>
      </c>
      <c r="C20" t="s">
        <v>26</v>
      </c>
      <c r="D20" t="s">
        <v>26</v>
      </c>
      <c r="E20">
        <v>7</v>
      </c>
      <c r="F20">
        <v>7</v>
      </c>
      <c r="G20" t="s">
        <v>26</v>
      </c>
      <c r="H20">
        <v>10</v>
      </c>
      <c r="I20">
        <v>7</v>
      </c>
      <c r="J20" t="s">
        <v>26</v>
      </c>
      <c r="K20">
        <v>5.5</v>
      </c>
      <c r="L20">
        <v>7</v>
      </c>
      <c r="M20">
        <v>5.5</v>
      </c>
      <c r="N20">
        <v>5.5</v>
      </c>
      <c r="O20">
        <v>5.5</v>
      </c>
      <c r="P20">
        <v>7</v>
      </c>
      <c r="Q20">
        <v>5</v>
      </c>
      <c r="R20">
        <v>8</v>
      </c>
      <c r="S20">
        <v>7</v>
      </c>
      <c r="T20">
        <v>7</v>
      </c>
      <c r="U20">
        <v>5.5</v>
      </c>
      <c r="V20">
        <v>7</v>
      </c>
      <c r="W20">
        <v>7</v>
      </c>
      <c r="X20">
        <v>7</v>
      </c>
      <c r="Y20" t="s">
        <v>26</v>
      </c>
      <c r="Z20">
        <v>5.5</v>
      </c>
      <c r="AA20">
        <v>5.5</v>
      </c>
      <c r="AB20" t="s">
        <v>26</v>
      </c>
      <c r="AC20">
        <v>5.5</v>
      </c>
      <c r="AD20" t="s">
        <v>26</v>
      </c>
      <c r="AE20" t="s">
        <v>26</v>
      </c>
      <c r="AF20">
        <v>8.5</v>
      </c>
      <c r="AG20">
        <v>6.5</v>
      </c>
      <c r="AH20">
        <v>6.5</v>
      </c>
      <c r="AI20">
        <v>6.5</v>
      </c>
      <c r="AJ20">
        <v>6.5</v>
      </c>
      <c r="AK20">
        <v>8</v>
      </c>
      <c r="AL20">
        <v>5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>
        <v>5</v>
      </c>
      <c r="AW20">
        <v>5</v>
      </c>
      <c r="AX20">
        <v>5.5</v>
      </c>
      <c r="AY20">
        <v>6.5</v>
      </c>
      <c r="AZ20">
        <v>6.5</v>
      </c>
      <c r="BA20">
        <v>5.5</v>
      </c>
      <c r="BB20" t="s">
        <v>26</v>
      </c>
      <c r="BC20" t="s">
        <v>26</v>
      </c>
      <c r="BD20">
        <v>5</v>
      </c>
      <c r="BE20">
        <v>7</v>
      </c>
      <c r="BF20">
        <v>8</v>
      </c>
      <c r="BG20">
        <v>6.5</v>
      </c>
      <c r="BH20">
        <v>5.5</v>
      </c>
      <c r="BI20" t="s">
        <v>26</v>
      </c>
      <c r="BJ20" t="s">
        <v>26</v>
      </c>
      <c r="BK20">
        <v>5</v>
      </c>
      <c r="BL20">
        <v>5.5</v>
      </c>
      <c r="BM20">
        <v>6.5</v>
      </c>
      <c r="BN20">
        <v>6.5</v>
      </c>
      <c r="BO20">
        <v>5.5</v>
      </c>
      <c r="BP20">
        <v>6.5</v>
      </c>
      <c r="BQ20">
        <v>5.5</v>
      </c>
      <c r="BR20">
        <v>5</v>
      </c>
      <c r="BS20">
        <v>6.5</v>
      </c>
      <c r="BT20">
        <v>5.5</v>
      </c>
      <c r="BU20" t="s">
        <v>26</v>
      </c>
      <c r="BV20">
        <v>6.5</v>
      </c>
      <c r="BW20">
        <v>5.5</v>
      </c>
      <c r="BX20" t="s">
        <v>26</v>
      </c>
      <c r="BY20">
        <v>5.5</v>
      </c>
      <c r="BZ20" t="s">
        <v>26</v>
      </c>
      <c r="CA20" t="s">
        <v>26</v>
      </c>
      <c r="CB20">
        <v>5.5</v>
      </c>
      <c r="CI20">
        <v>6.5</v>
      </c>
      <c r="CJ20">
        <v>6</v>
      </c>
      <c r="CN20">
        <f t="shared" si="5"/>
        <v>55</v>
      </c>
      <c r="CO20" s="18">
        <f t="shared" si="6"/>
        <v>6.3181818181818183</v>
      </c>
      <c r="CP20">
        <f t="shared" si="2"/>
        <v>1.1213885273224193</v>
      </c>
      <c r="CQ20">
        <v>0</v>
      </c>
      <c r="CR20">
        <f t="shared" si="3"/>
        <v>2</v>
      </c>
      <c r="CS20">
        <f t="shared" si="4"/>
        <v>2</v>
      </c>
    </row>
    <row r="21" spans="1:97" x14ac:dyDescent="0.35">
      <c r="A21" t="s">
        <v>14</v>
      </c>
      <c r="B21">
        <v>7</v>
      </c>
      <c r="C21" t="s">
        <v>26</v>
      </c>
      <c r="D21">
        <v>8</v>
      </c>
      <c r="E21" t="s">
        <v>26</v>
      </c>
      <c r="F21">
        <v>5.5</v>
      </c>
      <c r="G21">
        <v>7</v>
      </c>
      <c r="H21">
        <v>3.5</v>
      </c>
      <c r="I21">
        <v>5</v>
      </c>
      <c r="J21" t="s">
        <v>26</v>
      </c>
      <c r="K21">
        <v>5.5</v>
      </c>
      <c r="L21">
        <v>5.5</v>
      </c>
      <c r="M21">
        <v>5.5</v>
      </c>
      <c r="N21" t="s">
        <v>26</v>
      </c>
      <c r="O21">
        <v>5.5</v>
      </c>
      <c r="P21">
        <v>5</v>
      </c>
      <c r="Q21">
        <v>5</v>
      </c>
      <c r="R21">
        <v>5.5</v>
      </c>
      <c r="S21">
        <v>3.5</v>
      </c>
      <c r="T21">
        <v>7</v>
      </c>
      <c r="U21" t="s">
        <v>26</v>
      </c>
      <c r="V21">
        <v>5.5</v>
      </c>
      <c r="W21" t="s">
        <v>26</v>
      </c>
      <c r="X21">
        <v>7</v>
      </c>
      <c r="Y21">
        <v>5.5</v>
      </c>
      <c r="Z21" t="s">
        <v>26</v>
      </c>
      <c r="AA21">
        <v>5.5</v>
      </c>
      <c r="AB21">
        <v>5</v>
      </c>
      <c r="AC21">
        <v>5.5</v>
      </c>
      <c r="AD21">
        <v>5</v>
      </c>
      <c r="AE21" t="s">
        <v>26</v>
      </c>
      <c r="AF21" t="s">
        <v>26</v>
      </c>
      <c r="AG21" t="s">
        <v>26</v>
      </c>
      <c r="AH21" t="s">
        <v>26</v>
      </c>
      <c r="AI21">
        <v>5.5</v>
      </c>
      <c r="AJ21" t="s">
        <v>26</v>
      </c>
      <c r="AK21" t="s">
        <v>26</v>
      </c>
      <c r="AL21">
        <v>6.5</v>
      </c>
      <c r="AM21">
        <v>5.5</v>
      </c>
      <c r="AN21">
        <v>5.5</v>
      </c>
      <c r="AO21">
        <v>5.5</v>
      </c>
      <c r="AP21">
        <v>5.5</v>
      </c>
      <c r="AQ21">
        <v>5.5</v>
      </c>
      <c r="AR21">
        <v>5</v>
      </c>
      <c r="AS21">
        <v>6.5</v>
      </c>
      <c r="AT21">
        <v>6.5</v>
      </c>
      <c r="AU21" t="s">
        <v>26</v>
      </c>
      <c r="AV21">
        <v>5.5</v>
      </c>
      <c r="AW21" t="s">
        <v>26</v>
      </c>
      <c r="AX21" t="s">
        <v>26</v>
      </c>
      <c r="AY21">
        <v>5</v>
      </c>
      <c r="AZ21">
        <v>5.5</v>
      </c>
      <c r="BA21" t="s">
        <v>26</v>
      </c>
      <c r="BB21">
        <v>5.5</v>
      </c>
      <c r="BC21">
        <v>7</v>
      </c>
      <c r="BD21">
        <v>7</v>
      </c>
      <c r="BE21">
        <v>7</v>
      </c>
      <c r="BF21">
        <v>5.5</v>
      </c>
      <c r="BG21">
        <v>6.5</v>
      </c>
      <c r="BH21">
        <v>5.5</v>
      </c>
      <c r="BI21">
        <v>5.5</v>
      </c>
      <c r="BJ21" t="s">
        <v>26</v>
      </c>
      <c r="BK21">
        <v>6.5</v>
      </c>
      <c r="BL21">
        <v>5.5</v>
      </c>
      <c r="BM21">
        <v>5.5</v>
      </c>
      <c r="BN21">
        <v>6.5</v>
      </c>
      <c r="BO21">
        <v>5</v>
      </c>
      <c r="BP21">
        <v>5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 t="s">
        <v>26</v>
      </c>
      <c r="BX21" t="s">
        <v>26</v>
      </c>
      <c r="BY21" t="s">
        <v>26</v>
      </c>
      <c r="BZ21" t="s">
        <v>26</v>
      </c>
      <c r="CA21" t="s">
        <v>26</v>
      </c>
      <c r="CB21" t="s">
        <v>26</v>
      </c>
      <c r="CF21">
        <v>5.5</v>
      </c>
      <c r="CN21">
        <f t="shared" si="5"/>
        <v>52</v>
      </c>
      <c r="CO21" s="18">
        <f t="shared" si="6"/>
        <v>5.6923076923076925</v>
      </c>
      <c r="CP21">
        <f t="shared" si="2"/>
        <v>0.84687340856573534</v>
      </c>
      <c r="CQ21">
        <v>0</v>
      </c>
      <c r="CR21">
        <f t="shared" si="3"/>
        <v>0</v>
      </c>
      <c r="CS21">
        <f t="shared" si="4"/>
        <v>0</v>
      </c>
    </row>
    <row r="22" spans="1:97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CN22">
        <f t="shared" si="5"/>
        <v>38</v>
      </c>
      <c r="CO22" s="18">
        <f t="shared" si="6"/>
        <v>6.1578947368421053</v>
      </c>
      <c r="CP22">
        <f t="shared" si="2"/>
        <v>1.0973263770680928</v>
      </c>
      <c r="CQ22">
        <v>0</v>
      </c>
      <c r="CR22">
        <f t="shared" si="3"/>
        <v>0</v>
      </c>
      <c r="CS22">
        <f t="shared" si="4"/>
        <v>0</v>
      </c>
    </row>
    <row r="23" spans="1:97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5.5</v>
      </c>
      <c r="W23">
        <v>5.5</v>
      </c>
      <c r="X23" t="s">
        <v>26</v>
      </c>
      <c r="Y23">
        <v>5.5</v>
      </c>
      <c r="Z23" t="s">
        <v>26</v>
      </c>
      <c r="AA23" t="s">
        <v>26</v>
      </c>
      <c r="AB23">
        <v>7</v>
      </c>
      <c r="AC23">
        <v>5.5</v>
      </c>
      <c r="AD23" t="s">
        <v>26</v>
      </c>
      <c r="AE23">
        <v>7</v>
      </c>
      <c r="AF23">
        <v>5.5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>
        <v>5</v>
      </c>
      <c r="AN23" t="s">
        <v>26</v>
      </c>
      <c r="AO23" t="s">
        <v>26</v>
      </c>
      <c r="AP23">
        <v>5.5</v>
      </c>
      <c r="AQ23">
        <v>5</v>
      </c>
      <c r="AR23">
        <v>5.5</v>
      </c>
      <c r="AS23">
        <v>5</v>
      </c>
      <c r="AT23">
        <v>5</v>
      </c>
      <c r="AU23">
        <v>4</v>
      </c>
      <c r="AV23">
        <v>5.5</v>
      </c>
      <c r="AW23">
        <v>5</v>
      </c>
      <c r="AX23">
        <v>5.5</v>
      </c>
      <c r="AY23">
        <v>5.5</v>
      </c>
      <c r="AZ23">
        <v>5.5</v>
      </c>
      <c r="BA23">
        <v>5</v>
      </c>
      <c r="BB23">
        <v>5</v>
      </c>
      <c r="BC23" t="s">
        <v>26</v>
      </c>
      <c r="BD23" t="s">
        <v>26</v>
      </c>
      <c r="BE23" t="s">
        <v>26</v>
      </c>
      <c r="BF23" t="s">
        <v>26</v>
      </c>
      <c r="BG23" t="s">
        <v>26</v>
      </c>
      <c r="BH23" t="s">
        <v>26</v>
      </c>
      <c r="BI23" t="s">
        <v>26</v>
      </c>
      <c r="BJ23" t="s">
        <v>26</v>
      </c>
      <c r="BK23" t="s">
        <v>26</v>
      </c>
      <c r="BL23" t="s">
        <v>26</v>
      </c>
      <c r="BM23" t="s">
        <v>26</v>
      </c>
      <c r="BN23" t="s">
        <v>26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6.5</v>
      </c>
      <c r="BU23" t="s">
        <v>26</v>
      </c>
      <c r="BV23" t="s">
        <v>26</v>
      </c>
      <c r="BW23" t="s">
        <v>26</v>
      </c>
      <c r="BX23" t="s">
        <v>26</v>
      </c>
      <c r="BY23" t="s">
        <v>26</v>
      </c>
      <c r="BZ23">
        <v>4</v>
      </c>
      <c r="CA23" t="s">
        <v>26</v>
      </c>
      <c r="CB23" t="s">
        <v>26</v>
      </c>
      <c r="CD23">
        <v>6</v>
      </c>
      <c r="CI23">
        <v>5</v>
      </c>
      <c r="CN23">
        <f t="shared" si="5"/>
        <v>25</v>
      </c>
      <c r="CO23" s="18">
        <f t="shared" si="6"/>
        <v>5.4</v>
      </c>
      <c r="CP23">
        <f t="shared" si="2"/>
        <v>0.71728150235677346</v>
      </c>
      <c r="CQ23">
        <v>0</v>
      </c>
      <c r="CR23">
        <f t="shared" si="3"/>
        <v>1</v>
      </c>
      <c r="CS23">
        <f t="shared" si="4"/>
        <v>1</v>
      </c>
    </row>
    <row r="24" spans="1:97" x14ac:dyDescent="0.35">
      <c r="A24" t="s">
        <v>48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>
        <v>7</v>
      </c>
      <c r="J24" t="s">
        <v>26</v>
      </c>
      <c r="K24">
        <v>7</v>
      </c>
      <c r="L24">
        <v>8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>
        <v>7</v>
      </c>
      <c r="S24" t="s">
        <v>26</v>
      </c>
      <c r="T24" t="s">
        <v>26</v>
      </c>
      <c r="U24">
        <v>7</v>
      </c>
      <c r="V24" t="s">
        <v>26</v>
      </c>
      <c r="W24" t="s">
        <v>26</v>
      </c>
      <c r="X24" t="s">
        <v>26</v>
      </c>
      <c r="Y24" t="s">
        <v>26</v>
      </c>
      <c r="Z24" t="s">
        <v>26</v>
      </c>
      <c r="AA24" t="s">
        <v>26</v>
      </c>
      <c r="AB24" t="s">
        <v>26</v>
      </c>
      <c r="AC24" t="s">
        <v>26</v>
      </c>
      <c r="AD24">
        <v>5.5</v>
      </c>
      <c r="AE24" t="s">
        <v>26</v>
      </c>
      <c r="AF24" t="s">
        <v>26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 t="s">
        <v>26</v>
      </c>
      <c r="AN24" t="s">
        <v>26</v>
      </c>
      <c r="AO24" t="s">
        <v>26</v>
      </c>
      <c r="AP24" t="s">
        <v>26</v>
      </c>
      <c r="AQ24" t="s">
        <v>26</v>
      </c>
      <c r="AR24" t="s">
        <v>26</v>
      </c>
      <c r="AS24">
        <v>5.5</v>
      </c>
      <c r="AT24">
        <v>5.5</v>
      </c>
      <c r="AU24" t="s">
        <v>26</v>
      </c>
      <c r="AV24" t="s">
        <v>26</v>
      </c>
      <c r="AW24" t="s">
        <v>26</v>
      </c>
      <c r="AX24">
        <v>7</v>
      </c>
      <c r="AY24">
        <v>5</v>
      </c>
      <c r="AZ24" t="s">
        <v>26</v>
      </c>
      <c r="BA24" t="s">
        <v>26</v>
      </c>
      <c r="BB24">
        <v>5.5</v>
      </c>
      <c r="BC24" t="s">
        <v>26</v>
      </c>
      <c r="BD24">
        <v>6.5</v>
      </c>
      <c r="BE24" t="s">
        <v>26</v>
      </c>
      <c r="BF24" t="s">
        <v>26</v>
      </c>
      <c r="BG24" t="s">
        <v>26</v>
      </c>
      <c r="BH24" t="s">
        <v>26</v>
      </c>
      <c r="BI24">
        <v>5</v>
      </c>
      <c r="BJ24">
        <v>6.5</v>
      </c>
      <c r="BK24" t="s">
        <v>26</v>
      </c>
      <c r="BL24" t="s">
        <v>26</v>
      </c>
      <c r="BM24" t="s">
        <v>26</v>
      </c>
      <c r="BN24">
        <v>5.5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5.5</v>
      </c>
      <c r="BU24">
        <v>8</v>
      </c>
      <c r="BV24">
        <v>5.5</v>
      </c>
      <c r="BW24" t="s">
        <v>26</v>
      </c>
      <c r="BX24" t="s">
        <v>26</v>
      </c>
      <c r="BY24" t="s">
        <v>26</v>
      </c>
      <c r="BZ24">
        <v>5.5</v>
      </c>
      <c r="CA24" t="s">
        <v>26</v>
      </c>
      <c r="CB24">
        <v>6.5</v>
      </c>
      <c r="CE24">
        <v>6</v>
      </c>
      <c r="CF24">
        <v>7</v>
      </c>
      <c r="CG24">
        <v>7</v>
      </c>
      <c r="CH24">
        <v>6</v>
      </c>
      <c r="CI24">
        <v>7.5</v>
      </c>
      <c r="CJ24">
        <v>7</v>
      </c>
      <c r="CK24">
        <v>6</v>
      </c>
      <c r="CL24">
        <v>7.5</v>
      </c>
      <c r="CN24">
        <f>COUNT(B24:CL24)</f>
        <v>28</v>
      </c>
      <c r="CO24" s="18">
        <f>AVERAGE(B24:CL24)</f>
        <v>6.375</v>
      </c>
      <c r="CP24">
        <f t="shared" si="2"/>
        <v>0.90960483309014595</v>
      </c>
      <c r="CQ24">
        <v>1</v>
      </c>
      <c r="CR24">
        <f t="shared" si="3"/>
        <v>4</v>
      </c>
      <c r="CS24">
        <f t="shared" si="4"/>
        <v>0</v>
      </c>
    </row>
    <row r="25" spans="1:97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N25">
        <f t="shared" si="5"/>
        <v>19</v>
      </c>
      <c r="CO25" s="18">
        <f t="shared" si="6"/>
        <v>5.7894736842105265</v>
      </c>
      <c r="CP25">
        <f t="shared" si="2"/>
        <v>1.3674366679797902</v>
      </c>
      <c r="CQ25">
        <v>0</v>
      </c>
      <c r="CR25">
        <f t="shared" si="3"/>
        <v>0</v>
      </c>
      <c r="CS25">
        <f t="shared" si="4"/>
        <v>0</v>
      </c>
    </row>
    <row r="26" spans="1:97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N26">
        <f t="shared" si="5"/>
        <v>18</v>
      </c>
      <c r="CO26" s="18">
        <f t="shared" si="6"/>
        <v>5.9444444444444446</v>
      </c>
      <c r="CP26">
        <f t="shared" si="2"/>
        <v>0.72535769855270305</v>
      </c>
      <c r="CQ26">
        <v>0</v>
      </c>
      <c r="CR26">
        <f t="shared" si="3"/>
        <v>0</v>
      </c>
      <c r="CS26">
        <f t="shared" si="4"/>
        <v>0</v>
      </c>
    </row>
    <row r="27" spans="1:97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N27">
        <f t="shared" si="5"/>
        <v>17</v>
      </c>
      <c r="CO27" s="18">
        <f t="shared" si="6"/>
        <v>5.3235294117647056</v>
      </c>
      <c r="CP27">
        <f t="shared" si="2"/>
        <v>1.3456083251473603</v>
      </c>
      <c r="CQ27">
        <v>0</v>
      </c>
      <c r="CR27">
        <f t="shared" si="3"/>
        <v>0</v>
      </c>
      <c r="CS27">
        <f t="shared" si="4"/>
        <v>0</v>
      </c>
    </row>
    <row r="28" spans="1:97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N28">
        <f t="shared" si="5"/>
        <v>16</v>
      </c>
      <c r="CO28" s="18">
        <f t="shared" si="6"/>
        <v>4.53125</v>
      </c>
      <c r="CP28">
        <f t="shared" si="2"/>
        <v>1.5434674167816653</v>
      </c>
      <c r="CQ28">
        <v>0</v>
      </c>
      <c r="CR28">
        <f t="shared" si="3"/>
        <v>0</v>
      </c>
      <c r="CS28">
        <f t="shared" si="4"/>
        <v>0</v>
      </c>
    </row>
    <row r="29" spans="1:97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N29">
        <f t="shared" si="5"/>
        <v>16</v>
      </c>
      <c r="CO29" s="18">
        <f t="shared" si="6"/>
        <v>6.65625</v>
      </c>
      <c r="CP29">
        <f t="shared" si="2"/>
        <v>0.74651970279870483</v>
      </c>
      <c r="CQ29">
        <v>0</v>
      </c>
      <c r="CR29">
        <f t="shared" si="3"/>
        <v>0</v>
      </c>
      <c r="CS29">
        <f t="shared" si="4"/>
        <v>0</v>
      </c>
    </row>
    <row r="30" spans="1:97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N30">
        <f t="shared" si="5"/>
        <v>15</v>
      </c>
      <c r="CO30" s="18">
        <f t="shared" si="6"/>
        <v>3.8666666666666667</v>
      </c>
      <c r="CP30">
        <f t="shared" si="2"/>
        <v>2.3563490726929555</v>
      </c>
      <c r="CQ30">
        <v>0</v>
      </c>
      <c r="CR30">
        <f t="shared" si="3"/>
        <v>0</v>
      </c>
      <c r="CS30">
        <f t="shared" si="4"/>
        <v>0</v>
      </c>
    </row>
    <row r="31" spans="1:97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N31">
        <f t="shared" si="5"/>
        <v>14</v>
      </c>
      <c r="CO31" s="18">
        <f t="shared" si="6"/>
        <v>4.8214285714285712</v>
      </c>
      <c r="CP31">
        <f t="shared" si="2"/>
        <v>0.89335151148745728</v>
      </c>
      <c r="CQ31">
        <v>0</v>
      </c>
      <c r="CR31">
        <f t="shared" si="3"/>
        <v>1</v>
      </c>
      <c r="CS31">
        <f t="shared" si="4"/>
        <v>1</v>
      </c>
    </row>
    <row r="32" spans="1:97" x14ac:dyDescent="0.35">
      <c r="A32" t="s">
        <v>12</v>
      </c>
      <c r="B32">
        <v>9.5</v>
      </c>
      <c r="C32" t="s">
        <v>26</v>
      </c>
      <c r="D32">
        <v>8</v>
      </c>
      <c r="E32">
        <v>8</v>
      </c>
      <c r="F32" t="s">
        <v>26</v>
      </c>
      <c r="G32" t="s">
        <v>26</v>
      </c>
      <c r="H32">
        <v>5.5</v>
      </c>
      <c r="I32">
        <v>8</v>
      </c>
      <c r="J32" t="s">
        <v>26</v>
      </c>
      <c r="K32">
        <v>5.5</v>
      </c>
      <c r="L32">
        <v>8</v>
      </c>
      <c r="M32">
        <v>7</v>
      </c>
      <c r="N32">
        <v>5.5</v>
      </c>
      <c r="O32" t="s">
        <v>26</v>
      </c>
      <c r="P32" t="s">
        <v>26</v>
      </c>
      <c r="Q32" t="s">
        <v>26</v>
      </c>
      <c r="R32">
        <v>10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>
        <v>8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7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>
        <v>5.5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N32">
        <f t="shared" si="5"/>
        <v>13</v>
      </c>
      <c r="CO32" s="18">
        <f t="shared" si="6"/>
        <v>7.3461538461538458</v>
      </c>
      <c r="CP32">
        <f t="shared" si="2"/>
        <v>1.5191090506255012</v>
      </c>
      <c r="CQ32">
        <v>0</v>
      </c>
      <c r="CR32">
        <f t="shared" si="3"/>
        <v>0</v>
      </c>
      <c r="CS32">
        <f t="shared" si="4"/>
        <v>0</v>
      </c>
    </row>
    <row r="33" spans="1:97" x14ac:dyDescent="0.35">
      <c r="A33" t="s">
        <v>17</v>
      </c>
      <c r="B33" t="s">
        <v>26</v>
      </c>
      <c r="C33">
        <v>5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>
        <v>3.5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>
        <v>5</v>
      </c>
      <c r="Z33">
        <v>5</v>
      </c>
      <c r="AA33" t="s">
        <v>26</v>
      </c>
      <c r="AB33">
        <v>5</v>
      </c>
      <c r="AC33">
        <v>5</v>
      </c>
      <c r="AD33">
        <v>3</v>
      </c>
      <c r="AE33" t="s">
        <v>26</v>
      </c>
      <c r="AF33" t="s">
        <v>26</v>
      </c>
      <c r="AG33" t="s">
        <v>26</v>
      </c>
      <c r="AH33">
        <v>4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>
        <v>5.5</v>
      </c>
      <c r="BF33">
        <v>5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>
        <v>5.5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N33">
        <f t="shared" si="5"/>
        <v>11</v>
      </c>
      <c r="CO33" s="18">
        <f t="shared" si="6"/>
        <v>4.6818181818181817</v>
      </c>
      <c r="CP33">
        <f t="shared" si="2"/>
        <v>0.81463879335344846</v>
      </c>
      <c r="CQ33">
        <v>0</v>
      </c>
      <c r="CR33">
        <f t="shared" si="3"/>
        <v>0</v>
      </c>
      <c r="CS33">
        <f t="shared" si="4"/>
        <v>0</v>
      </c>
    </row>
    <row r="34" spans="1:97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8</v>
      </c>
      <c r="H34">
        <v>8</v>
      </c>
      <c r="I34" t="s">
        <v>26</v>
      </c>
      <c r="J34">
        <v>9.5</v>
      </c>
      <c r="K34">
        <v>9.5</v>
      </c>
      <c r="L34">
        <v>8</v>
      </c>
      <c r="M34">
        <v>8</v>
      </c>
      <c r="N34">
        <v>8</v>
      </c>
      <c r="O34">
        <v>10</v>
      </c>
      <c r="P34">
        <v>9.5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 t="s">
        <v>26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C34">
        <v>6</v>
      </c>
      <c r="CN34">
        <f t="shared" si="5"/>
        <v>10</v>
      </c>
      <c r="CO34" s="18">
        <f t="shared" si="6"/>
        <v>8.4499999999999993</v>
      </c>
      <c r="CP34">
        <f t="shared" si="2"/>
        <v>1.1890705987824657</v>
      </c>
      <c r="CQ34">
        <v>0</v>
      </c>
      <c r="CR34">
        <f t="shared" si="3"/>
        <v>0</v>
      </c>
      <c r="CS34">
        <f t="shared" si="4"/>
        <v>0</v>
      </c>
    </row>
    <row r="35" spans="1:97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1</v>
      </c>
      <c r="K35" t="s">
        <v>26</v>
      </c>
      <c r="L35" t="s">
        <v>26</v>
      </c>
      <c r="M35">
        <v>3.5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>
        <v>2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>
        <v>5.5</v>
      </c>
      <c r="BH35">
        <v>5</v>
      </c>
      <c r="BI35">
        <v>5</v>
      </c>
      <c r="BJ35" t="s">
        <v>26</v>
      </c>
      <c r="BK35" t="s">
        <v>26</v>
      </c>
      <c r="BL35" t="s">
        <v>26</v>
      </c>
      <c r="BM35">
        <v>5.5</v>
      </c>
      <c r="BN35">
        <v>5.5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K35">
        <v>6</v>
      </c>
      <c r="CL35">
        <v>5.5</v>
      </c>
      <c r="CN35">
        <f t="shared" si="5"/>
        <v>8</v>
      </c>
      <c r="CO35" s="18">
        <f t="shared" si="6"/>
        <v>4.125</v>
      </c>
      <c r="CP35">
        <f t="shared" si="2"/>
        <v>1.7677669529663689</v>
      </c>
      <c r="CQ35">
        <v>0</v>
      </c>
      <c r="CR35">
        <f t="shared" si="3"/>
        <v>0</v>
      </c>
      <c r="CS35">
        <f t="shared" si="4"/>
        <v>0</v>
      </c>
    </row>
    <row r="36" spans="1:97" x14ac:dyDescent="0.35">
      <c r="A36" t="s">
        <v>340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>
        <v>5.5</v>
      </c>
      <c r="AK36" t="s">
        <v>26</v>
      </c>
      <c r="AL36" t="s">
        <v>26</v>
      </c>
      <c r="AM36" t="s">
        <v>26</v>
      </c>
      <c r="AN36">
        <v>6.5</v>
      </c>
      <c r="AO36">
        <v>5</v>
      </c>
      <c r="AP36">
        <v>5.5</v>
      </c>
      <c r="AQ36">
        <v>6.5</v>
      </c>
      <c r="AR36">
        <v>5.5</v>
      </c>
      <c r="AS36">
        <v>5.5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L36">
        <v>6</v>
      </c>
      <c r="CN36">
        <f t="shared" si="5"/>
        <v>7</v>
      </c>
      <c r="CO36" s="18">
        <f t="shared" si="6"/>
        <v>5.7142857142857144</v>
      </c>
      <c r="CP36">
        <f t="shared" si="2"/>
        <v>0.56694670951384085</v>
      </c>
      <c r="CQ36">
        <v>0</v>
      </c>
      <c r="CR36">
        <f t="shared" si="3"/>
        <v>0</v>
      </c>
      <c r="CS36">
        <f t="shared" si="4"/>
        <v>0</v>
      </c>
    </row>
    <row r="37" spans="1:97" x14ac:dyDescent="0.35">
      <c r="A37" t="s">
        <v>376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>
        <v>6.5</v>
      </c>
      <c r="BO37">
        <v>5.5</v>
      </c>
      <c r="BP37">
        <v>5.5</v>
      </c>
      <c r="BQ37">
        <v>5.5</v>
      </c>
      <c r="BR37" t="s">
        <v>26</v>
      </c>
      <c r="BS37">
        <v>5.5</v>
      </c>
      <c r="BT37" t="s">
        <v>26</v>
      </c>
      <c r="BU37" t="s">
        <v>26</v>
      </c>
      <c r="BV37">
        <v>6.5</v>
      </c>
      <c r="BW37">
        <v>5.5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N37">
        <f t="shared" si="5"/>
        <v>7</v>
      </c>
      <c r="CO37" s="18">
        <f t="shared" si="6"/>
        <v>5.7857142857142856</v>
      </c>
      <c r="CP37">
        <f t="shared" si="2"/>
        <v>0.4879500364742666</v>
      </c>
      <c r="CQ37">
        <v>0</v>
      </c>
      <c r="CR37">
        <f t="shared" si="3"/>
        <v>0</v>
      </c>
      <c r="CS37">
        <f t="shared" si="4"/>
        <v>0</v>
      </c>
    </row>
    <row r="38" spans="1:97" x14ac:dyDescent="0.35">
      <c r="A38" t="s">
        <v>81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>
        <v>7</v>
      </c>
      <c r="AA38" t="s">
        <v>26</v>
      </c>
      <c r="AB38" t="s">
        <v>26</v>
      </c>
      <c r="AC38" t="s">
        <v>26</v>
      </c>
      <c r="AD38">
        <v>8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>
        <v>5.5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>
        <v>6.5</v>
      </c>
      <c r="CA38" t="s">
        <v>26</v>
      </c>
      <c r="CB38" t="s">
        <v>26</v>
      </c>
      <c r="CE38">
        <v>6.5</v>
      </c>
      <c r="CG38">
        <v>6.5</v>
      </c>
      <c r="CH38">
        <v>6</v>
      </c>
      <c r="CI38">
        <v>6</v>
      </c>
      <c r="CJ38">
        <v>6</v>
      </c>
      <c r="CK38">
        <v>6.5</v>
      </c>
      <c r="CL38">
        <v>6.5</v>
      </c>
      <c r="CN38">
        <f>COUNT(B38:CL38)</f>
        <v>11</v>
      </c>
      <c r="CO38" s="18">
        <f>AVERAGE(B38:CL38)</f>
        <v>6.4545454545454541</v>
      </c>
      <c r="CP38">
        <f t="shared" si="2"/>
        <v>0.90829510622924903</v>
      </c>
      <c r="CQ38">
        <v>1</v>
      </c>
      <c r="CR38">
        <f t="shared" si="3"/>
        <v>4</v>
      </c>
      <c r="CS38">
        <f t="shared" si="4"/>
        <v>0</v>
      </c>
    </row>
    <row r="39" spans="1:97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N39">
        <f t="shared" si="5"/>
        <v>6</v>
      </c>
      <c r="CO39" s="18">
        <f t="shared" si="6"/>
        <v>5.166666666666667</v>
      </c>
      <c r="CP39">
        <f t="shared" si="2"/>
        <v>0.28867513459481287</v>
      </c>
      <c r="CQ39">
        <v>0</v>
      </c>
      <c r="CR39">
        <f t="shared" si="3"/>
        <v>2</v>
      </c>
      <c r="CS39">
        <f t="shared" si="4"/>
        <v>2</v>
      </c>
    </row>
    <row r="40" spans="1:97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N40">
        <f t="shared" si="5"/>
        <v>5</v>
      </c>
      <c r="CO40" s="18">
        <f t="shared" si="6"/>
        <v>7.8</v>
      </c>
      <c r="CP40">
        <f t="shared" si="2"/>
        <v>1.0307764064044151</v>
      </c>
      <c r="CQ40">
        <v>0</v>
      </c>
      <c r="CR40">
        <f t="shared" si="3"/>
        <v>1</v>
      </c>
      <c r="CS40">
        <f t="shared" si="4"/>
        <v>1</v>
      </c>
    </row>
    <row r="41" spans="1:97" x14ac:dyDescent="0.35">
      <c r="A41" t="s">
        <v>61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7</v>
      </c>
      <c r="S41">
        <v>5</v>
      </c>
      <c r="T41">
        <v>5</v>
      </c>
      <c r="U41" t="s">
        <v>26</v>
      </c>
      <c r="V41" t="s">
        <v>26</v>
      </c>
      <c r="W41">
        <v>5.5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N41">
        <f t="shared" si="5"/>
        <v>4</v>
      </c>
      <c r="CO41" s="18">
        <f t="shared" si="6"/>
        <v>5.625</v>
      </c>
      <c r="CP41">
        <f t="shared" si="2"/>
        <v>0.9464847243000456</v>
      </c>
      <c r="CQ41">
        <v>0</v>
      </c>
      <c r="CR41">
        <f t="shared" si="3"/>
        <v>0</v>
      </c>
      <c r="CS41">
        <f t="shared" si="4"/>
        <v>0</v>
      </c>
    </row>
    <row r="42" spans="1:97" x14ac:dyDescent="0.35">
      <c r="A42" t="s">
        <v>54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>
        <v>5.5</v>
      </c>
      <c r="N42" t="s">
        <v>26</v>
      </c>
      <c r="O42" t="s">
        <v>26</v>
      </c>
      <c r="P42" t="s">
        <v>26</v>
      </c>
      <c r="Q42" t="s">
        <v>26</v>
      </c>
      <c r="R42" t="s">
        <v>26</v>
      </c>
      <c r="S42" t="s">
        <v>26</v>
      </c>
      <c r="T42" t="s">
        <v>26</v>
      </c>
      <c r="U42" t="s">
        <v>26</v>
      </c>
      <c r="V42">
        <v>7</v>
      </c>
      <c r="W42">
        <v>8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>
        <v>6.5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N42">
        <f t="shared" si="5"/>
        <v>4</v>
      </c>
      <c r="CO42" s="18">
        <f t="shared" si="6"/>
        <v>6.75</v>
      </c>
      <c r="CP42">
        <f t="shared" si="2"/>
        <v>1.0408329997330663</v>
      </c>
      <c r="CQ42">
        <v>0</v>
      </c>
      <c r="CR42">
        <f t="shared" si="3"/>
        <v>0</v>
      </c>
      <c r="CS42">
        <f t="shared" si="4"/>
        <v>0</v>
      </c>
    </row>
    <row r="43" spans="1:97" x14ac:dyDescent="0.35">
      <c r="A43" t="s">
        <v>21</v>
      </c>
      <c r="B43" t="s">
        <v>26</v>
      </c>
      <c r="C43" t="s">
        <v>26</v>
      </c>
      <c r="D43">
        <v>1.5</v>
      </c>
      <c r="E43" t="s">
        <v>26</v>
      </c>
      <c r="F43" t="s">
        <v>26</v>
      </c>
      <c r="G43">
        <v>0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>
        <v>0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 t="s">
        <v>26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>
        <v>4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N43">
        <f t="shared" si="5"/>
        <v>4</v>
      </c>
      <c r="CO43" s="18">
        <f t="shared" si="6"/>
        <v>1.375</v>
      </c>
      <c r="CP43">
        <f t="shared" si="2"/>
        <v>1.8874586088176875</v>
      </c>
      <c r="CQ43">
        <v>0</v>
      </c>
      <c r="CR43">
        <f t="shared" si="3"/>
        <v>0</v>
      </c>
      <c r="CS43">
        <f t="shared" si="4"/>
        <v>0</v>
      </c>
    </row>
    <row r="44" spans="1:97" x14ac:dyDescent="0.35">
      <c r="A44" t="s">
        <v>344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>
        <v>5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>
        <v>3.5</v>
      </c>
      <c r="AR44">
        <v>3.5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>
        <v>6.5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N44">
        <f t="shared" si="5"/>
        <v>4</v>
      </c>
      <c r="CO44" s="18">
        <f t="shared" si="6"/>
        <v>4.625</v>
      </c>
      <c r="CP44">
        <f t="shared" si="2"/>
        <v>1.4361406616345072</v>
      </c>
      <c r="CQ44">
        <v>0</v>
      </c>
      <c r="CR44">
        <f t="shared" si="3"/>
        <v>0</v>
      </c>
      <c r="CS44">
        <f t="shared" si="4"/>
        <v>0</v>
      </c>
    </row>
    <row r="45" spans="1:97" x14ac:dyDescent="0.35">
      <c r="A45" t="s">
        <v>361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>
        <v>5.5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>
        <v>5.5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>
        <v>7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>
        <v>7</v>
      </c>
      <c r="BZ45" t="s">
        <v>26</v>
      </c>
      <c r="CA45" t="s">
        <v>26</v>
      </c>
      <c r="CB45" t="s">
        <v>26</v>
      </c>
      <c r="CN45">
        <f t="shared" si="5"/>
        <v>4</v>
      </c>
      <c r="CO45" s="18">
        <f t="shared" si="6"/>
        <v>6.25</v>
      </c>
      <c r="CP45">
        <f t="shared" si="2"/>
        <v>0.8660254037844386</v>
      </c>
      <c r="CQ45">
        <v>0</v>
      </c>
      <c r="CR45">
        <f t="shared" si="3"/>
        <v>0</v>
      </c>
      <c r="CS45">
        <f t="shared" si="4"/>
        <v>0</v>
      </c>
    </row>
    <row r="46" spans="1:97" x14ac:dyDescent="0.35">
      <c r="A46" t="s">
        <v>43</v>
      </c>
      <c r="B46" t="s">
        <v>26</v>
      </c>
      <c r="C46">
        <v>0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>
        <v>1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>
        <v>5.5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>
        <v>5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N46">
        <f t="shared" si="5"/>
        <v>4</v>
      </c>
      <c r="CO46" s="18">
        <f t="shared" si="6"/>
        <v>2.875</v>
      </c>
      <c r="CP46">
        <f t="shared" si="2"/>
        <v>2.7801378862687129</v>
      </c>
      <c r="CQ46">
        <v>0</v>
      </c>
      <c r="CR46">
        <f t="shared" si="3"/>
        <v>0</v>
      </c>
      <c r="CS46">
        <f t="shared" si="4"/>
        <v>0</v>
      </c>
    </row>
    <row r="47" spans="1:97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N47">
        <f t="shared" si="5"/>
        <v>4</v>
      </c>
      <c r="CO47" s="18">
        <f t="shared" si="6"/>
        <v>3.375</v>
      </c>
      <c r="CP47">
        <f t="shared" si="2"/>
        <v>0.47871355387816905</v>
      </c>
      <c r="CQ47">
        <v>0</v>
      </c>
      <c r="CR47">
        <f t="shared" si="3"/>
        <v>0</v>
      </c>
      <c r="CS47">
        <f t="shared" si="4"/>
        <v>0</v>
      </c>
    </row>
    <row r="48" spans="1:97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N48">
        <f t="shared" si="5"/>
        <v>3</v>
      </c>
      <c r="CO48" s="18">
        <f t="shared" si="6"/>
        <v>4.666666666666667</v>
      </c>
      <c r="CP48">
        <f t="shared" si="2"/>
        <v>1.4433756729740652</v>
      </c>
      <c r="CQ48">
        <v>0</v>
      </c>
      <c r="CR48">
        <f t="shared" si="3"/>
        <v>0</v>
      </c>
      <c r="CS48">
        <f t="shared" si="4"/>
        <v>0</v>
      </c>
    </row>
    <row r="49" spans="1:97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N49">
        <f t="shared" si="5"/>
        <v>3</v>
      </c>
      <c r="CO49" s="18">
        <f t="shared" si="6"/>
        <v>8.5</v>
      </c>
      <c r="CP49">
        <f t="shared" si="2"/>
        <v>1.5</v>
      </c>
      <c r="CQ49">
        <v>0</v>
      </c>
      <c r="CR49">
        <f t="shared" si="3"/>
        <v>0</v>
      </c>
      <c r="CS49">
        <f t="shared" si="4"/>
        <v>0</v>
      </c>
    </row>
    <row r="50" spans="1:97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N50">
        <f t="shared" si="5"/>
        <v>3</v>
      </c>
      <c r="CO50" s="18">
        <f t="shared" si="6"/>
        <v>4</v>
      </c>
      <c r="CP50">
        <f t="shared" si="2"/>
        <v>1.7320508075688772</v>
      </c>
      <c r="CQ50">
        <v>0</v>
      </c>
      <c r="CR50">
        <f t="shared" si="3"/>
        <v>0</v>
      </c>
      <c r="CS50">
        <f t="shared" si="4"/>
        <v>0</v>
      </c>
    </row>
    <row r="51" spans="1:97" x14ac:dyDescent="0.35">
      <c r="A51" t="s">
        <v>362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>
        <v>5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D51">
        <v>5.5</v>
      </c>
      <c r="CN51">
        <f t="shared" si="5"/>
        <v>2</v>
      </c>
      <c r="CO51" s="18">
        <f t="shared" si="6"/>
        <v>5.25</v>
      </c>
      <c r="CP51">
        <f t="shared" si="2"/>
        <v>0.35355339059327379</v>
      </c>
      <c r="CQ51">
        <v>0</v>
      </c>
      <c r="CR51">
        <f t="shared" si="3"/>
        <v>0</v>
      </c>
      <c r="CS51">
        <f t="shared" si="4"/>
        <v>0</v>
      </c>
    </row>
    <row r="52" spans="1:97" x14ac:dyDescent="0.35">
      <c r="A52" t="s">
        <v>364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>
        <v>6.5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>
        <v>6.5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L52">
        <v>6.5</v>
      </c>
      <c r="CN52">
        <f t="shared" si="5"/>
        <v>2</v>
      </c>
      <c r="CO52" s="18">
        <f t="shared" si="6"/>
        <v>6.5</v>
      </c>
      <c r="CP52">
        <f t="shared" si="2"/>
        <v>0</v>
      </c>
      <c r="CQ52">
        <v>0</v>
      </c>
      <c r="CR52">
        <f t="shared" si="3"/>
        <v>0</v>
      </c>
      <c r="CS52">
        <f t="shared" si="4"/>
        <v>0</v>
      </c>
    </row>
    <row r="53" spans="1:97" x14ac:dyDescent="0.35">
      <c r="A53" t="s">
        <v>53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>
        <v>5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>
        <v>5.5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N53">
        <f t="shared" si="5"/>
        <v>2</v>
      </c>
      <c r="CO53" s="18">
        <f t="shared" si="6"/>
        <v>5.25</v>
      </c>
      <c r="CP53">
        <f t="shared" si="2"/>
        <v>0.35355339059327379</v>
      </c>
      <c r="CQ53">
        <v>0</v>
      </c>
      <c r="CR53">
        <f t="shared" si="3"/>
        <v>0</v>
      </c>
      <c r="CS53">
        <f t="shared" si="4"/>
        <v>0</v>
      </c>
    </row>
    <row r="54" spans="1:97" x14ac:dyDescent="0.35">
      <c r="A54" t="s">
        <v>339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>
        <v>8.5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N54">
        <f t="shared" si="5"/>
        <v>2</v>
      </c>
      <c r="CO54" s="18">
        <f t="shared" si="6"/>
        <v>6.75</v>
      </c>
      <c r="CP54">
        <f t="shared" si="2"/>
        <v>2.4748737341529163</v>
      </c>
      <c r="CQ54">
        <v>0</v>
      </c>
      <c r="CR54">
        <f t="shared" si="3"/>
        <v>0</v>
      </c>
      <c r="CS54">
        <f t="shared" si="4"/>
        <v>0</v>
      </c>
    </row>
    <row r="55" spans="1:97" x14ac:dyDescent="0.35">
      <c r="A55" t="s">
        <v>342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>
        <v>7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>
        <v>4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J55">
        <v>5.5</v>
      </c>
      <c r="CN55">
        <f t="shared" si="5"/>
        <v>2</v>
      </c>
      <c r="CO55" s="18">
        <f t="shared" si="6"/>
        <v>5.5</v>
      </c>
      <c r="CP55">
        <f t="shared" si="2"/>
        <v>2.1213203435596424</v>
      </c>
      <c r="CQ55">
        <v>0</v>
      </c>
      <c r="CR55">
        <f t="shared" si="3"/>
        <v>1</v>
      </c>
      <c r="CS55">
        <f t="shared" si="4"/>
        <v>1</v>
      </c>
    </row>
    <row r="56" spans="1:97" x14ac:dyDescent="0.35">
      <c r="A56" t="s">
        <v>369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>
        <v>6.5</v>
      </c>
      <c r="BH56">
        <v>5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N56">
        <f t="shared" si="5"/>
        <v>2</v>
      </c>
      <c r="CO56" s="18">
        <f t="shared" si="6"/>
        <v>5.75</v>
      </c>
      <c r="CP56">
        <f t="shared" si="2"/>
        <v>1.0606601717798212</v>
      </c>
      <c r="CQ56">
        <v>0</v>
      </c>
      <c r="CR56">
        <f t="shared" si="3"/>
        <v>0</v>
      </c>
      <c r="CS56">
        <f t="shared" si="4"/>
        <v>0</v>
      </c>
    </row>
    <row r="57" spans="1:97" x14ac:dyDescent="0.35">
      <c r="A57" t="s">
        <v>52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>
        <v>5.5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>
        <v>5.5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G57">
        <v>6</v>
      </c>
      <c r="CN57">
        <f t="shared" si="5"/>
        <v>3</v>
      </c>
      <c r="CO57" s="18">
        <f t="shared" si="6"/>
        <v>5.666666666666667</v>
      </c>
      <c r="CP57">
        <f t="shared" si="2"/>
        <v>0</v>
      </c>
      <c r="CQ57">
        <v>0</v>
      </c>
      <c r="CR57">
        <f t="shared" si="3"/>
        <v>1</v>
      </c>
      <c r="CS57">
        <f t="shared" si="4"/>
        <v>1</v>
      </c>
    </row>
    <row r="58" spans="1:97" x14ac:dyDescent="0.35">
      <c r="A58" t="s">
        <v>368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>
        <v>9.5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>
        <v>10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G58">
        <v>6</v>
      </c>
      <c r="CN58">
        <f t="shared" si="5"/>
        <v>3</v>
      </c>
      <c r="CO58" s="18">
        <f t="shared" si="6"/>
        <v>8.5</v>
      </c>
      <c r="CP58">
        <f t="shared" si="2"/>
        <v>0.35355339059327379</v>
      </c>
      <c r="CQ58">
        <v>0</v>
      </c>
      <c r="CR58">
        <f t="shared" si="3"/>
        <v>1</v>
      </c>
      <c r="CS58">
        <f t="shared" si="4"/>
        <v>1</v>
      </c>
    </row>
    <row r="59" spans="1:97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N59">
        <f t="shared" si="5"/>
        <v>2</v>
      </c>
      <c r="CO59" s="18">
        <f t="shared" si="6"/>
        <v>5.5</v>
      </c>
      <c r="CP59">
        <f t="shared" si="2"/>
        <v>0</v>
      </c>
      <c r="CQ59">
        <v>0</v>
      </c>
      <c r="CR59">
        <f t="shared" si="3"/>
        <v>0</v>
      </c>
      <c r="CS59">
        <f t="shared" si="4"/>
        <v>0</v>
      </c>
    </row>
    <row r="60" spans="1:97" x14ac:dyDescent="0.35">
      <c r="A60" t="s">
        <v>391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N60">
        <f t="shared" si="5"/>
        <v>2</v>
      </c>
      <c r="CO60" s="18">
        <f t="shared" si="6"/>
        <v>7</v>
      </c>
      <c r="CP60" t="e">
        <f t="shared" si="2"/>
        <v>#DIV/0!</v>
      </c>
      <c r="CQ60">
        <v>0</v>
      </c>
      <c r="CR60">
        <f t="shared" si="3"/>
        <v>1</v>
      </c>
      <c r="CS60">
        <f t="shared" si="4"/>
        <v>1</v>
      </c>
    </row>
    <row r="61" spans="1:97" x14ac:dyDescent="0.35">
      <c r="A61" t="s">
        <v>86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>
        <v>10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N61">
        <f t="shared" si="5"/>
        <v>1</v>
      </c>
      <c r="CO61" s="18">
        <f t="shared" si="6"/>
        <v>10</v>
      </c>
      <c r="CP61" t="str">
        <f t="shared" si="2"/>
        <v/>
      </c>
      <c r="CQ61">
        <v>0</v>
      </c>
      <c r="CR61">
        <f t="shared" si="3"/>
        <v>0</v>
      </c>
      <c r="CS61">
        <f t="shared" si="4"/>
        <v>0</v>
      </c>
    </row>
    <row r="62" spans="1:97" x14ac:dyDescent="0.35">
      <c r="A62" t="s">
        <v>77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7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N62">
        <f t="shared" si="5"/>
        <v>1</v>
      </c>
      <c r="CO62" s="18">
        <f t="shared" si="6"/>
        <v>7</v>
      </c>
      <c r="CP62" t="str">
        <f t="shared" si="2"/>
        <v/>
      </c>
      <c r="CQ62">
        <v>0</v>
      </c>
      <c r="CR62">
        <f t="shared" si="3"/>
        <v>0</v>
      </c>
      <c r="CS62">
        <f t="shared" si="4"/>
        <v>0</v>
      </c>
    </row>
    <row r="63" spans="1:97" x14ac:dyDescent="0.35">
      <c r="A63" t="s">
        <v>353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>
        <v>7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N63">
        <f t="shared" si="5"/>
        <v>1</v>
      </c>
      <c r="CO63" s="18">
        <f t="shared" si="6"/>
        <v>7</v>
      </c>
      <c r="CP63" t="str">
        <f t="shared" si="2"/>
        <v/>
      </c>
      <c r="CQ63">
        <v>0</v>
      </c>
      <c r="CR63">
        <f t="shared" si="3"/>
        <v>0</v>
      </c>
      <c r="CS63">
        <f t="shared" si="4"/>
        <v>0</v>
      </c>
    </row>
    <row r="64" spans="1:97" x14ac:dyDescent="0.35">
      <c r="A64" t="s">
        <v>80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>
        <v>7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N64">
        <f t="shared" si="5"/>
        <v>1</v>
      </c>
      <c r="CO64" s="18">
        <f t="shared" si="6"/>
        <v>7</v>
      </c>
      <c r="CP64" t="str">
        <f t="shared" si="2"/>
        <v/>
      </c>
      <c r="CQ64">
        <v>0</v>
      </c>
      <c r="CR64">
        <f t="shared" si="3"/>
        <v>0</v>
      </c>
      <c r="CS64">
        <f t="shared" si="4"/>
        <v>0</v>
      </c>
    </row>
    <row r="65" spans="1:97" x14ac:dyDescent="0.35">
      <c r="A65" t="s">
        <v>47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>
        <v>3.5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N65">
        <f t="shared" si="5"/>
        <v>1</v>
      </c>
      <c r="CO65" s="18">
        <f t="shared" si="6"/>
        <v>3.5</v>
      </c>
      <c r="CP65" t="str">
        <f t="shared" si="2"/>
        <v/>
      </c>
      <c r="CQ65">
        <v>0</v>
      </c>
      <c r="CR65">
        <f t="shared" si="3"/>
        <v>0</v>
      </c>
      <c r="CS65">
        <f t="shared" si="4"/>
        <v>0</v>
      </c>
    </row>
    <row r="66" spans="1:97" x14ac:dyDescent="0.35">
      <c r="A66" t="s">
        <v>389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CN66">
        <f t="shared" si="5"/>
        <v>2</v>
      </c>
      <c r="CO66" s="18">
        <f t="shared" si="6"/>
        <v>4.25</v>
      </c>
      <c r="CP66" t="e">
        <f t="shared" si="2"/>
        <v>#DIV/0!</v>
      </c>
      <c r="CQ66">
        <v>0</v>
      </c>
      <c r="CR66">
        <f t="shared" si="3"/>
        <v>1</v>
      </c>
      <c r="CS66">
        <f t="shared" si="4"/>
        <v>1</v>
      </c>
    </row>
    <row r="67" spans="1:97" x14ac:dyDescent="0.35">
      <c r="A67" t="s">
        <v>83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 t="s">
        <v>26</v>
      </c>
      <c r="Z67" t="s">
        <v>26</v>
      </c>
      <c r="AA67" t="s">
        <v>26</v>
      </c>
      <c r="AB67">
        <v>3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N67">
        <f t="shared" ref="CN67:CN82" si="7">COUNT(B67:CI67)</f>
        <v>1</v>
      </c>
      <c r="CO67" s="18">
        <f t="shared" ref="CO67:CO82" si="8">AVERAGE(B67:CI67)</f>
        <v>3</v>
      </c>
      <c r="CP67" t="str">
        <f t="shared" ref="CP67:CP82" si="9">IF(CN67&gt;1,_xlfn.STDEV.S(B67:CF67),"")</f>
        <v/>
      </c>
      <c r="CQ67">
        <v>0</v>
      </c>
      <c r="CR67">
        <f t="shared" ref="CR67:CR83" si="10">COUNT(CG67:CJ67)</f>
        <v>0</v>
      </c>
      <c r="CS67">
        <f t="shared" ref="CS67:CS82" si="11">IF(CQ67=0,CR67,0)</f>
        <v>0</v>
      </c>
    </row>
    <row r="68" spans="1:97" x14ac:dyDescent="0.35">
      <c r="A68" t="s">
        <v>345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 t="s">
        <v>26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>
        <v>2.5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I68">
        <v>6</v>
      </c>
      <c r="CJ68">
        <v>4</v>
      </c>
      <c r="CK68">
        <v>3.5</v>
      </c>
      <c r="CL68">
        <v>5.5</v>
      </c>
      <c r="CN68">
        <f t="shared" si="7"/>
        <v>2</v>
      </c>
      <c r="CO68" s="18">
        <f t="shared" si="8"/>
        <v>4.25</v>
      </c>
      <c r="CP68" t="e">
        <f t="shared" si="9"/>
        <v>#DIV/0!</v>
      </c>
      <c r="CQ68">
        <v>0</v>
      </c>
      <c r="CR68">
        <f t="shared" si="10"/>
        <v>2</v>
      </c>
      <c r="CS68">
        <f t="shared" si="11"/>
        <v>2</v>
      </c>
    </row>
    <row r="69" spans="1:97" x14ac:dyDescent="0.35">
      <c r="A69" t="s">
        <v>347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>
        <v>6.5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N69">
        <f t="shared" si="7"/>
        <v>1</v>
      </c>
      <c r="CO69" s="18">
        <f t="shared" si="8"/>
        <v>6.5</v>
      </c>
      <c r="CP69" t="str">
        <f t="shared" si="9"/>
        <v/>
      </c>
      <c r="CQ69">
        <v>0</v>
      </c>
      <c r="CR69">
        <f t="shared" si="10"/>
        <v>0</v>
      </c>
      <c r="CS69">
        <f t="shared" si="11"/>
        <v>0</v>
      </c>
    </row>
    <row r="70" spans="1:97" x14ac:dyDescent="0.35">
      <c r="A70" t="s">
        <v>350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>
        <v>4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N70">
        <f t="shared" si="7"/>
        <v>1</v>
      </c>
      <c r="CO70" s="18">
        <f t="shared" si="8"/>
        <v>4</v>
      </c>
      <c r="CP70" t="str">
        <f t="shared" si="9"/>
        <v/>
      </c>
      <c r="CQ70">
        <v>0</v>
      </c>
      <c r="CR70">
        <f t="shared" si="10"/>
        <v>0</v>
      </c>
      <c r="CS70">
        <f t="shared" si="11"/>
        <v>0</v>
      </c>
    </row>
    <row r="71" spans="1:97" x14ac:dyDescent="0.35">
      <c r="A71" t="s">
        <v>351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>
        <v>6.5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N71">
        <f t="shared" si="7"/>
        <v>1</v>
      </c>
      <c r="CO71" s="18">
        <f t="shared" si="8"/>
        <v>6.5</v>
      </c>
      <c r="CP71" t="str">
        <f t="shared" si="9"/>
        <v/>
      </c>
      <c r="CQ71">
        <v>0</v>
      </c>
      <c r="CR71">
        <f t="shared" si="10"/>
        <v>0</v>
      </c>
      <c r="CS71">
        <f t="shared" si="11"/>
        <v>0</v>
      </c>
    </row>
    <row r="72" spans="1:97" x14ac:dyDescent="0.35">
      <c r="A72" t="s">
        <v>352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N72">
        <f t="shared" si="7"/>
        <v>1</v>
      </c>
      <c r="CO72" s="18">
        <f t="shared" si="8"/>
        <v>5</v>
      </c>
      <c r="CP72" t="str">
        <f t="shared" si="9"/>
        <v/>
      </c>
      <c r="CQ72">
        <v>0</v>
      </c>
      <c r="CR72">
        <f t="shared" si="10"/>
        <v>0</v>
      </c>
      <c r="CS72">
        <f t="shared" si="11"/>
        <v>0</v>
      </c>
    </row>
    <row r="73" spans="1:97" x14ac:dyDescent="0.35">
      <c r="A73" t="s">
        <v>354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>
        <v>5.5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N73">
        <f t="shared" si="7"/>
        <v>1</v>
      </c>
      <c r="CO73" s="18">
        <f t="shared" si="8"/>
        <v>5.5</v>
      </c>
      <c r="CP73" t="str">
        <f t="shared" si="9"/>
        <v/>
      </c>
      <c r="CQ73">
        <v>0</v>
      </c>
      <c r="CR73">
        <f t="shared" si="10"/>
        <v>0</v>
      </c>
      <c r="CS73">
        <f t="shared" si="11"/>
        <v>0</v>
      </c>
    </row>
    <row r="74" spans="1:97" x14ac:dyDescent="0.35">
      <c r="A74" t="s">
        <v>365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>
        <v>2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N74">
        <f t="shared" si="7"/>
        <v>1</v>
      </c>
      <c r="CO74" s="18">
        <f t="shared" si="8"/>
        <v>2</v>
      </c>
      <c r="CP74" t="str">
        <f t="shared" si="9"/>
        <v/>
      </c>
      <c r="CQ74">
        <v>0</v>
      </c>
      <c r="CR74">
        <f t="shared" si="10"/>
        <v>0</v>
      </c>
      <c r="CS74">
        <f t="shared" si="11"/>
        <v>0</v>
      </c>
    </row>
    <row r="75" spans="1:97" x14ac:dyDescent="0.35">
      <c r="A75" t="s">
        <v>366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>
        <v>2.5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N75">
        <f t="shared" si="7"/>
        <v>1</v>
      </c>
      <c r="CO75" s="18">
        <f t="shared" si="8"/>
        <v>2.5</v>
      </c>
      <c r="CP75" t="str">
        <f t="shared" si="9"/>
        <v/>
      </c>
      <c r="CQ75">
        <v>0</v>
      </c>
      <c r="CR75">
        <f t="shared" si="10"/>
        <v>0</v>
      </c>
      <c r="CS75">
        <f t="shared" si="11"/>
        <v>0</v>
      </c>
    </row>
    <row r="76" spans="1:97" x14ac:dyDescent="0.35">
      <c r="A76" t="s">
        <v>374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>
        <v>7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N76">
        <f t="shared" si="7"/>
        <v>1</v>
      </c>
      <c r="CO76" s="18">
        <f t="shared" si="8"/>
        <v>7</v>
      </c>
      <c r="CP76" t="str">
        <f t="shared" si="9"/>
        <v/>
      </c>
      <c r="CQ76">
        <v>0</v>
      </c>
      <c r="CR76">
        <f t="shared" si="10"/>
        <v>0</v>
      </c>
      <c r="CS76">
        <f t="shared" si="11"/>
        <v>0</v>
      </c>
    </row>
    <row r="77" spans="1:97" x14ac:dyDescent="0.35">
      <c r="A77" t="s">
        <v>375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5.5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N77">
        <f t="shared" si="7"/>
        <v>1</v>
      </c>
      <c r="CO77" s="18">
        <f t="shared" si="8"/>
        <v>5.5</v>
      </c>
      <c r="CP77" t="str">
        <f t="shared" si="9"/>
        <v/>
      </c>
      <c r="CQ77">
        <v>0</v>
      </c>
      <c r="CR77">
        <f t="shared" si="10"/>
        <v>0</v>
      </c>
      <c r="CS77">
        <f t="shared" si="11"/>
        <v>0</v>
      </c>
    </row>
    <row r="78" spans="1:97" x14ac:dyDescent="0.35">
      <c r="A78" t="s">
        <v>377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>
        <v>5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N78">
        <f t="shared" si="7"/>
        <v>1</v>
      </c>
      <c r="CO78" s="18">
        <f t="shared" si="8"/>
        <v>5</v>
      </c>
      <c r="CP78" t="str">
        <f t="shared" si="9"/>
        <v/>
      </c>
      <c r="CQ78">
        <v>0</v>
      </c>
      <c r="CR78">
        <f t="shared" si="10"/>
        <v>0</v>
      </c>
      <c r="CS78">
        <f t="shared" si="11"/>
        <v>0</v>
      </c>
    </row>
    <row r="79" spans="1:97" x14ac:dyDescent="0.35">
      <c r="A79" t="s">
        <v>381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>
        <v>5.5</v>
      </c>
      <c r="CA79" t="s">
        <v>26</v>
      </c>
      <c r="CB79" t="s">
        <v>26</v>
      </c>
      <c r="CN79">
        <f t="shared" si="7"/>
        <v>1</v>
      </c>
      <c r="CO79" s="18">
        <f t="shared" si="8"/>
        <v>5.5</v>
      </c>
      <c r="CP79" t="str">
        <f t="shared" si="9"/>
        <v/>
      </c>
      <c r="CQ79">
        <v>0</v>
      </c>
      <c r="CR79">
        <f t="shared" si="10"/>
        <v>0</v>
      </c>
      <c r="CS79">
        <f t="shared" si="11"/>
        <v>0</v>
      </c>
    </row>
    <row r="80" spans="1:97" x14ac:dyDescent="0.35">
      <c r="A80" t="s">
        <v>382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N80">
        <f t="shared" si="7"/>
        <v>1</v>
      </c>
      <c r="CO80" s="18">
        <f t="shared" si="8"/>
        <v>5.5</v>
      </c>
      <c r="CP80" t="str">
        <f t="shared" si="9"/>
        <v/>
      </c>
      <c r="CQ80">
        <v>0</v>
      </c>
      <c r="CR80">
        <f t="shared" si="10"/>
        <v>0</v>
      </c>
      <c r="CS80">
        <f t="shared" si="11"/>
        <v>0</v>
      </c>
    </row>
    <row r="81" spans="1:97" x14ac:dyDescent="0.35">
      <c r="A81" t="s">
        <v>388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CG81">
        <v>7</v>
      </c>
      <c r="CH81">
        <v>6</v>
      </c>
      <c r="CJ81">
        <v>7</v>
      </c>
      <c r="CN81">
        <f t="shared" si="7"/>
        <v>2</v>
      </c>
      <c r="CO81" s="18">
        <f t="shared" si="8"/>
        <v>6.5</v>
      </c>
      <c r="CP81" t="e">
        <f t="shared" si="9"/>
        <v>#DIV/0!</v>
      </c>
      <c r="CQ81">
        <v>0</v>
      </c>
      <c r="CR81">
        <f t="shared" si="10"/>
        <v>3</v>
      </c>
      <c r="CS81">
        <f t="shared" si="11"/>
        <v>3</v>
      </c>
    </row>
    <row r="82" spans="1:97" x14ac:dyDescent="0.35">
      <c r="A82" t="s">
        <v>390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N82">
        <f t="shared" si="7"/>
        <v>1</v>
      </c>
      <c r="CO82" s="18">
        <f t="shared" si="8"/>
        <v>7.5</v>
      </c>
      <c r="CP82" t="str">
        <f t="shared" si="9"/>
        <v/>
      </c>
      <c r="CQ82">
        <v>0</v>
      </c>
      <c r="CR82">
        <f t="shared" si="10"/>
        <v>1</v>
      </c>
      <c r="CS82">
        <f t="shared" si="11"/>
        <v>1</v>
      </c>
    </row>
    <row r="83" spans="1:97" x14ac:dyDescent="0.35">
      <c r="A83" t="s">
        <v>392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N83">
        <f t="shared" ref="CN83" si="12">COUNT(B83:CI83)</f>
        <v>1</v>
      </c>
      <c r="CO83" s="18">
        <f t="shared" ref="CO83" si="13">AVERAGE(B83:CI83)</f>
        <v>7</v>
      </c>
      <c r="CP83" t="str">
        <f t="shared" ref="CP83" si="14">IF(CN83&gt;1,_xlfn.STDEV.S(B83:CF83),"")</f>
        <v/>
      </c>
      <c r="CQ83">
        <v>0</v>
      </c>
      <c r="CR83">
        <f t="shared" si="10"/>
        <v>1</v>
      </c>
      <c r="CS83">
        <f t="shared" ref="CS83" si="15">IF(CQ83=0,CR83,0)</f>
        <v>1</v>
      </c>
    </row>
  </sheetData>
  <autoFilter ref="A1:CS83" xr:uid="{B9A4D56B-02EF-476F-9B0E-F093A198C591}">
    <sortState ref="A2:CS80">
      <sortCondition descending="1" ref="CQ1:CQ80"/>
    </sortState>
  </autoFilter>
  <conditionalFormatting sqref="CN2:CN8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83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N2:CN83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8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8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8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L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workbookViewId="0">
      <selection activeCell="M31" sqref="M31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Z88"/>
  <sheetViews>
    <sheetView zoomScale="85" zoomScaleNormal="85" workbookViewId="0">
      <pane xSplit="1" topLeftCell="F1" activePane="topRight" state="frozen"/>
      <selection activeCell="A31" sqref="A31"/>
      <selection pane="topRight" activeCell="V76" sqref="V76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4" width="9.6328125" customWidth="1"/>
    <col min="26" max="26" width="16.6328125" bestFit="1" customWidth="1"/>
  </cols>
  <sheetData>
    <row r="1" spans="1:26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Z1" t="s">
        <v>349</v>
      </c>
    </row>
    <row r="2" spans="1:26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Z2" s="1">
        <v>46079</v>
      </c>
    </row>
    <row r="3" spans="1:26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</row>
    <row r="4" spans="1:26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6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t="s">
        <v>370</v>
      </c>
      <c r="Z5">
        <v>20</v>
      </c>
    </row>
    <row r="6" spans="1:26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Y6" t="s">
        <v>371</v>
      </c>
      <c r="Z6">
        <f>27*Z5</f>
        <v>540</v>
      </c>
    </row>
    <row r="7" spans="1:26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t="s">
        <v>372</v>
      </c>
      <c r="Z7">
        <f>1950-Z6</f>
        <v>1410</v>
      </c>
    </row>
    <row r="8" spans="1:26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Y8" t="s">
        <v>373</v>
      </c>
      <c r="Z8">
        <f>Z7/18</f>
        <v>78.333333333333329</v>
      </c>
    </row>
    <row r="9" spans="1:26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6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</row>
    <row r="11" spans="1:26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</row>
    <row r="12" spans="1:26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</row>
    <row r="13" spans="1:26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</row>
    <row r="14" spans="1:26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</row>
    <row r="15" spans="1:26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</row>
    <row r="16" spans="1:26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Y16" s="60"/>
    </row>
    <row r="17" spans="1:25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60"/>
    </row>
    <row r="18" spans="1:25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</row>
    <row r="19" spans="1:25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</row>
    <row r="20" spans="1:25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</row>
    <row r="21" spans="1:25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5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5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5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</row>
    <row r="25" spans="1:25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5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/>
      <c r="X26" s="19"/>
    </row>
    <row r="27" spans="1:25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</row>
    <row r="28" spans="1:25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5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5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</row>
    <row r="31" spans="1:25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5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</row>
    <row r="33" spans="1:22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2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2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</row>
    <row r="36" spans="1:22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2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2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2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</row>
    <row r="40" spans="1:22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</row>
    <row r="41" spans="1:22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2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</row>
    <row r="43" spans="1:22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21">
        <v>27</v>
      </c>
      <c r="V43" s="21">
        <v>27</v>
      </c>
    </row>
    <row r="44" spans="1:22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2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2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2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</row>
    <row r="48" spans="1:22" x14ac:dyDescent="0.35">
      <c r="A48" t="s">
        <v>389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2" x14ac:dyDescent="0.35">
      <c r="A49" t="s">
        <v>80</v>
      </c>
      <c r="G49" s="19">
        <v>25</v>
      </c>
      <c r="H49" s="19"/>
      <c r="I49" s="19"/>
    </row>
    <row r="50" spans="1:22" x14ac:dyDescent="0.35">
      <c r="A50" t="s">
        <v>83</v>
      </c>
      <c r="G50" s="19"/>
      <c r="H50" s="19">
        <v>25</v>
      </c>
      <c r="I50" s="19"/>
    </row>
    <row r="51" spans="1:22" x14ac:dyDescent="0.35">
      <c r="A51" t="s">
        <v>86</v>
      </c>
      <c r="G51" s="19"/>
      <c r="H51" s="19">
        <v>25</v>
      </c>
      <c r="I51" s="19"/>
    </row>
    <row r="52" spans="1:22" x14ac:dyDescent="0.35">
      <c r="A52" t="s">
        <v>85</v>
      </c>
      <c r="G52" s="19"/>
      <c r="H52" s="19">
        <v>25</v>
      </c>
      <c r="I52" s="19">
        <v>50</v>
      </c>
    </row>
    <row r="53" spans="1:22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</row>
    <row r="54" spans="1:22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2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2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2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</row>
    <row r="58" spans="1:22" x14ac:dyDescent="0.35">
      <c r="A58" t="s">
        <v>345</v>
      </c>
      <c r="G58"/>
      <c r="H58"/>
      <c r="I58"/>
      <c r="K58" s="19">
        <v>25</v>
      </c>
      <c r="L58" s="19"/>
      <c r="V58" s="19">
        <v>54</v>
      </c>
    </row>
    <row r="59" spans="1:22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2" x14ac:dyDescent="0.35">
      <c r="A60" t="s">
        <v>347</v>
      </c>
      <c r="G60"/>
      <c r="H60"/>
      <c r="I60"/>
      <c r="K60" s="19">
        <v>25</v>
      </c>
      <c r="L60" s="19"/>
    </row>
    <row r="61" spans="1:22" x14ac:dyDescent="0.35">
      <c r="A61" t="s">
        <v>354</v>
      </c>
      <c r="G61"/>
      <c r="H61"/>
      <c r="I61"/>
      <c r="K61" s="19"/>
      <c r="L61" s="19">
        <v>25</v>
      </c>
    </row>
    <row r="62" spans="1:22" x14ac:dyDescent="0.35">
      <c r="A62" t="s">
        <v>356</v>
      </c>
      <c r="L62" s="19">
        <v>25</v>
      </c>
    </row>
    <row r="63" spans="1:22" x14ac:dyDescent="0.35">
      <c r="A63" t="s">
        <v>352</v>
      </c>
      <c r="L63" s="19">
        <v>25</v>
      </c>
    </row>
    <row r="64" spans="1:22" x14ac:dyDescent="0.35">
      <c r="A64" t="s">
        <v>350</v>
      </c>
      <c r="L64" s="19">
        <v>25</v>
      </c>
    </row>
    <row r="65" spans="1:22" x14ac:dyDescent="0.35">
      <c r="A65" t="s">
        <v>363</v>
      </c>
      <c r="L65" s="19"/>
      <c r="M65" s="19">
        <v>25</v>
      </c>
      <c r="U65" s="19">
        <v>27</v>
      </c>
    </row>
    <row r="66" spans="1:22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2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2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2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2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</row>
    <row r="71" spans="1:22" x14ac:dyDescent="0.35">
      <c r="A71" t="s">
        <v>369</v>
      </c>
      <c r="O71" s="19">
        <v>54</v>
      </c>
      <c r="P71" s="19"/>
      <c r="Q71" s="19"/>
    </row>
    <row r="72" spans="1:22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2" x14ac:dyDescent="0.35">
      <c r="A73" t="s">
        <v>374</v>
      </c>
      <c r="O73" s="19"/>
      <c r="P73" s="19"/>
      <c r="Q73" s="19">
        <v>27</v>
      </c>
    </row>
    <row r="74" spans="1:22" x14ac:dyDescent="0.35">
      <c r="A74" t="s">
        <v>375</v>
      </c>
      <c r="O74" s="19"/>
      <c r="P74" s="19"/>
      <c r="Q74" s="19">
        <v>27</v>
      </c>
    </row>
    <row r="75" spans="1:22" x14ac:dyDescent="0.35">
      <c r="A75" t="s">
        <v>377</v>
      </c>
      <c r="O75" s="19"/>
      <c r="P75" s="19"/>
      <c r="Q75" s="19"/>
      <c r="R75" s="19">
        <v>27</v>
      </c>
      <c r="S75" s="19"/>
    </row>
    <row r="76" spans="1:22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21">
        <v>54</v>
      </c>
    </row>
    <row r="77" spans="1:22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2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2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2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2" x14ac:dyDescent="0.35">
      <c r="A81" t="s">
        <v>388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2" x14ac:dyDescent="0.35">
      <c r="A82" t="s">
        <v>390</v>
      </c>
      <c r="O82" s="19"/>
      <c r="P82" s="19"/>
      <c r="Q82" s="19"/>
      <c r="R82" s="19"/>
      <c r="S82" s="19"/>
      <c r="T82" s="19"/>
      <c r="U82" s="19"/>
      <c r="V82" s="21">
        <v>27</v>
      </c>
    </row>
    <row r="83" spans="1:22" x14ac:dyDescent="0.35">
      <c r="A83" t="s">
        <v>392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2" x14ac:dyDescent="0.35">
      <c r="U84" s="22"/>
    </row>
    <row r="85" spans="1:22" x14ac:dyDescent="0.35">
      <c r="A85" t="s">
        <v>387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</row>
    <row r="86" spans="1:22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</row>
    <row r="87" spans="1:22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8*27+85.84*17</f>
        <v>1675.28</v>
      </c>
      <c r="V87" s="23">
        <f>15*27+85.84*17</f>
        <v>1864.28</v>
      </c>
    </row>
    <row r="88" spans="1:22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0.90225013194885784</v>
      </c>
      <c r="V88" s="24">
        <f t="shared" si="8"/>
        <v>1.073411715934085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61"/>
  <sheetViews>
    <sheetView topLeftCell="A237" workbookViewId="0">
      <selection activeCell="H265" sqref="H265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389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389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388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389</v>
      </c>
      <c r="O247" s="10" t="s">
        <v>385</v>
      </c>
      <c r="P247" s="10" t="s">
        <v>390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389</v>
      </c>
      <c r="G248" s="10" t="s">
        <v>385</v>
      </c>
      <c r="H248" s="10" t="s">
        <v>390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388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392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388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388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S83"/>
  <sheetViews>
    <sheetView topLeftCell="A39" zoomScaleNormal="100" workbookViewId="0">
      <pane xSplit="1" topLeftCell="BK1" activePane="topRight" state="frozen"/>
      <selection pane="topRight" activeCell="BS80" sqref="BS80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1" width="10.453125" bestFit="1" customWidth="1"/>
  </cols>
  <sheetData>
    <row r="1" spans="1:71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</row>
    <row r="2" spans="1:71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</row>
    <row r="3" spans="1:71" x14ac:dyDescent="0.35">
      <c r="A3" t="s">
        <v>24</v>
      </c>
      <c r="BO3">
        <v>2</v>
      </c>
    </row>
    <row r="4" spans="1:71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1" hidden="1" x14ac:dyDescent="0.35">
      <c r="A5" t="s">
        <v>365</v>
      </c>
    </row>
    <row r="6" spans="1:71" x14ac:dyDescent="0.35">
      <c r="A6" t="s">
        <v>77</v>
      </c>
      <c r="G6">
        <v>3</v>
      </c>
    </row>
    <row r="7" spans="1:71" x14ac:dyDescent="0.35">
      <c r="A7" t="s">
        <v>364</v>
      </c>
      <c r="AH7">
        <v>3</v>
      </c>
      <c r="AQ7">
        <v>2</v>
      </c>
      <c r="BS7">
        <v>3</v>
      </c>
    </row>
    <row r="8" spans="1:71" x14ac:dyDescent="0.35">
      <c r="A8" t="s">
        <v>7</v>
      </c>
      <c r="K8">
        <v>1</v>
      </c>
    </row>
    <row r="9" spans="1:71" x14ac:dyDescent="0.35">
      <c r="A9" t="s">
        <v>353</v>
      </c>
      <c r="G9">
        <v>1</v>
      </c>
    </row>
    <row r="10" spans="1:71" hidden="1" x14ac:dyDescent="0.35">
      <c r="A10" t="s">
        <v>347</v>
      </c>
    </row>
    <row r="11" spans="1:71" x14ac:dyDescent="0.35">
      <c r="A11" t="s">
        <v>48</v>
      </c>
    </row>
    <row r="12" spans="1:71" x14ac:dyDescent="0.35">
      <c r="A12" t="s">
        <v>382</v>
      </c>
    </row>
    <row r="13" spans="1:71" x14ac:dyDescent="0.35">
      <c r="A13" t="s">
        <v>362</v>
      </c>
      <c r="BK13">
        <v>1</v>
      </c>
    </row>
    <row r="14" spans="1:71" hidden="1" x14ac:dyDescent="0.35">
      <c r="A14" t="s">
        <v>18</v>
      </c>
    </row>
    <row r="15" spans="1:71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71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71" x14ac:dyDescent="0.35">
      <c r="A17" t="s">
        <v>378</v>
      </c>
      <c r="BL17">
        <v>1</v>
      </c>
      <c r="BR17">
        <v>1</v>
      </c>
    </row>
    <row r="18" spans="1:71" x14ac:dyDescent="0.35">
      <c r="A18" t="s">
        <v>54</v>
      </c>
      <c r="C18">
        <v>2</v>
      </c>
      <c r="D18">
        <v>3</v>
      </c>
      <c r="V18">
        <v>2</v>
      </c>
    </row>
    <row r="19" spans="1:71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  <c r="BP19">
        <v>1</v>
      </c>
    </row>
    <row r="20" spans="1:71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  <c r="BQ20">
        <v>2</v>
      </c>
      <c r="BR20">
        <v>3</v>
      </c>
    </row>
    <row r="21" spans="1:71" x14ac:dyDescent="0.35">
      <c r="A21" t="s">
        <v>392</v>
      </c>
      <c r="BP21">
        <v>2</v>
      </c>
    </row>
    <row r="22" spans="1:71" x14ac:dyDescent="0.35">
      <c r="A22" t="s">
        <v>15</v>
      </c>
      <c r="F22">
        <v>1</v>
      </c>
      <c r="H22">
        <v>2</v>
      </c>
      <c r="I22">
        <v>1</v>
      </c>
      <c r="AK22">
        <v>1</v>
      </c>
      <c r="AL22">
        <v>4</v>
      </c>
      <c r="AO22">
        <v>2</v>
      </c>
      <c r="AR22">
        <v>3</v>
      </c>
      <c r="AS22">
        <v>2</v>
      </c>
      <c r="AT22">
        <v>1</v>
      </c>
      <c r="AY22">
        <v>1</v>
      </c>
      <c r="BE22">
        <v>2</v>
      </c>
      <c r="BF22">
        <v>1</v>
      </c>
      <c r="BI22">
        <v>2</v>
      </c>
      <c r="BR22">
        <v>1</v>
      </c>
      <c r="BS22">
        <v>1</v>
      </c>
    </row>
    <row r="23" spans="1:71" x14ac:dyDescent="0.35">
      <c r="A23" t="s">
        <v>375</v>
      </c>
      <c r="AW23">
        <v>1</v>
      </c>
    </row>
    <row r="24" spans="1:71" x14ac:dyDescent="0.35">
      <c r="A24" t="s">
        <v>6</v>
      </c>
      <c r="B24">
        <v>3</v>
      </c>
      <c r="E24">
        <v>2</v>
      </c>
      <c r="H24">
        <v>1</v>
      </c>
      <c r="L24">
        <v>2</v>
      </c>
      <c r="M24">
        <v>2</v>
      </c>
      <c r="N24">
        <v>6</v>
      </c>
      <c r="O24">
        <v>1</v>
      </c>
      <c r="Q24">
        <v>3</v>
      </c>
      <c r="R24">
        <v>1</v>
      </c>
      <c r="S24">
        <v>1</v>
      </c>
      <c r="T24">
        <v>3</v>
      </c>
      <c r="U24">
        <v>3</v>
      </c>
      <c r="V24">
        <v>6</v>
      </c>
      <c r="W24">
        <v>2</v>
      </c>
      <c r="X24">
        <v>3</v>
      </c>
      <c r="Y24">
        <v>1</v>
      </c>
      <c r="Z24">
        <v>3.5</v>
      </c>
      <c r="AA24">
        <v>3.5</v>
      </c>
      <c r="AB24">
        <v>3</v>
      </c>
      <c r="AC24">
        <v>1</v>
      </c>
      <c r="AE24">
        <v>10</v>
      </c>
      <c r="AF24">
        <v>3</v>
      </c>
      <c r="AG24">
        <v>3</v>
      </c>
      <c r="AH24">
        <v>2</v>
      </c>
      <c r="AJ24">
        <v>3</v>
      </c>
      <c r="AK24">
        <v>3</v>
      </c>
      <c r="AL24">
        <v>5</v>
      </c>
      <c r="AN24">
        <v>1</v>
      </c>
      <c r="AO24">
        <v>6</v>
      </c>
      <c r="AP24">
        <v>4</v>
      </c>
      <c r="AQ24">
        <v>3</v>
      </c>
      <c r="AR24">
        <v>4</v>
      </c>
      <c r="AS24">
        <v>2</v>
      </c>
      <c r="AT24">
        <v>4</v>
      </c>
      <c r="AU24">
        <v>4</v>
      </c>
      <c r="AV24">
        <v>6</v>
      </c>
      <c r="AW24">
        <v>1</v>
      </c>
      <c r="AY24">
        <v>4</v>
      </c>
      <c r="AZ24">
        <v>1</v>
      </c>
      <c r="BA24">
        <v>3</v>
      </c>
      <c r="BC24">
        <v>5</v>
      </c>
      <c r="BD24">
        <v>2</v>
      </c>
      <c r="BE24">
        <v>3</v>
      </c>
      <c r="BF24">
        <v>3</v>
      </c>
      <c r="BG24">
        <v>3</v>
      </c>
      <c r="BH24">
        <v>1</v>
      </c>
      <c r="BI24">
        <v>5</v>
      </c>
      <c r="BJ24">
        <v>1</v>
      </c>
      <c r="BK24">
        <v>1</v>
      </c>
      <c r="BL24">
        <v>2</v>
      </c>
    </row>
    <row r="25" spans="1:71" x14ac:dyDescent="0.35">
      <c r="A25" t="s">
        <v>342</v>
      </c>
      <c r="T25">
        <v>4</v>
      </c>
      <c r="AH25">
        <v>1</v>
      </c>
      <c r="AK25">
        <v>1</v>
      </c>
      <c r="BQ25">
        <v>2</v>
      </c>
    </row>
    <row r="26" spans="1:71" hidden="1" x14ac:dyDescent="0.35">
      <c r="A26" t="s">
        <v>52</v>
      </c>
    </row>
    <row r="27" spans="1:71" x14ac:dyDescent="0.35">
      <c r="A27" t="s">
        <v>389</v>
      </c>
    </row>
    <row r="28" spans="1:71" x14ac:dyDescent="0.35">
      <c r="A28" t="s">
        <v>12</v>
      </c>
      <c r="N28">
        <v>2</v>
      </c>
      <c r="U28">
        <v>1</v>
      </c>
      <c r="AI28">
        <v>1</v>
      </c>
    </row>
    <row r="29" spans="1:71" x14ac:dyDescent="0.35">
      <c r="A29" t="s">
        <v>4</v>
      </c>
      <c r="E29">
        <v>1</v>
      </c>
      <c r="F29">
        <v>3</v>
      </c>
      <c r="H29">
        <v>1</v>
      </c>
      <c r="J29">
        <v>1</v>
      </c>
      <c r="K29">
        <v>3</v>
      </c>
      <c r="P29">
        <v>3</v>
      </c>
      <c r="U29">
        <v>3</v>
      </c>
      <c r="W29">
        <v>1</v>
      </c>
      <c r="AD29">
        <v>1</v>
      </c>
      <c r="AF29">
        <v>1</v>
      </c>
      <c r="AH29">
        <v>1</v>
      </c>
      <c r="AI29">
        <v>1</v>
      </c>
      <c r="AJ29">
        <v>2</v>
      </c>
      <c r="AO29">
        <v>2</v>
      </c>
      <c r="AP29">
        <v>2</v>
      </c>
      <c r="AQ29">
        <v>4</v>
      </c>
      <c r="AR29">
        <v>2</v>
      </c>
      <c r="AT29">
        <v>1</v>
      </c>
      <c r="AU29">
        <v>2</v>
      </c>
      <c r="AV29">
        <v>1</v>
      </c>
      <c r="AW29">
        <v>1</v>
      </c>
      <c r="AX29">
        <v>1</v>
      </c>
      <c r="AZ29">
        <v>2</v>
      </c>
      <c r="BA29">
        <v>2</v>
      </c>
      <c r="BB29">
        <v>1</v>
      </c>
      <c r="BD29">
        <v>2</v>
      </c>
      <c r="BE29">
        <v>3</v>
      </c>
      <c r="BF29">
        <v>1</v>
      </c>
      <c r="BG29">
        <v>1</v>
      </c>
      <c r="BJ29">
        <v>1</v>
      </c>
      <c r="BK29">
        <v>1</v>
      </c>
      <c r="BL29">
        <v>1</v>
      </c>
      <c r="BM29">
        <v>2</v>
      </c>
    </row>
    <row r="30" spans="1:71" x14ac:dyDescent="0.35">
      <c r="A30" t="s">
        <v>361</v>
      </c>
      <c r="AD30">
        <v>2</v>
      </c>
      <c r="AM30">
        <v>1</v>
      </c>
      <c r="AU30">
        <v>1</v>
      </c>
      <c r="BF30">
        <v>3</v>
      </c>
    </row>
    <row r="31" spans="1:71" x14ac:dyDescent="0.35">
      <c r="A31" t="s">
        <v>390</v>
      </c>
      <c r="BO31">
        <v>3</v>
      </c>
    </row>
    <row r="32" spans="1:71" x14ac:dyDescent="0.35">
      <c r="A32" t="s">
        <v>1</v>
      </c>
      <c r="B32">
        <v>1</v>
      </c>
      <c r="C32">
        <v>1</v>
      </c>
      <c r="D32">
        <v>1</v>
      </c>
      <c r="E32">
        <v>1</v>
      </c>
      <c r="F32">
        <v>2</v>
      </c>
      <c r="I32">
        <v>2</v>
      </c>
      <c r="J32">
        <v>1</v>
      </c>
      <c r="K32">
        <v>2</v>
      </c>
      <c r="L32">
        <v>1</v>
      </c>
      <c r="M32">
        <v>2</v>
      </c>
      <c r="N32">
        <v>1</v>
      </c>
      <c r="O32">
        <v>1</v>
      </c>
      <c r="P32">
        <v>2</v>
      </c>
      <c r="R32">
        <v>1</v>
      </c>
      <c r="T32">
        <v>1</v>
      </c>
      <c r="U32">
        <v>2</v>
      </c>
      <c r="Y32">
        <v>2</v>
      </c>
      <c r="AB32">
        <v>2</v>
      </c>
      <c r="AD32">
        <v>1</v>
      </c>
      <c r="AH32">
        <v>1</v>
      </c>
      <c r="AJ32">
        <v>1</v>
      </c>
      <c r="AN32">
        <v>2</v>
      </c>
      <c r="AO32">
        <v>1</v>
      </c>
      <c r="AP32">
        <v>2</v>
      </c>
      <c r="AQ32">
        <v>1</v>
      </c>
      <c r="AS32">
        <v>2</v>
      </c>
      <c r="AW32">
        <v>1</v>
      </c>
      <c r="AX32">
        <v>1</v>
      </c>
      <c r="AY32">
        <v>2</v>
      </c>
      <c r="AZ32">
        <v>2</v>
      </c>
      <c r="BA32">
        <v>1</v>
      </c>
      <c r="BB32">
        <v>2</v>
      </c>
      <c r="BC32">
        <v>4</v>
      </c>
      <c r="BD32">
        <v>1</v>
      </c>
      <c r="BE32">
        <v>1</v>
      </c>
      <c r="BG32">
        <v>2</v>
      </c>
      <c r="BH32">
        <v>3</v>
      </c>
      <c r="BJ32">
        <v>1</v>
      </c>
      <c r="BM32">
        <v>3</v>
      </c>
      <c r="BN32">
        <v>1</v>
      </c>
      <c r="BP32">
        <v>1</v>
      </c>
      <c r="BR32">
        <v>3</v>
      </c>
    </row>
    <row r="33" spans="1:71" hidden="1" x14ac:dyDescent="0.35">
      <c r="A33" t="s">
        <v>351</v>
      </c>
      <c r="Z33">
        <v>1</v>
      </c>
    </row>
    <row r="34" spans="1:71" x14ac:dyDescent="0.35">
      <c r="A34" t="s">
        <v>9</v>
      </c>
      <c r="C34">
        <v>1</v>
      </c>
      <c r="D34">
        <v>1</v>
      </c>
      <c r="G34">
        <v>2</v>
      </c>
      <c r="H34">
        <v>2</v>
      </c>
      <c r="I34">
        <v>1</v>
      </c>
      <c r="J34">
        <v>1</v>
      </c>
      <c r="K34">
        <v>2</v>
      </c>
      <c r="L34">
        <v>5</v>
      </c>
      <c r="M34">
        <v>1</v>
      </c>
      <c r="O34">
        <v>4</v>
      </c>
      <c r="P34">
        <v>1</v>
      </c>
      <c r="Q34">
        <v>2</v>
      </c>
      <c r="T34">
        <v>6</v>
      </c>
      <c r="X34">
        <v>2</v>
      </c>
      <c r="Y34">
        <v>2</v>
      </c>
      <c r="Z34">
        <v>1</v>
      </c>
      <c r="AA34">
        <v>1</v>
      </c>
      <c r="AB34">
        <v>1</v>
      </c>
      <c r="AC34">
        <v>3</v>
      </c>
      <c r="AF34">
        <v>4</v>
      </c>
      <c r="AI34">
        <v>1</v>
      </c>
      <c r="AL34">
        <v>1</v>
      </c>
      <c r="AN34">
        <v>1</v>
      </c>
      <c r="AR34">
        <v>2</v>
      </c>
      <c r="AS34">
        <v>3</v>
      </c>
      <c r="AT34">
        <v>1</v>
      </c>
      <c r="AW34">
        <v>2</v>
      </c>
      <c r="AX34">
        <v>5</v>
      </c>
      <c r="AY34">
        <v>3</v>
      </c>
      <c r="AZ34">
        <v>1</v>
      </c>
      <c r="BA34">
        <v>3</v>
      </c>
      <c r="BB34">
        <v>2</v>
      </c>
      <c r="BD34">
        <v>3</v>
      </c>
      <c r="BF34">
        <v>3</v>
      </c>
      <c r="BG34">
        <v>4</v>
      </c>
      <c r="BH34">
        <v>3</v>
      </c>
      <c r="BI34">
        <v>2</v>
      </c>
      <c r="BJ34">
        <v>1</v>
      </c>
      <c r="BL34">
        <v>1</v>
      </c>
      <c r="BM34">
        <v>2</v>
      </c>
      <c r="BN34">
        <v>1</v>
      </c>
      <c r="BP34">
        <v>1</v>
      </c>
      <c r="BQ34">
        <v>2</v>
      </c>
      <c r="BR34">
        <v>3</v>
      </c>
      <c r="BS34">
        <v>2</v>
      </c>
    </row>
    <row r="35" spans="1:71" x14ac:dyDescent="0.35">
      <c r="A35" t="s">
        <v>381</v>
      </c>
      <c r="BG35">
        <v>2</v>
      </c>
    </row>
    <row r="36" spans="1:71" x14ac:dyDescent="0.35">
      <c r="A36" t="s">
        <v>20</v>
      </c>
      <c r="B36">
        <v>1</v>
      </c>
      <c r="D36">
        <v>1</v>
      </c>
      <c r="F36">
        <v>2</v>
      </c>
      <c r="G36">
        <v>2</v>
      </c>
      <c r="H36">
        <v>4</v>
      </c>
      <c r="J36">
        <v>2</v>
      </c>
      <c r="K36">
        <v>2</v>
      </c>
      <c r="L36">
        <v>1</v>
      </c>
      <c r="M36">
        <v>1</v>
      </c>
      <c r="P36">
        <v>1</v>
      </c>
      <c r="Q36">
        <v>1</v>
      </c>
      <c r="R36">
        <v>3</v>
      </c>
      <c r="S36">
        <v>2</v>
      </c>
      <c r="T36">
        <v>2</v>
      </c>
      <c r="U36">
        <v>2</v>
      </c>
      <c r="W36">
        <v>3</v>
      </c>
      <c r="X36">
        <v>3</v>
      </c>
      <c r="Y36">
        <v>2</v>
      </c>
      <c r="AA36">
        <v>2</v>
      </c>
      <c r="AB36">
        <v>2</v>
      </c>
      <c r="AC36">
        <v>2</v>
      </c>
      <c r="AE36">
        <v>2</v>
      </c>
      <c r="AF36">
        <v>1</v>
      </c>
      <c r="AG36">
        <v>2</v>
      </c>
      <c r="AJ36">
        <v>4</v>
      </c>
      <c r="AK36">
        <v>2</v>
      </c>
      <c r="AM36">
        <v>1</v>
      </c>
      <c r="AN36">
        <v>1</v>
      </c>
      <c r="AO36">
        <v>1</v>
      </c>
      <c r="AP36">
        <v>1</v>
      </c>
      <c r="AU36">
        <v>1</v>
      </c>
      <c r="AV36">
        <v>1</v>
      </c>
      <c r="AW36">
        <v>2</v>
      </c>
      <c r="BA36">
        <v>1</v>
      </c>
      <c r="BH36">
        <v>2</v>
      </c>
      <c r="BJ36">
        <v>2</v>
      </c>
      <c r="BK36">
        <v>3</v>
      </c>
      <c r="BP36">
        <v>2</v>
      </c>
    </row>
    <row r="37" spans="1:71" x14ac:dyDescent="0.35">
      <c r="A37" t="s">
        <v>80</v>
      </c>
      <c r="F37">
        <v>1</v>
      </c>
    </row>
    <row r="38" spans="1:71" hidden="1" x14ac:dyDescent="0.35">
      <c r="A38" t="s">
        <v>61</v>
      </c>
      <c r="D38">
        <v>1</v>
      </c>
    </row>
    <row r="39" spans="1:71" x14ac:dyDescent="0.35">
      <c r="A39" t="s">
        <v>374</v>
      </c>
      <c r="AW39">
        <v>2</v>
      </c>
    </row>
    <row r="40" spans="1:71" x14ac:dyDescent="0.35">
      <c r="A40" t="s">
        <v>19</v>
      </c>
      <c r="B40">
        <v>2</v>
      </c>
      <c r="C40">
        <v>1</v>
      </c>
      <c r="D40">
        <v>1</v>
      </c>
      <c r="F40">
        <v>4</v>
      </c>
      <c r="G40">
        <v>3</v>
      </c>
      <c r="H40">
        <v>1</v>
      </c>
      <c r="I40">
        <v>1</v>
      </c>
      <c r="M40">
        <v>2</v>
      </c>
      <c r="N40">
        <v>3</v>
      </c>
      <c r="T40">
        <v>1</v>
      </c>
      <c r="X40">
        <v>1</v>
      </c>
      <c r="AA40">
        <v>2</v>
      </c>
      <c r="AB40">
        <v>2</v>
      </c>
      <c r="AC40">
        <v>1</v>
      </c>
      <c r="AD40">
        <v>2</v>
      </c>
      <c r="AE40">
        <v>1</v>
      </c>
      <c r="AG40">
        <v>1</v>
      </c>
      <c r="AH40">
        <v>2</v>
      </c>
      <c r="AJ40">
        <v>1</v>
      </c>
      <c r="AM40">
        <v>4</v>
      </c>
      <c r="AN40">
        <v>1</v>
      </c>
      <c r="AP40">
        <v>1</v>
      </c>
      <c r="AR40">
        <v>1</v>
      </c>
      <c r="AS40">
        <v>1</v>
      </c>
      <c r="AT40">
        <v>1</v>
      </c>
      <c r="AV40">
        <v>1</v>
      </c>
      <c r="AZ40">
        <v>2</v>
      </c>
      <c r="BA40">
        <v>1</v>
      </c>
      <c r="BC40">
        <v>3</v>
      </c>
      <c r="BD40">
        <v>1</v>
      </c>
      <c r="BI40">
        <v>1</v>
      </c>
      <c r="BJ40">
        <v>1</v>
      </c>
      <c r="BK40">
        <v>3</v>
      </c>
      <c r="BL40">
        <v>2</v>
      </c>
      <c r="BM40">
        <v>5</v>
      </c>
      <c r="BO40">
        <v>1</v>
      </c>
      <c r="BP40">
        <v>3</v>
      </c>
      <c r="BQ40">
        <v>3</v>
      </c>
      <c r="BS40">
        <v>1</v>
      </c>
    </row>
    <row r="41" spans="1:71" x14ac:dyDescent="0.35">
      <c r="A41" t="s">
        <v>43</v>
      </c>
      <c r="AQ41">
        <v>2</v>
      </c>
    </row>
    <row r="42" spans="1:71" x14ac:dyDescent="0.35">
      <c r="A42" t="s">
        <v>68</v>
      </c>
      <c r="E42">
        <v>1</v>
      </c>
      <c r="I42">
        <v>1</v>
      </c>
      <c r="N42">
        <v>1</v>
      </c>
      <c r="W42">
        <v>2</v>
      </c>
      <c r="AQ42">
        <v>1</v>
      </c>
    </row>
    <row r="43" spans="1:71" hidden="1" x14ac:dyDescent="0.35">
      <c r="A43" t="s">
        <v>53</v>
      </c>
      <c r="N43">
        <v>1</v>
      </c>
    </row>
    <row r="44" spans="1:71" x14ac:dyDescent="0.35">
      <c r="A44" t="s">
        <v>368</v>
      </c>
      <c r="AM44">
        <v>5</v>
      </c>
      <c r="BB44">
        <v>9</v>
      </c>
      <c r="BN44">
        <v>2</v>
      </c>
    </row>
    <row r="45" spans="1:71" x14ac:dyDescent="0.35">
      <c r="A45" t="s">
        <v>345</v>
      </c>
      <c r="U45">
        <v>1</v>
      </c>
      <c r="BR45">
        <v>1</v>
      </c>
      <c r="BS45">
        <v>1</v>
      </c>
    </row>
    <row r="46" spans="1:71" x14ac:dyDescent="0.35">
      <c r="A46" t="s">
        <v>343</v>
      </c>
      <c r="AN46">
        <v>1</v>
      </c>
      <c r="BR46">
        <v>1</v>
      </c>
      <c r="BS46">
        <v>1</v>
      </c>
    </row>
    <row r="47" spans="1:71" x14ac:dyDescent="0.35">
      <c r="A47" t="s">
        <v>344</v>
      </c>
      <c r="X47">
        <v>1</v>
      </c>
      <c r="Y47">
        <v>2</v>
      </c>
      <c r="AF47">
        <v>2</v>
      </c>
    </row>
    <row r="48" spans="1:71" x14ac:dyDescent="0.35">
      <c r="A48" t="s">
        <v>10</v>
      </c>
      <c r="B48">
        <v>2</v>
      </c>
      <c r="C48">
        <v>3</v>
      </c>
      <c r="F48">
        <v>2</v>
      </c>
      <c r="I48">
        <v>2</v>
      </c>
      <c r="J48">
        <v>2</v>
      </c>
      <c r="K48">
        <v>1</v>
      </c>
      <c r="L48">
        <v>1</v>
      </c>
      <c r="M48">
        <v>1</v>
      </c>
      <c r="O48">
        <v>2</v>
      </c>
      <c r="R48">
        <v>3</v>
      </c>
      <c r="S48">
        <v>1</v>
      </c>
      <c r="T48">
        <v>1</v>
      </c>
      <c r="V48">
        <v>1</v>
      </c>
      <c r="W48">
        <v>3</v>
      </c>
      <c r="X48">
        <v>1</v>
      </c>
      <c r="Y48">
        <v>1</v>
      </c>
      <c r="Z48">
        <v>1.5</v>
      </c>
      <c r="AC48">
        <v>1</v>
      </c>
      <c r="AD48">
        <v>2</v>
      </c>
      <c r="AE48">
        <v>1</v>
      </c>
      <c r="AF48">
        <v>2</v>
      </c>
      <c r="AH48">
        <v>2</v>
      </c>
      <c r="AL48">
        <v>3</v>
      </c>
      <c r="AP48">
        <v>2</v>
      </c>
      <c r="AQ48">
        <v>4</v>
      </c>
      <c r="AR48">
        <v>3</v>
      </c>
      <c r="AS48">
        <v>0.5</v>
      </c>
      <c r="AU48">
        <v>2</v>
      </c>
      <c r="AV48">
        <v>1</v>
      </c>
      <c r="BC48">
        <v>1</v>
      </c>
      <c r="BD48">
        <v>1</v>
      </c>
      <c r="BE48">
        <v>7</v>
      </c>
      <c r="BH48">
        <v>1</v>
      </c>
      <c r="BI48">
        <v>1</v>
      </c>
      <c r="BJ48">
        <v>3</v>
      </c>
      <c r="BK48">
        <v>3</v>
      </c>
      <c r="BL48">
        <v>1</v>
      </c>
      <c r="BM48">
        <v>1</v>
      </c>
      <c r="BN48">
        <v>4</v>
      </c>
      <c r="BP48">
        <v>1</v>
      </c>
      <c r="BQ48">
        <v>3</v>
      </c>
      <c r="BR48">
        <v>1</v>
      </c>
    </row>
    <row r="49" spans="1:71" x14ac:dyDescent="0.35">
      <c r="A49" t="s">
        <v>46</v>
      </c>
      <c r="B49">
        <v>1</v>
      </c>
      <c r="O49">
        <v>3</v>
      </c>
      <c r="P49">
        <v>1</v>
      </c>
      <c r="Q49">
        <v>2</v>
      </c>
      <c r="AM49">
        <v>1</v>
      </c>
      <c r="AN49">
        <v>1</v>
      </c>
      <c r="AP49">
        <v>1</v>
      </c>
      <c r="AS49">
        <v>1</v>
      </c>
      <c r="AV49">
        <v>1</v>
      </c>
      <c r="AX49">
        <v>5</v>
      </c>
      <c r="AY49">
        <v>1</v>
      </c>
      <c r="BA49">
        <v>2</v>
      </c>
      <c r="BB49">
        <v>4</v>
      </c>
      <c r="BE49">
        <v>3</v>
      </c>
      <c r="BF49">
        <v>2</v>
      </c>
      <c r="BH49">
        <v>3</v>
      </c>
      <c r="BK49">
        <v>1</v>
      </c>
    </row>
    <row r="50" spans="1:71" x14ac:dyDescent="0.35">
      <c r="A50" t="s">
        <v>377</v>
      </c>
    </row>
    <row r="51" spans="1:71" x14ac:dyDescent="0.35">
      <c r="A51" t="s">
        <v>3</v>
      </c>
      <c r="F51">
        <v>3</v>
      </c>
      <c r="L51">
        <v>1</v>
      </c>
      <c r="S51">
        <v>3</v>
      </c>
      <c r="AH51">
        <v>1</v>
      </c>
    </row>
    <row r="52" spans="1:71" hidden="1" x14ac:dyDescent="0.35">
      <c r="A52" t="s">
        <v>350</v>
      </c>
    </row>
    <row r="53" spans="1:71" x14ac:dyDescent="0.35">
      <c r="A53" t="s">
        <v>56</v>
      </c>
      <c r="C53">
        <v>3</v>
      </c>
      <c r="E53">
        <v>2</v>
      </c>
      <c r="F53">
        <v>1</v>
      </c>
      <c r="G53">
        <v>2</v>
      </c>
      <c r="I53">
        <v>1</v>
      </c>
      <c r="J53">
        <v>1</v>
      </c>
      <c r="K53">
        <v>1</v>
      </c>
      <c r="L53">
        <v>1</v>
      </c>
      <c r="M53">
        <v>1</v>
      </c>
      <c r="P53">
        <v>1</v>
      </c>
      <c r="R53">
        <v>1</v>
      </c>
      <c r="S53">
        <v>4</v>
      </c>
      <c r="T53">
        <v>1</v>
      </c>
      <c r="V53">
        <v>1</v>
      </c>
      <c r="W53">
        <v>2</v>
      </c>
      <c r="Z53">
        <v>2</v>
      </c>
      <c r="AA53">
        <v>1</v>
      </c>
      <c r="AB53">
        <v>4</v>
      </c>
      <c r="AC53">
        <v>1</v>
      </c>
      <c r="AD53">
        <v>1</v>
      </c>
      <c r="AX53">
        <v>1</v>
      </c>
      <c r="AY53">
        <v>1</v>
      </c>
      <c r="AZ53">
        <v>2</v>
      </c>
      <c r="BD53">
        <v>1</v>
      </c>
      <c r="BF53">
        <v>1</v>
      </c>
      <c r="BH53">
        <v>1</v>
      </c>
      <c r="BI53">
        <v>1</v>
      </c>
      <c r="BJ53">
        <v>2</v>
      </c>
      <c r="BK53">
        <v>1</v>
      </c>
      <c r="BL53">
        <v>2</v>
      </c>
      <c r="BM53">
        <v>2</v>
      </c>
      <c r="BN53">
        <v>2</v>
      </c>
      <c r="BO53">
        <v>1</v>
      </c>
      <c r="BP53">
        <v>1</v>
      </c>
      <c r="BR53">
        <v>1</v>
      </c>
      <c r="BS53">
        <v>2</v>
      </c>
    </row>
    <row r="54" spans="1:71" x14ac:dyDescent="0.35">
      <c r="A54" t="s">
        <v>369</v>
      </c>
      <c r="AN54">
        <v>3</v>
      </c>
    </row>
    <row r="55" spans="1:71" x14ac:dyDescent="0.35">
      <c r="A55" t="s">
        <v>388</v>
      </c>
      <c r="BN55">
        <v>3</v>
      </c>
      <c r="BO55">
        <v>2</v>
      </c>
      <c r="BQ55">
        <v>2</v>
      </c>
    </row>
    <row r="56" spans="1:71" x14ac:dyDescent="0.35">
      <c r="A56" t="s">
        <v>60</v>
      </c>
      <c r="B56">
        <v>2</v>
      </c>
      <c r="BF56">
        <v>1</v>
      </c>
    </row>
    <row r="57" spans="1:71" x14ac:dyDescent="0.35">
      <c r="A57" t="s">
        <v>340</v>
      </c>
      <c r="Q57">
        <v>1</v>
      </c>
      <c r="U57">
        <v>1</v>
      </c>
      <c r="W57">
        <v>1</v>
      </c>
      <c r="X57">
        <v>3</v>
      </c>
      <c r="Y57">
        <v>1</v>
      </c>
      <c r="Z57">
        <v>1</v>
      </c>
    </row>
    <row r="58" spans="1:71" x14ac:dyDescent="0.35">
      <c r="A58" t="s">
        <v>339</v>
      </c>
    </row>
    <row r="59" spans="1:71" x14ac:dyDescent="0.35">
      <c r="A59" t="s">
        <v>11</v>
      </c>
    </row>
    <row r="60" spans="1:71" x14ac:dyDescent="0.35">
      <c r="A60" t="s">
        <v>55</v>
      </c>
      <c r="B60">
        <v>2</v>
      </c>
      <c r="C60">
        <v>1</v>
      </c>
      <c r="D60">
        <v>1</v>
      </c>
      <c r="E60">
        <v>1</v>
      </c>
      <c r="F60">
        <v>3</v>
      </c>
      <c r="G60">
        <v>2</v>
      </c>
      <c r="H60">
        <v>3</v>
      </c>
      <c r="J60">
        <v>1</v>
      </c>
      <c r="K60">
        <v>1</v>
      </c>
      <c r="M60">
        <v>3</v>
      </c>
      <c r="N60">
        <v>4</v>
      </c>
      <c r="X60">
        <v>6</v>
      </c>
      <c r="Y60">
        <v>5</v>
      </c>
      <c r="Z60">
        <v>1</v>
      </c>
      <c r="AD60">
        <v>2</v>
      </c>
      <c r="AG60">
        <v>3</v>
      </c>
      <c r="AJ60">
        <v>2</v>
      </c>
      <c r="AM60">
        <v>2</v>
      </c>
      <c r="AO60">
        <v>3</v>
      </c>
      <c r="AQ60">
        <v>2</v>
      </c>
      <c r="AT60">
        <v>1</v>
      </c>
      <c r="AU60">
        <v>4</v>
      </c>
      <c r="AV60">
        <v>2</v>
      </c>
      <c r="AX60">
        <v>1</v>
      </c>
      <c r="AY60">
        <v>2</v>
      </c>
      <c r="AZ60">
        <v>1</v>
      </c>
      <c r="BA60">
        <v>4</v>
      </c>
      <c r="BB60">
        <v>2</v>
      </c>
      <c r="BH60">
        <v>1</v>
      </c>
      <c r="BR60">
        <v>2</v>
      </c>
    </row>
    <row r="61" spans="1:71" x14ac:dyDescent="0.35">
      <c r="A61" t="s">
        <v>21</v>
      </c>
    </row>
    <row r="62" spans="1:71" x14ac:dyDescent="0.35">
      <c r="A62" t="s">
        <v>81</v>
      </c>
      <c r="G62">
        <v>3</v>
      </c>
      <c r="K62">
        <v>1</v>
      </c>
      <c r="BG62">
        <v>2</v>
      </c>
      <c r="BN62">
        <v>4</v>
      </c>
      <c r="BP62">
        <v>1</v>
      </c>
      <c r="BR62">
        <v>2</v>
      </c>
      <c r="BS62">
        <v>3</v>
      </c>
    </row>
    <row r="63" spans="1:71" x14ac:dyDescent="0.35">
      <c r="A63" t="s">
        <v>63</v>
      </c>
      <c r="B63">
        <v>2</v>
      </c>
      <c r="D63">
        <v>1</v>
      </c>
      <c r="AF63">
        <v>2</v>
      </c>
      <c r="AQ63">
        <v>3</v>
      </c>
      <c r="BF63">
        <v>1</v>
      </c>
      <c r="BM63">
        <v>1</v>
      </c>
    </row>
    <row r="64" spans="1:71" hidden="1" x14ac:dyDescent="0.35">
      <c r="A64" t="s">
        <v>83</v>
      </c>
    </row>
    <row r="65" spans="1:71" x14ac:dyDescent="0.35">
      <c r="A65" t="s">
        <v>22</v>
      </c>
      <c r="Y65">
        <v>1</v>
      </c>
      <c r="AB65">
        <v>2</v>
      </c>
      <c r="AD65">
        <v>3</v>
      </c>
      <c r="AI65">
        <v>1</v>
      </c>
      <c r="AR65">
        <v>4</v>
      </c>
      <c r="AV65">
        <v>3</v>
      </c>
      <c r="BA65">
        <v>2</v>
      </c>
      <c r="BB65">
        <v>5</v>
      </c>
      <c r="BE65">
        <v>6</v>
      </c>
      <c r="BS65">
        <v>1</v>
      </c>
    </row>
    <row r="66" spans="1:71" x14ac:dyDescent="0.35">
      <c r="A66" t="s">
        <v>376</v>
      </c>
      <c r="AU66">
        <v>1</v>
      </c>
      <c r="AV66">
        <v>1</v>
      </c>
      <c r="AW66">
        <v>3</v>
      </c>
      <c r="AX66">
        <v>1</v>
      </c>
      <c r="AZ66">
        <v>1</v>
      </c>
      <c r="BC66">
        <v>2</v>
      </c>
    </row>
    <row r="67" spans="1:71" x14ac:dyDescent="0.35">
      <c r="A67" t="s">
        <v>44</v>
      </c>
      <c r="N67">
        <v>3</v>
      </c>
      <c r="S67">
        <v>2</v>
      </c>
      <c r="AG67">
        <v>2</v>
      </c>
      <c r="AI67">
        <v>1</v>
      </c>
      <c r="AP67">
        <v>2</v>
      </c>
      <c r="AQ67">
        <v>1</v>
      </c>
      <c r="AR67">
        <v>3</v>
      </c>
      <c r="AW67">
        <v>1</v>
      </c>
      <c r="BA67">
        <v>1</v>
      </c>
      <c r="BE67">
        <v>1</v>
      </c>
      <c r="BI67">
        <v>2</v>
      </c>
      <c r="BL67">
        <v>2</v>
      </c>
      <c r="BN67">
        <v>2</v>
      </c>
      <c r="BO67">
        <v>1</v>
      </c>
      <c r="BP67">
        <v>1</v>
      </c>
      <c r="BR67">
        <v>1</v>
      </c>
    </row>
    <row r="68" spans="1:71" x14ac:dyDescent="0.35">
      <c r="A68" t="s">
        <v>379</v>
      </c>
      <c r="BF68">
        <v>1</v>
      </c>
      <c r="BG68">
        <v>1</v>
      </c>
    </row>
    <row r="69" spans="1:71" x14ac:dyDescent="0.35">
      <c r="A69" t="s">
        <v>8</v>
      </c>
      <c r="B69">
        <v>1</v>
      </c>
      <c r="H69">
        <v>1</v>
      </c>
      <c r="J69">
        <v>2</v>
      </c>
      <c r="Q69">
        <v>2</v>
      </c>
    </row>
    <row r="70" spans="1:71" hidden="1" x14ac:dyDescent="0.35">
      <c r="A70" t="s">
        <v>354</v>
      </c>
    </row>
    <row r="71" spans="1:71" x14ac:dyDescent="0.35">
      <c r="A71" t="s">
        <v>82</v>
      </c>
      <c r="B71">
        <v>2</v>
      </c>
      <c r="C71">
        <v>2</v>
      </c>
      <c r="D71">
        <v>1</v>
      </c>
      <c r="E71">
        <v>2</v>
      </c>
      <c r="F71">
        <v>1</v>
      </c>
      <c r="G71">
        <v>2</v>
      </c>
      <c r="H71">
        <v>2</v>
      </c>
      <c r="I71">
        <v>3</v>
      </c>
      <c r="J71">
        <v>4</v>
      </c>
      <c r="L71">
        <v>4</v>
      </c>
      <c r="M71">
        <v>1</v>
      </c>
      <c r="N71">
        <v>2</v>
      </c>
      <c r="O71">
        <v>1</v>
      </c>
      <c r="P71">
        <v>1</v>
      </c>
      <c r="Q71">
        <v>1</v>
      </c>
      <c r="R71">
        <v>3</v>
      </c>
      <c r="S71">
        <v>3</v>
      </c>
      <c r="U71">
        <v>3</v>
      </c>
      <c r="V71">
        <v>1</v>
      </c>
      <c r="W71">
        <v>3</v>
      </c>
      <c r="AC71">
        <v>1</v>
      </c>
      <c r="AF71">
        <v>1</v>
      </c>
      <c r="AH71">
        <v>2</v>
      </c>
      <c r="AI71">
        <v>3</v>
      </c>
      <c r="AJ71">
        <v>1</v>
      </c>
      <c r="AK71">
        <v>4</v>
      </c>
      <c r="AL71">
        <v>3</v>
      </c>
      <c r="AN71">
        <v>1</v>
      </c>
      <c r="AP71">
        <v>2</v>
      </c>
      <c r="AT71">
        <v>2</v>
      </c>
      <c r="AU71">
        <v>3</v>
      </c>
      <c r="AV71">
        <v>1</v>
      </c>
      <c r="AW71">
        <v>1</v>
      </c>
      <c r="AX71">
        <v>1</v>
      </c>
      <c r="AY71">
        <v>1</v>
      </c>
      <c r="AZ71">
        <v>2</v>
      </c>
      <c r="BC71">
        <v>2</v>
      </c>
      <c r="BD71">
        <v>1</v>
      </c>
      <c r="BF71">
        <v>2</v>
      </c>
      <c r="BH71">
        <v>3</v>
      </c>
      <c r="BI71">
        <v>1</v>
      </c>
      <c r="BJ71">
        <v>2</v>
      </c>
      <c r="BK71">
        <v>3</v>
      </c>
      <c r="BM71">
        <v>2</v>
      </c>
      <c r="BN71">
        <v>3</v>
      </c>
    </row>
    <row r="72" spans="1:71" x14ac:dyDescent="0.35">
      <c r="A72" t="s">
        <v>49</v>
      </c>
      <c r="G72">
        <v>2</v>
      </c>
    </row>
    <row r="73" spans="1:71" x14ac:dyDescent="0.35">
      <c r="A73" t="s">
        <v>385</v>
      </c>
    </row>
    <row r="74" spans="1:71" x14ac:dyDescent="0.35">
      <c r="A74" t="s">
        <v>85</v>
      </c>
      <c r="K74">
        <v>4</v>
      </c>
      <c r="L74">
        <v>2</v>
      </c>
      <c r="M74">
        <v>5</v>
      </c>
    </row>
    <row r="75" spans="1:71" x14ac:dyDescent="0.35">
      <c r="A75" t="s">
        <v>5</v>
      </c>
      <c r="B75">
        <v>1</v>
      </c>
      <c r="C75">
        <v>2</v>
      </c>
      <c r="D75">
        <v>2</v>
      </c>
      <c r="E75">
        <v>3</v>
      </c>
      <c r="F75">
        <v>2</v>
      </c>
      <c r="G75">
        <v>3</v>
      </c>
      <c r="H75">
        <v>1</v>
      </c>
      <c r="M75">
        <v>4</v>
      </c>
      <c r="N75">
        <v>6</v>
      </c>
      <c r="P75">
        <v>2</v>
      </c>
      <c r="Q75">
        <v>1</v>
      </c>
      <c r="R75">
        <v>2</v>
      </c>
      <c r="S75">
        <v>3</v>
      </c>
      <c r="V75">
        <v>2</v>
      </c>
      <c r="W75">
        <v>1</v>
      </c>
      <c r="X75">
        <v>1</v>
      </c>
      <c r="Y75">
        <v>4</v>
      </c>
      <c r="Z75">
        <v>5</v>
      </c>
      <c r="AA75">
        <v>1</v>
      </c>
      <c r="AB75">
        <v>3</v>
      </c>
      <c r="AC75">
        <v>4</v>
      </c>
      <c r="AD75">
        <v>3</v>
      </c>
      <c r="AE75">
        <v>3</v>
      </c>
      <c r="AF75">
        <v>2</v>
      </c>
      <c r="AG75">
        <v>5</v>
      </c>
      <c r="AH75">
        <v>7</v>
      </c>
      <c r="AI75">
        <v>3</v>
      </c>
      <c r="AJ75">
        <v>1</v>
      </c>
      <c r="AK75">
        <v>1</v>
      </c>
      <c r="AL75">
        <v>6</v>
      </c>
      <c r="AR75">
        <v>3</v>
      </c>
      <c r="AS75">
        <v>2</v>
      </c>
      <c r="AV75">
        <v>2</v>
      </c>
      <c r="AW75">
        <v>1</v>
      </c>
      <c r="AX75">
        <v>4</v>
      </c>
      <c r="AY75">
        <v>3</v>
      </c>
      <c r="AZ75">
        <v>4</v>
      </c>
      <c r="BA75">
        <v>5</v>
      </c>
      <c r="BB75">
        <v>6</v>
      </c>
      <c r="BC75">
        <v>2</v>
      </c>
      <c r="BD75">
        <v>2</v>
      </c>
      <c r="BE75">
        <v>7</v>
      </c>
      <c r="BG75">
        <v>4</v>
      </c>
      <c r="BH75">
        <v>3</v>
      </c>
      <c r="BI75">
        <v>4</v>
      </c>
      <c r="BK75">
        <v>1</v>
      </c>
      <c r="BL75">
        <v>8</v>
      </c>
      <c r="BM75">
        <v>4</v>
      </c>
      <c r="BN75">
        <v>5</v>
      </c>
      <c r="BO75">
        <v>3</v>
      </c>
      <c r="BP75">
        <v>1</v>
      </c>
      <c r="BQ75">
        <v>1</v>
      </c>
      <c r="BR75">
        <v>3</v>
      </c>
      <c r="BS75">
        <v>1</v>
      </c>
    </row>
    <row r="76" spans="1:71" x14ac:dyDescent="0.35">
      <c r="A76" t="s">
        <v>45</v>
      </c>
      <c r="K76">
        <v>1</v>
      </c>
      <c r="BJ76">
        <v>1</v>
      </c>
    </row>
    <row r="77" spans="1:71" x14ac:dyDescent="0.35">
      <c r="A77" t="s">
        <v>367</v>
      </c>
      <c r="B77">
        <v>1</v>
      </c>
      <c r="D77">
        <v>1</v>
      </c>
      <c r="E77">
        <v>3</v>
      </c>
      <c r="O77">
        <v>2</v>
      </c>
      <c r="P77">
        <v>2</v>
      </c>
      <c r="Q77">
        <v>1</v>
      </c>
      <c r="R77">
        <v>1</v>
      </c>
      <c r="AD77">
        <v>1</v>
      </c>
      <c r="AE77">
        <v>1</v>
      </c>
      <c r="AG77">
        <v>1</v>
      </c>
      <c r="AH77">
        <v>2</v>
      </c>
      <c r="AL77">
        <v>3</v>
      </c>
      <c r="AM77">
        <v>2</v>
      </c>
      <c r="AN77">
        <v>1</v>
      </c>
      <c r="AO77">
        <v>1</v>
      </c>
      <c r="AR77">
        <v>1</v>
      </c>
      <c r="AS77">
        <v>1</v>
      </c>
      <c r="AT77">
        <v>1</v>
      </c>
      <c r="AV77">
        <v>1</v>
      </c>
      <c r="AW77">
        <v>2</v>
      </c>
      <c r="BD77">
        <v>1</v>
      </c>
      <c r="BF77">
        <v>1</v>
      </c>
      <c r="BI77">
        <v>1</v>
      </c>
    </row>
    <row r="78" spans="1:71" hidden="1" x14ac:dyDescent="0.35">
      <c r="A78" t="s">
        <v>352</v>
      </c>
      <c r="Z78">
        <v>1</v>
      </c>
    </row>
    <row r="79" spans="1:71" hidden="1" x14ac:dyDescent="0.35">
      <c r="A79" t="s">
        <v>366</v>
      </c>
    </row>
    <row r="80" spans="1:71" x14ac:dyDescent="0.35">
      <c r="A80" t="s">
        <v>17</v>
      </c>
      <c r="F80">
        <v>2</v>
      </c>
      <c r="J80">
        <v>1</v>
      </c>
      <c r="K80">
        <v>1</v>
      </c>
    </row>
    <row r="81" spans="1:71" hidden="1" x14ac:dyDescent="0.35">
      <c r="A81" t="s">
        <v>86</v>
      </c>
      <c r="K81">
        <v>5</v>
      </c>
    </row>
    <row r="82" spans="1:71" x14ac:dyDescent="0.35">
      <c r="A82" t="s">
        <v>16</v>
      </c>
      <c r="C82">
        <v>4</v>
      </c>
      <c r="D82">
        <v>3</v>
      </c>
      <c r="F82">
        <v>2</v>
      </c>
      <c r="G82">
        <v>5</v>
      </c>
      <c r="H82">
        <v>3</v>
      </c>
      <c r="I82">
        <v>2</v>
      </c>
      <c r="J82">
        <v>5</v>
      </c>
      <c r="K82">
        <v>3</v>
      </c>
      <c r="L82">
        <v>2</v>
      </c>
      <c r="M82">
        <v>3</v>
      </c>
      <c r="O82">
        <v>5</v>
      </c>
      <c r="P82">
        <v>5</v>
      </c>
      <c r="Q82">
        <v>3</v>
      </c>
      <c r="R82">
        <v>2</v>
      </c>
      <c r="S82">
        <v>3</v>
      </c>
      <c r="T82">
        <v>1</v>
      </c>
      <c r="U82">
        <v>1</v>
      </c>
      <c r="V82">
        <v>3</v>
      </c>
      <c r="W82">
        <v>3</v>
      </c>
      <c r="X82">
        <v>5</v>
      </c>
      <c r="Y82">
        <v>4</v>
      </c>
      <c r="Z82">
        <v>1</v>
      </c>
      <c r="AA82">
        <v>3</v>
      </c>
      <c r="AC82">
        <v>1</v>
      </c>
      <c r="AE82">
        <v>4</v>
      </c>
      <c r="AF82">
        <v>2</v>
      </c>
      <c r="AG82">
        <v>3</v>
      </c>
      <c r="AH82">
        <v>2</v>
      </c>
      <c r="AI82">
        <v>2</v>
      </c>
      <c r="AJ82">
        <v>7</v>
      </c>
      <c r="AK82">
        <v>3</v>
      </c>
      <c r="AL82">
        <v>5</v>
      </c>
      <c r="AM82">
        <v>1</v>
      </c>
      <c r="AN82">
        <v>4</v>
      </c>
      <c r="AO82">
        <v>3</v>
      </c>
      <c r="AP82">
        <v>6</v>
      </c>
      <c r="AQ82">
        <v>4</v>
      </c>
      <c r="AR82">
        <v>5</v>
      </c>
      <c r="AS82">
        <v>3</v>
      </c>
      <c r="AT82">
        <v>2</v>
      </c>
      <c r="AU82">
        <v>2</v>
      </c>
      <c r="AW82">
        <v>3</v>
      </c>
      <c r="AY82">
        <v>1</v>
      </c>
      <c r="AZ82">
        <v>3</v>
      </c>
      <c r="BB82">
        <v>4</v>
      </c>
      <c r="BC82">
        <v>4</v>
      </c>
      <c r="BD82">
        <v>3</v>
      </c>
      <c r="BF82">
        <v>2</v>
      </c>
      <c r="BG82">
        <v>4</v>
      </c>
      <c r="BH82">
        <v>5</v>
      </c>
      <c r="BJ82">
        <v>4</v>
      </c>
      <c r="BK82">
        <v>2</v>
      </c>
      <c r="BL82">
        <v>4</v>
      </c>
      <c r="BM82">
        <v>1</v>
      </c>
      <c r="BN82">
        <v>2</v>
      </c>
      <c r="BO82">
        <v>3</v>
      </c>
      <c r="BS82">
        <v>3</v>
      </c>
    </row>
    <row r="83" spans="1:71" hidden="1" x14ac:dyDescent="0.35">
      <c r="A83" t="s">
        <v>47</v>
      </c>
    </row>
  </sheetData>
  <autoFilter ref="A1:AB83" xr:uid="{130C2564-D265-4C41-A3E0-02A62EDAC91D}">
    <sortState ref="A2:AB83">
      <sortCondition ref="A1:A8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2026-03-12T13:46:41Z</dcterms:modified>
</cp:coreProperties>
</file>