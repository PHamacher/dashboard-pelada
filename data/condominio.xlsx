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3" documentId="14_{CCCF2471-6899-4BEE-B69A-61EDE0174783}" xr6:coauthVersionLast="36" xr6:coauthVersionMax="36" xr10:uidLastSave="{1830A4E2-765F-47E2-8AC0-FDF695CE3D23}"/>
  <bookViews>
    <workbookView xWindow="0" yWindow="0" windowWidth="19180" windowHeight="789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artilharia!$A$1:$AB$95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notas!$A$1:$DJ$83</definedName>
  </definedNames>
  <calcPr calcId="191029"/>
</workbook>
</file>

<file path=xl/calcChain.xml><?xml version="1.0" encoding="utf-8"?>
<calcChain xmlns="http://schemas.openxmlformats.org/spreadsheetml/2006/main">
  <c r="DE95" i="1" l="1"/>
  <c r="DG95" i="1" s="1"/>
  <c r="DF95" i="1"/>
  <c r="DI95" i="1"/>
  <c r="Y95" i="4" l="1"/>
  <c r="Z95" i="4"/>
  <c r="DE92" i="1" l="1"/>
  <c r="DF92" i="1"/>
  <c r="DG92" i="1"/>
  <c r="DI92" i="1"/>
  <c r="DJ92" i="1"/>
  <c r="DE93" i="1"/>
  <c r="DF93" i="1"/>
  <c r="DG93" i="1"/>
  <c r="DI93" i="1"/>
  <c r="DJ93" i="1"/>
  <c r="DE94" i="1"/>
  <c r="DG94" i="1" s="1"/>
  <c r="DF94" i="1"/>
  <c r="DI94" i="1"/>
  <c r="DJ94" i="1" s="1"/>
  <c r="Z93" i="4" l="1"/>
  <c r="Z94" i="4" s="1"/>
  <c r="DI3" i="1"/>
  <c r="DI4" i="1"/>
  <c r="DI5" i="1"/>
  <c r="DI7" i="1"/>
  <c r="DI6" i="1"/>
  <c r="DI9" i="1"/>
  <c r="DI8" i="1"/>
  <c r="DI10" i="1"/>
  <c r="DI11" i="1"/>
  <c r="DI12" i="1"/>
  <c r="DI13" i="1"/>
  <c r="DI14" i="1"/>
  <c r="DI15" i="1"/>
  <c r="DI16" i="1"/>
  <c r="DI17" i="1"/>
  <c r="DI18" i="1"/>
  <c r="DI20" i="1"/>
  <c r="DI19" i="1"/>
  <c r="DI21" i="1"/>
  <c r="DI22" i="1"/>
  <c r="DI23" i="1"/>
  <c r="DI24" i="1"/>
  <c r="DI25" i="1"/>
  <c r="DI26" i="1"/>
  <c r="DI27" i="1"/>
  <c r="DI28" i="1"/>
  <c r="DI29" i="1"/>
  <c r="DI30" i="1"/>
  <c r="DI32" i="1"/>
  <c r="DI31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50" i="1"/>
  <c r="DI51" i="1"/>
  <c r="DI49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2" i="1"/>
  <c r="Z96" i="4" l="1"/>
  <c r="DE91" i="1"/>
  <c r="DG91" i="1" s="1"/>
  <c r="DF91" i="1"/>
  <c r="DJ91" i="1"/>
  <c r="DE85" i="1"/>
  <c r="DG85" i="1" s="1"/>
  <c r="DF85" i="1"/>
  <c r="DJ85" i="1"/>
  <c r="DE86" i="1"/>
  <c r="DF86" i="1"/>
  <c r="DG86" i="1"/>
  <c r="DJ86" i="1"/>
  <c r="DE87" i="1"/>
  <c r="DF87" i="1"/>
  <c r="DG87" i="1"/>
  <c r="DJ87" i="1"/>
  <c r="DE88" i="1"/>
  <c r="DF88" i="1"/>
  <c r="DG88" i="1"/>
  <c r="DJ88" i="1"/>
  <c r="DE89" i="1"/>
  <c r="DF89" i="1"/>
  <c r="DG89" i="1"/>
  <c r="DJ89" i="1"/>
  <c r="DE90" i="1"/>
  <c r="DG90" i="1" s="1"/>
  <c r="DF90" i="1"/>
  <c r="DJ90" i="1"/>
  <c r="X95" i="4" l="1"/>
  <c r="Y93" i="4" l="1"/>
  <c r="Y94" i="4" s="1"/>
  <c r="Y96" i="4" l="1"/>
  <c r="DE3" i="1"/>
  <c r="DG3" i="1" s="1"/>
  <c r="DF3" i="1"/>
  <c r="DE7" i="1"/>
  <c r="DG7" i="1" s="1"/>
  <c r="DF7" i="1"/>
  <c r="DE6" i="1"/>
  <c r="DG6" i="1" s="1"/>
  <c r="DF6" i="1"/>
  <c r="DE4" i="1"/>
  <c r="DG4" i="1" s="1"/>
  <c r="DF4" i="1"/>
  <c r="DE5" i="1"/>
  <c r="DG5" i="1" s="1"/>
  <c r="DF5" i="1"/>
  <c r="DE10" i="1"/>
  <c r="DG10" i="1" s="1"/>
  <c r="DF10" i="1"/>
  <c r="DE9" i="1"/>
  <c r="DG9" i="1" s="1"/>
  <c r="DF9" i="1"/>
  <c r="DE8" i="1"/>
  <c r="DG8" i="1" s="1"/>
  <c r="DF8" i="1"/>
  <c r="DE12" i="1"/>
  <c r="DG12" i="1" s="1"/>
  <c r="DF12" i="1"/>
  <c r="DE11" i="1"/>
  <c r="DG11" i="1" s="1"/>
  <c r="DF11" i="1"/>
  <c r="DE13" i="1"/>
  <c r="DG13" i="1" s="1"/>
  <c r="DF13" i="1"/>
  <c r="DE14" i="1"/>
  <c r="DG14" i="1" s="1"/>
  <c r="DF14" i="1"/>
  <c r="DE16" i="1"/>
  <c r="DG16" i="1" s="1"/>
  <c r="DF16" i="1"/>
  <c r="DE18" i="1"/>
  <c r="DG18" i="1" s="1"/>
  <c r="DF18" i="1"/>
  <c r="DE15" i="1"/>
  <c r="DG15" i="1" s="1"/>
  <c r="DF15" i="1"/>
  <c r="DE19" i="1"/>
  <c r="DG19" i="1" s="1"/>
  <c r="DF19" i="1"/>
  <c r="DE22" i="1"/>
  <c r="DG22" i="1" s="1"/>
  <c r="DF22" i="1"/>
  <c r="DE21" i="1"/>
  <c r="DG21" i="1" s="1"/>
  <c r="DF21" i="1"/>
  <c r="DE20" i="1"/>
  <c r="DG20" i="1" s="1"/>
  <c r="DF20" i="1"/>
  <c r="DE17" i="1"/>
  <c r="DG17" i="1" s="1"/>
  <c r="DF17" i="1"/>
  <c r="DE23" i="1"/>
  <c r="DG23" i="1" s="1"/>
  <c r="DF23" i="1"/>
  <c r="DE24" i="1"/>
  <c r="DG24" i="1" s="1"/>
  <c r="DF24" i="1"/>
  <c r="DE27" i="1"/>
  <c r="DG27" i="1" s="1"/>
  <c r="DF27" i="1"/>
  <c r="DE26" i="1"/>
  <c r="DG26" i="1" s="1"/>
  <c r="DF26" i="1"/>
  <c r="DE29" i="1"/>
  <c r="DG29" i="1" s="1"/>
  <c r="DF29" i="1"/>
  <c r="DE30" i="1"/>
  <c r="DG30" i="1" s="1"/>
  <c r="DF30" i="1"/>
  <c r="DE25" i="1"/>
  <c r="DG25" i="1" s="1"/>
  <c r="DF25" i="1"/>
  <c r="DE31" i="1"/>
  <c r="DG31" i="1" s="1"/>
  <c r="DF31" i="1"/>
  <c r="DE33" i="1"/>
  <c r="DG33" i="1" s="1"/>
  <c r="DF33" i="1"/>
  <c r="DE28" i="1"/>
  <c r="DG28" i="1" s="1"/>
  <c r="DF28" i="1"/>
  <c r="DE34" i="1"/>
  <c r="DG34" i="1" s="1"/>
  <c r="DF34" i="1"/>
  <c r="DE37" i="1"/>
  <c r="DG37" i="1" s="1"/>
  <c r="DF37" i="1"/>
  <c r="DE38" i="1"/>
  <c r="DG38" i="1" s="1"/>
  <c r="DF38" i="1"/>
  <c r="DE32" i="1"/>
  <c r="DG32" i="1" s="1"/>
  <c r="DF32" i="1"/>
  <c r="DE35" i="1"/>
  <c r="DG35" i="1" s="1"/>
  <c r="DF35" i="1"/>
  <c r="DE39" i="1"/>
  <c r="DG39" i="1" s="1"/>
  <c r="DF39" i="1"/>
  <c r="DE36" i="1"/>
  <c r="DG36" i="1" s="1"/>
  <c r="DF36" i="1"/>
  <c r="DE46" i="1"/>
  <c r="DG46" i="1" s="1"/>
  <c r="DF46" i="1"/>
  <c r="DE47" i="1"/>
  <c r="DG47" i="1" s="1"/>
  <c r="DF47" i="1"/>
  <c r="DE51" i="1"/>
  <c r="DG51" i="1" s="1"/>
  <c r="DF51" i="1"/>
  <c r="DE49" i="1"/>
  <c r="DG49" i="1" s="1"/>
  <c r="DF49" i="1"/>
  <c r="DE52" i="1"/>
  <c r="DG52" i="1" s="1"/>
  <c r="DF52" i="1"/>
  <c r="DE53" i="1"/>
  <c r="DG53" i="1" s="1"/>
  <c r="DF53" i="1"/>
  <c r="DE54" i="1"/>
  <c r="DG54" i="1" s="1"/>
  <c r="DF54" i="1"/>
  <c r="DE55" i="1"/>
  <c r="DG55" i="1" s="1"/>
  <c r="DF55" i="1"/>
  <c r="DE56" i="1"/>
  <c r="DG56" i="1" s="1"/>
  <c r="DF56" i="1"/>
  <c r="DE57" i="1"/>
  <c r="DG57" i="1" s="1"/>
  <c r="DF57" i="1"/>
  <c r="DE58" i="1"/>
  <c r="DG58" i="1" s="1"/>
  <c r="DF58" i="1"/>
  <c r="DE50" i="1"/>
  <c r="DG50" i="1" s="1"/>
  <c r="DF50" i="1"/>
  <c r="DE59" i="1"/>
  <c r="DG59" i="1" s="1"/>
  <c r="DF59" i="1"/>
  <c r="DE41" i="1"/>
  <c r="DG41" i="1" s="1"/>
  <c r="DF41" i="1"/>
  <c r="DE60" i="1"/>
  <c r="DG60" i="1" s="1"/>
  <c r="DF60" i="1"/>
  <c r="DE44" i="1"/>
  <c r="DG44" i="1" s="1"/>
  <c r="DF44" i="1"/>
  <c r="DE45" i="1"/>
  <c r="DG45" i="1" s="1"/>
  <c r="DF45" i="1"/>
  <c r="DE48" i="1"/>
  <c r="DG48" i="1" s="1"/>
  <c r="DF48" i="1"/>
  <c r="DE62" i="1"/>
  <c r="DG62" i="1" s="1"/>
  <c r="DF62" i="1"/>
  <c r="DE63" i="1"/>
  <c r="DG63" i="1" s="1"/>
  <c r="DF63" i="1"/>
  <c r="DE64" i="1"/>
  <c r="DG64" i="1" s="1"/>
  <c r="DF64" i="1"/>
  <c r="DE65" i="1"/>
  <c r="DG65" i="1" s="1"/>
  <c r="DF65" i="1"/>
  <c r="DE66" i="1"/>
  <c r="DG66" i="1" s="1"/>
  <c r="DF66" i="1"/>
  <c r="DE61" i="1"/>
  <c r="DG61" i="1" s="1"/>
  <c r="DF61" i="1"/>
  <c r="DE69" i="1"/>
  <c r="DG69" i="1" s="1"/>
  <c r="DF69" i="1"/>
  <c r="DE70" i="1"/>
  <c r="DG70" i="1" s="1"/>
  <c r="DF70" i="1"/>
  <c r="DE71" i="1"/>
  <c r="DG71" i="1" s="1"/>
  <c r="DF71" i="1"/>
  <c r="DE72" i="1"/>
  <c r="DG72" i="1" s="1"/>
  <c r="DF72" i="1"/>
  <c r="DE73" i="1"/>
  <c r="DG73" i="1" s="1"/>
  <c r="DF73" i="1"/>
  <c r="DE74" i="1"/>
  <c r="DG74" i="1" s="1"/>
  <c r="DF74" i="1"/>
  <c r="DE75" i="1"/>
  <c r="DG75" i="1" s="1"/>
  <c r="DF75" i="1"/>
  <c r="DE76" i="1"/>
  <c r="DG76" i="1" s="1"/>
  <c r="DF76" i="1"/>
  <c r="DE77" i="1"/>
  <c r="DG77" i="1" s="1"/>
  <c r="DF77" i="1"/>
  <c r="DE78" i="1"/>
  <c r="DG78" i="1" s="1"/>
  <c r="DF78" i="1"/>
  <c r="DE79" i="1"/>
  <c r="DG79" i="1" s="1"/>
  <c r="DF79" i="1"/>
  <c r="DE80" i="1"/>
  <c r="DG80" i="1" s="1"/>
  <c r="DF80" i="1"/>
  <c r="DE81" i="1"/>
  <c r="DG81" i="1" s="1"/>
  <c r="DF81" i="1"/>
  <c r="DE82" i="1"/>
  <c r="DG82" i="1" s="1"/>
  <c r="DF82" i="1"/>
  <c r="DE83" i="1"/>
  <c r="DG83" i="1" s="1"/>
  <c r="DF83" i="1"/>
  <c r="DE84" i="1"/>
  <c r="DG84" i="1" s="1"/>
  <c r="DF84" i="1"/>
  <c r="DE42" i="1"/>
  <c r="DG42" i="1" s="1"/>
  <c r="DF42" i="1"/>
  <c r="DE43" i="1"/>
  <c r="DG43" i="1" s="1"/>
  <c r="DF43" i="1"/>
  <c r="DE40" i="1"/>
  <c r="DG40" i="1" s="1"/>
  <c r="DF40" i="1"/>
  <c r="DE67" i="1"/>
  <c r="DG67" i="1" s="1"/>
  <c r="DF67" i="1"/>
  <c r="DE68" i="1"/>
  <c r="DG68" i="1" s="1"/>
  <c r="DF68" i="1"/>
  <c r="DF2" i="1"/>
  <c r="DE2" i="1"/>
  <c r="DG2" i="1" s="1"/>
  <c r="W95" i="4" l="1"/>
  <c r="DJ68" i="1" l="1"/>
  <c r="DJ67" i="1" l="1"/>
  <c r="X93" i="4" l="1"/>
  <c r="X94" i="4" s="1"/>
  <c r="X96" i="4" l="1"/>
  <c r="DJ42" i="1" l="1"/>
  <c r="DJ43" i="1"/>
  <c r="DJ40" i="1" l="1"/>
  <c r="V95" i="4" l="1"/>
  <c r="U95" i="4" l="1"/>
  <c r="W19" i="4"/>
  <c r="W93" i="4" s="1"/>
  <c r="W94" i="4"/>
  <c r="W96" i="4" l="1"/>
  <c r="T95" i="4" l="1"/>
  <c r="V81" i="4" l="1"/>
  <c r="V93" i="4" s="1"/>
  <c r="V94" i="4"/>
  <c r="V96" i="4" l="1"/>
  <c r="DJ3" i="1" l="1"/>
  <c r="DJ7" i="1"/>
  <c r="DJ10" i="1"/>
  <c r="DJ9" i="1"/>
  <c r="DJ4" i="1"/>
  <c r="DJ5" i="1"/>
  <c r="DJ6" i="1"/>
  <c r="DJ8" i="1"/>
  <c r="DJ11" i="1"/>
  <c r="DJ12" i="1"/>
  <c r="DJ13" i="1"/>
  <c r="DJ18" i="1"/>
  <c r="DJ15" i="1"/>
  <c r="DJ19" i="1"/>
  <c r="DJ20" i="1"/>
  <c r="DJ17" i="1"/>
  <c r="DJ21" i="1"/>
  <c r="DJ14" i="1"/>
  <c r="DJ16" i="1"/>
  <c r="DJ22" i="1"/>
  <c r="DJ24" i="1"/>
  <c r="DJ23" i="1"/>
  <c r="DJ27" i="1"/>
  <c r="DJ29" i="1"/>
  <c r="DJ30" i="1"/>
  <c r="DJ31" i="1"/>
  <c r="DJ25" i="1"/>
  <c r="DJ33" i="1"/>
  <c r="DJ28" i="1"/>
  <c r="DJ34" i="1"/>
  <c r="DJ37" i="1"/>
  <c r="DJ38" i="1"/>
  <c r="DJ32" i="1"/>
  <c r="DJ39" i="1"/>
  <c r="DJ35" i="1"/>
  <c r="DJ26" i="1"/>
  <c r="DJ36" i="1"/>
  <c r="DJ46" i="1"/>
  <c r="DJ51" i="1"/>
  <c r="DJ49" i="1"/>
  <c r="DJ52" i="1"/>
  <c r="DJ53" i="1"/>
  <c r="DJ54" i="1"/>
  <c r="DJ55" i="1"/>
  <c r="DJ47" i="1"/>
  <c r="DJ56" i="1"/>
  <c r="DJ57" i="1"/>
  <c r="DJ58" i="1"/>
  <c r="DJ62" i="1"/>
  <c r="DJ48" i="1"/>
  <c r="DJ60" i="1"/>
  <c r="DJ63" i="1"/>
  <c r="DJ44" i="1"/>
  <c r="DJ64" i="1"/>
  <c r="DJ50" i="1"/>
  <c r="DJ59" i="1"/>
  <c r="DJ65" i="1"/>
  <c r="DJ45" i="1"/>
  <c r="DJ69" i="1"/>
  <c r="DJ70" i="1"/>
  <c r="DJ71" i="1"/>
  <c r="DJ72" i="1"/>
  <c r="DJ73" i="1"/>
  <c r="DJ66" i="1"/>
  <c r="DJ74" i="1"/>
  <c r="DJ41" i="1"/>
  <c r="DJ75" i="1"/>
  <c r="DJ76" i="1"/>
  <c r="DJ77" i="1"/>
  <c r="DJ78" i="1"/>
  <c r="DJ79" i="1"/>
  <c r="DJ80" i="1"/>
  <c r="DJ81" i="1"/>
  <c r="DJ82" i="1"/>
  <c r="DJ83" i="1"/>
  <c r="DJ84" i="1"/>
  <c r="DJ61" i="1"/>
  <c r="S95" i="4" l="1"/>
  <c r="U93" i="4" l="1"/>
  <c r="T93" i="4"/>
  <c r="S93" i="4"/>
  <c r="Q93" i="4"/>
  <c r="N93" i="4"/>
  <c r="M93" i="4"/>
  <c r="L93" i="4"/>
  <c r="J93" i="4"/>
  <c r="I93" i="4"/>
  <c r="H93" i="4"/>
  <c r="G93" i="4"/>
  <c r="E93" i="4"/>
  <c r="D93" i="4"/>
  <c r="C93" i="4"/>
  <c r="U94" i="4"/>
  <c r="U96" i="4" s="1"/>
  <c r="DJ2" i="1"/>
  <c r="T94" i="4" l="1"/>
  <c r="R95" i="4"/>
  <c r="N95" i="4"/>
  <c r="K95" i="4"/>
  <c r="T96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5" i="4"/>
  <c r="U6" i="6" l="1"/>
  <c r="W5" i="6"/>
  <c r="Q7" i="6"/>
  <c r="S6" i="6"/>
  <c r="S94" i="4"/>
  <c r="S96" i="4" s="1"/>
  <c r="W6" i="6" l="1"/>
  <c r="U7" i="6"/>
  <c r="S7" i="6"/>
  <c r="Q8" i="6"/>
  <c r="P95" i="4"/>
  <c r="W7" i="6" l="1"/>
  <c r="U8" i="6"/>
  <c r="S8" i="6"/>
  <c r="Q9" i="6"/>
  <c r="R32" i="4"/>
  <c r="R72" i="4"/>
  <c r="R26" i="4"/>
  <c r="R53" i="4"/>
  <c r="R17" i="4"/>
  <c r="R94" i="4" l="1"/>
  <c r="R96" i="4" s="1"/>
  <c r="R93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4" i="4"/>
  <c r="Q96" i="4" s="1"/>
  <c r="W13" i="6" l="1"/>
  <c r="U14" i="6"/>
  <c r="Q15" i="6"/>
  <c r="S14" i="6"/>
  <c r="O95" i="4"/>
  <c r="W14" i="6" l="1"/>
  <c r="U15" i="6"/>
  <c r="S15" i="6"/>
  <c r="Q16" i="6"/>
  <c r="P43" i="4"/>
  <c r="P94" i="4" l="1"/>
  <c r="P96" i="4" s="1"/>
  <c r="P93" i="4"/>
  <c r="W15" i="6"/>
  <c r="U16" i="6"/>
  <c r="Q17" i="6"/>
  <c r="S16" i="6"/>
  <c r="W16" i="6" l="1"/>
  <c r="U17" i="6"/>
  <c r="Q18" i="6"/>
  <c r="S17" i="6"/>
  <c r="O30" i="4"/>
  <c r="O59" i="4"/>
  <c r="O94" i="4"/>
  <c r="AD6" i="4"/>
  <c r="O93" i="4" l="1"/>
  <c r="U18" i="6"/>
  <c r="W17" i="6"/>
  <c r="Q19" i="6"/>
  <c r="S18" i="6"/>
  <c r="O96" i="4"/>
  <c r="U19" i="6" l="1"/>
  <c r="W18" i="6"/>
  <c r="Q20" i="6"/>
  <c r="S19" i="6"/>
  <c r="M95" i="4"/>
  <c r="U20" i="6" l="1"/>
  <c r="W19" i="6"/>
  <c r="Q21" i="6"/>
  <c r="S20" i="6"/>
  <c r="L95" i="4"/>
  <c r="AD7" i="4"/>
  <c r="AD8" i="4" s="1"/>
  <c r="M94" i="4"/>
  <c r="N94" i="4"/>
  <c r="U21" i="6" l="1"/>
  <c r="W20" i="6"/>
  <c r="S21" i="6"/>
  <c r="Q22" i="6"/>
  <c r="N96" i="4"/>
  <c r="U22" i="6" l="1"/>
  <c r="W21" i="6"/>
  <c r="Q23" i="6"/>
  <c r="S22" i="6"/>
  <c r="M96" i="4"/>
  <c r="W22" i="6" l="1"/>
  <c r="U23" i="6"/>
  <c r="S23" i="6"/>
  <c r="Q24" i="6"/>
  <c r="L94" i="4"/>
  <c r="W23" i="6" l="1"/>
  <c r="U24" i="6"/>
  <c r="Q25" i="6"/>
  <c r="S24" i="6"/>
  <c r="L96" i="4"/>
  <c r="W24" i="6" l="1"/>
  <c r="U25" i="6"/>
  <c r="S25" i="6"/>
  <c r="Q26" i="6"/>
  <c r="J95" i="4"/>
  <c r="I95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4" i="4" s="1"/>
  <c r="K2" i="4"/>
  <c r="K93" i="4" s="1"/>
  <c r="U27" i="6" l="1"/>
  <c r="W26" i="6"/>
  <c r="Q28" i="6"/>
  <c r="S27" i="6"/>
  <c r="K96" i="4"/>
  <c r="U28" i="6" l="1"/>
  <c r="W27" i="6"/>
  <c r="Q29" i="6"/>
  <c r="S28" i="6"/>
  <c r="J94" i="4"/>
  <c r="U29" i="6" l="1"/>
  <c r="W28" i="6"/>
  <c r="S29" i="6"/>
  <c r="Q30" i="6"/>
  <c r="J96" i="4"/>
  <c r="U30" i="6" l="1"/>
  <c r="W29" i="6"/>
  <c r="Q31" i="6"/>
  <c r="S30" i="6"/>
  <c r="E95" i="4"/>
  <c r="U31" i="6" l="1"/>
  <c r="W30" i="6"/>
  <c r="S31" i="6"/>
  <c r="Q32" i="6"/>
  <c r="G95" i="4"/>
  <c r="H95" i="4"/>
  <c r="W31" i="6" l="1"/>
  <c r="U32" i="6"/>
  <c r="S32" i="6"/>
  <c r="Q33" i="6"/>
  <c r="I94" i="4"/>
  <c r="I96" i="4" s="1"/>
  <c r="U33" i="6" l="1"/>
  <c r="W32" i="6"/>
  <c r="Q34" i="6"/>
  <c r="S33" i="6"/>
  <c r="D95" i="4"/>
  <c r="C95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5" i="4"/>
  <c r="H94" i="4"/>
  <c r="U37" i="6" l="1"/>
  <c r="W36" i="6"/>
  <c r="S37" i="6"/>
  <c r="Q38" i="6"/>
  <c r="H7" i="6"/>
  <c r="I6" i="6"/>
  <c r="J6" i="6" s="1"/>
  <c r="H96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4" i="4"/>
  <c r="I10" i="6" l="1"/>
  <c r="J10" i="6" s="1"/>
  <c r="H11" i="6"/>
  <c r="G96" i="4"/>
  <c r="B95" i="4"/>
  <c r="E94" i="4"/>
  <c r="D94" i="4"/>
  <c r="C94" i="4"/>
  <c r="F20" i="4"/>
  <c r="F19" i="4"/>
  <c r="F93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3" i="4" l="1"/>
  <c r="E96" i="4"/>
  <c r="F94" i="4"/>
  <c r="F96" i="4" s="1"/>
  <c r="H12" i="6"/>
  <c r="I11" i="6"/>
  <c r="J11" i="6" s="1"/>
  <c r="C96" i="4"/>
  <c r="D96" i="4"/>
  <c r="B94" i="4"/>
  <c r="B96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<sst xmlns="http://schemas.openxmlformats.org/spreadsheetml/2006/main" count="9735" uniqueCount="406">
  <si>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</si>
  <si>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</si>
  <si>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</si>
  <si>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</si>
  <si>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</si>
  <si>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</si>
  <si>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</si>
  <si>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</si>
  <si>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</si>
  <si>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</si>
  <si>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</si>
  <si>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</si>
  <si>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</si>
  <si>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</si>
  <si>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</si>
  <si>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</si>
  <si>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</si>
  <si>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</si>
  <si>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</si>
  <si>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</si>
  <si>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</si>
  <si>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</si>
  <si>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</si>
  <si>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</si>
  <si>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</si>
  <si>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</si>
  <si>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</si>
  <si>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</si>
  <si>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</si>
  <si>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</si>
  <si>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</si>
  <si>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</si>
  <si>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</si>
  <si>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</si>
  <si>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</si>
  <si>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</si>
  <si>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</si>
  <si>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</si>
  <si>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</si>
  <si>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</si>
  <si>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</si>
  <si>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</si>
  <si>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</si>
  <si>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</si>
  <si>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</si>
  <si>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</si>
  <si>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</si>
  <si>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</si>
  <si>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</si>
  <si>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</si>
  <si>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</si>
  <si>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</si>
  <si>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</si>
  <si>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</si>
  <si>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</si>
  <si>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</si>
  <si>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</si>
  <si>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</si>
  <si>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</si>
  <si>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</si>
  <si>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</si>
  <si>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</si>
  <si>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</si>
  <si>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</si>
  <si>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</si>
  <si>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</si>
  <si>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</si>
  <si>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</si>
  <si>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</si>
  <si>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</si>
  <si>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</si>
  <si>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</si>
  <si>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</si>
  <si>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</si>
  <si>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</si>
  <si>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</si>
  <si>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</si>
  <si>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</si>
  <si>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</si>
  <si>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</si>
  <si>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</si>
  <si>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</si>
  <si>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</si>
  <si>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</si>
  <si>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</si>
  <si>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</si>
  <si>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</si>
  <si>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</si>
  <si>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</si>
  <si>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</si>
  <si>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</si>
  <si>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</si>
  <si>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</si>
  <si>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</si>
  <si>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</si>
  <si>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</si>
  <si>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</si>
  <si>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</si>
  <si>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</si>
  <si>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</si>
  <si>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</si>
  <si>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</si>
  <si>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</si>
  <si>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</si>
  <si>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</si>
  <si>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</si>
  <si>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</si>
  <si>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</si>
  <si>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</si>
  <si>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</si>
  <si>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</si>
  <si>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</si>
  <si>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</si>
  <si>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</si>
  <si>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</si>
  <si>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</si>
  <si>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</si>
  <si>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</si>
  <si>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</si>
  <si>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</si>
  <si>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</si>
  <si>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</si>
  <si>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</si>
  <si>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</si>
  <si>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</si>
  <si>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</si>
  <si>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</si>
  <si>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</si>
  <si>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</si>
  <si>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</si>
  <si>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</si>
  <si>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</si>
  <si>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</si>
  <si>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</si>
  <si>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</si>
  <si>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</si>
  <si>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</si>
  <si>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</si>
  <si>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</si>
  <si>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</si>
  <si>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</si>
  <si>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</si>
  <si>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</si>
  <si>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</si>
  <si>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</si>
  <si>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</si>
  <si>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</si>
  <si>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</si>
  <si>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</si>
  <si>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</si>
  <si>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</si>
  <si>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</si>
  <si>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</si>
  <si>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</si>
  <si>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</si>
  <si>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</si>
  <si>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</si>
  <si>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</si>
  <si>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</si>
  <si>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</si>
  <si>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</si>
  <si>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</si>
  <si>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</si>
  <si>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</si>
  <si>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</si>
  <si>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</si>
  <si>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</si>
  <si>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</si>
  <si>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</si>
  <si>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</si>
  <si>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</si>
  <si>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</si>
  <si>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</si>
  <si>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</si>
  <si>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</si>
  <si>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</si>
  <si>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</si>
  <si>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</si>
  <si>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</si>
  <si>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</si>
  <si>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</si>
  <si>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</si>
  <si>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</si>
  <si>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</si>
  <si>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</si>
  <si>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</si>
  <si>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</si>
  <si>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</si>
  <si>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</si>
  <si>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</si>
  <si>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</si>
  <si>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</si>
  <si>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</si>
  <si>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</si>
  <si>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</si>
  <si>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</si>
  <si>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</si>
  <si>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</si>
  <si>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</si>
  <si>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</si>
  <si>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</si>
  <si>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</si>
  <si>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</si>
  <si>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</si>
  <si>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</si>
  <si>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</si>
  <si>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</si>
  <si>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</si>
  <si>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</si>
  <si>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</si>
  <si>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</si>
  <si>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</si>
  <si>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</si>
  <si>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</si>
  <si>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</si>
  <si>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</si>
  <si>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</si>
  <si>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</si>
  <si>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</si>
  <si>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</si>
  <si>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</si>
  <si>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</si>
  <si>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</si>
  <si>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</si>
  <si>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</si>
  <si>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</si>
  <si>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</si>
  <si>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</si>
  <si>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</si>
  <si>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</si>
  <si>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</si>
  <si>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</si>
  <si>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</si>
  <si>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</si>
  <si>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</si>
  <si>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</si>
  <si>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</si>
  <si>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</si>
  <si>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</si>
  <si>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</si>
  <si>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</si>
  <si>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</si>
  <si>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</si>
  <si>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</si>
  <si>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</si>
  <si>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</si>
  <si>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</si>
  <si>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</si>
  <si>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</si>
  <si>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</si>
  <si>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</si>
  <si>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</si>
  <si>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</si>
  <si>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</si>
  <si>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</si>
  <si>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</si>
  <si>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</si>
  <si>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</si>
  <si>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</si>
  <si>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</si>
  <si>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</si>
  <si>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</si>
  <si>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</si>
  <si>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</si>
  <si>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</si>
  <si>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</si>
  <si>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</si>
  <si>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</si>
  <si>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</si>
  <si>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</si>
  <si>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</si>
  <si>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</si>
  <si>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</si>
  <si>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</si>
  <si>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</si>
  <si>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</si>
  <si>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</si>
  <si>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</si>
  <si>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</si>
  <si>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</si>
  <si>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</si>
  <si>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</si>
  <si>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</si>
  <si>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</si>
  <si>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</si>
  <si>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</si>
  <si>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</si>
  <si>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</si>
  <si>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</si>
  <si>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</si>
  <si>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</si>
  <si>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</si>
  <si>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</si>
  <si>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</si>
  <si>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</si>
  <si>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</si>
  <si>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</si>
  <si>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</si>
  <si>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</si>
  <si>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</si>
  <si>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</si>
  <si>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</si>
  <si>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</si>
  <si>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</si>
  <si>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</si>
  <si>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</si>
  <si>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</si>
  <si>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</si>
  <si>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</si>
  <si>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</si>
  <si>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</si>
  <si>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</si>
  <si>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</si>
  <si>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</si>
  <si>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</si>
  <si>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</si>
  <si>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</si>
  <si>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</si>
  <si>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</si>
  <si>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</si>
  <si>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</si>
  <si>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</si>
  <si>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</si>
  <si>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</si>
  <si>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</si>
  <si>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</si>
  <si>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</si>
  <si>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</si>
  <si>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</si>
  <si>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</si>
  <si>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</si>
  <si>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</si>
  <si>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</si>
  <si>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</si>
  <si>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</si>
  <si>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</si>
  <si>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</si>
  <si>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</si>
  <si>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</si>
  <si>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</si>
  <si>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</si>
  <si>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</si>
  <si>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</si>
  <si>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</si>
  <si>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</si>
  <si>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</si>
  <si>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</si>
  <si>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</si>
  <si>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</si>
  <si>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</si>
  <si>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</si>
  <si>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</si>
  <si>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</si>
  <si>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</si>
  <si>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</si>
  <si>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</si>
  <si>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</si>
  <si>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</si>
  <si>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</si>
  <si>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</si>
  <si>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</si>
  <si>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</si>
  <si>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</si>
  <si>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</si>
  <si>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</si>
  <si>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</si>
  <si>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</si>
  <si>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</si>
  <si>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</si>
  <si>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</si>
  <si>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</si>
  <si>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</si>
  <si>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</si>
  <si>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</si>
  <si>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</si>
  <si>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</si>
  <si>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</si>
  <si>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</si>
  <si>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</si>
  <si>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</si>
  <si>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</si>
  <si>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</si>
  <si>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</si>
  <si>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</si>
  <si>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</si>
  <si>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</si>
  <si>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</si>
  <si>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</si>
  <si>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</si>
  <si>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</si>
  <si>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</si>
  <si>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</si>
  <si>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</si>
  <si>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Caio (Octavio)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</si>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</sst>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95"/>
  <sheetViews>
    <sheetView zoomScale="85" zoomScaleNormal="85" workbookViewId="0">
      <pane xSplit="1" topLeftCell="CL1" activePane="topRight" state="frozen"/>
      <selection pane="topRight" activeCell="DC92" sqref="DC9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8" width="11" customWidth="1"/>
  </cols>
  <sheetData>
    <row r="1" spans="1:114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/>
      <c r="DE1" t="s">
        <v>57</v>
      </c>
      <c r="DF1" t="s">
        <v>58</v>
      </c>
      <c r="DG1" t="s">
        <v>59</v>
      </c>
      <c r="DH1" t="s">
        <v>62</v>
      </c>
      <c r="DI1" t="s">
        <v>400</v>
      </c>
      <c r="DJ1" t="s">
        <v>384</v>
      </c>
    </row>
    <row r="2" spans="1:114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E2">
        <f t="shared" ref="DE2:DE33" si="0">COUNT(B2:CW2)</f>
        <v>94</v>
      </c>
      <c r="DF2" s="18">
        <f t="shared" ref="DF2:DF33" si="1">AVERAGE(B2:CW2)</f>
        <v>6.0106382978723403</v>
      </c>
      <c r="DG2">
        <f t="shared" ref="DG2:DG33" si="2">IF(DE2&gt;1,_xlfn.STDEV.S(B2:CW2),"")</f>
        <v>1.1662335372744763</v>
      </c>
      <c r="DH2">
        <v>1</v>
      </c>
      <c r="DI2">
        <f t="shared" ref="DI2:DI33" si="3">COUNT(CX2:DA2)</f>
        <v>3</v>
      </c>
      <c r="DJ2">
        <f t="shared" ref="DJ2:DJ33" si="4">IF(DH2=0,DI2,0)</f>
        <v>0</v>
      </c>
    </row>
    <row r="3" spans="1:114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E3">
        <f t="shared" si="0"/>
        <v>88</v>
      </c>
      <c r="DF3" s="18">
        <f t="shared" si="1"/>
        <v>5.6590909090909092</v>
      </c>
      <c r="DG3">
        <f t="shared" si="2"/>
        <v>0.97540281848434929</v>
      </c>
      <c r="DH3">
        <v>1</v>
      </c>
      <c r="DI3">
        <f t="shared" si="3"/>
        <v>3</v>
      </c>
      <c r="DJ3">
        <f t="shared" si="4"/>
        <v>0</v>
      </c>
    </row>
    <row r="4" spans="1:114" x14ac:dyDescent="0.35">
      <c r="A4" t="s">
        <v>82</v>
      </c>
      <c r="B4">
        <v>10</v>
      </c>
      <c r="C4" t="s">
        <v>26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26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26</v>
      </c>
      <c r="AN4">
        <v>8</v>
      </c>
      <c r="AO4">
        <v>6.5</v>
      </c>
      <c r="AP4">
        <v>7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5.5</v>
      </c>
      <c r="AW4" t="s">
        <v>26</v>
      </c>
      <c r="AX4" t="s">
        <v>26</v>
      </c>
      <c r="AY4">
        <v>7</v>
      </c>
      <c r="AZ4" t="s">
        <v>26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26</v>
      </c>
      <c r="BK4" t="s">
        <v>26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26</v>
      </c>
      <c r="BU4" t="s">
        <v>26</v>
      </c>
      <c r="BV4">
        <v>6.5</v>
      </c>
      <c r="BW4">
        <v>5.5</v>
      </c>
      <c r="BX4" t="s">
        <v>26</v>
      </c>
      <c r="BY4">
        <v>6.5</v>
      </c>
      <c r="BZ4" t="s">
        <v>26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f t="shared" si="0"/>
        <v>78</v>
      </c>
      <c r="DF4" s="18">
        <f t="shared" si="1"/>
        <v>6.5576923076923075</v>
      </c>
      <c r="DG4">
        <f t="shared" si="2"/>
        <v>0.9327405829087726</v>
      </c>
      <c r="DH4">
        <v>1</v>
      </c>
      <c r="DI4">
        <f t="shared" si="3"/>
        <v>3</v>
      </c>
      <c r="DJ4">
        <f t="shared" si="4"/>
        <v>0</v>
      </c>
    </row>
    <row r="5" spans="1:114" x14ac:dyDescent="0.35">
      <c r="A5" t="s">
        <v>9</v>
      </c>
      <c r="B5">
        <v>7</v>
      </c>
      <c r="C5" t="s">
        <v>26</v>
      </c>
      <c r="D5">
        <v>7</v>
      </c>
      <c r="E5">
        <v>5.5</v>
      </c>
      <c r="F5">
        <v>8</v>
      </c>
      <c r="G5">
        <v>7</v>
      </c>
      <c r="H5">
        <v>7</v>
      </c>
      <c r="I5" t="s">
        <v>26</v>
      </c>
      <c r="J5">
        <v>5.5</v>
      </c>
      <c r="K5" t="s">
        <v>26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26</v>
      </c>
      <c r="S5">
        <v>5.5</v>
      </c>
      <c r="T5">
        <v>8</v>
      </c>
      <c r="U5" t="s">
        <v>26</v>
      </c>
      <c r="V5">
        <v>5.5</v>
      </c>
      <c r="W5">
        <v>7</v>
      </c>
      <c r="X5">
        <v>7</v>
      </c>
      <c r="Y5" t="s">
        <v>26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26</v>
      </c>
      <c r="AH5">
        <v>9.5</v>
      </c>
      <c r="AI5">
        <v>6.5</v>
      </c>
      <c r="AJ5">
        <v>6.5</v>
      </c>
      <c r="AK5">
        <v>6.5</v>
      </c>
      <c r="AL5" t="s">
        <v>26</v>
      </c>
      <c r="AM5">
        <v>8.5</v>
      </c>
      <c r="AN5" t="s">
        <v>26</v>
      </c>
      <c r="AO5" t="s">
        <v>26</v>
      </c>
      <c r="AP5" t="s">
        <v>26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26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26</v>
      </c>
      <c r="BJ5" t="s">
        <v>26</v>
      </c>
      <c r="BK5">
        <v>5.5</v>
      </c>
      <c r="BL5">
        <v>6.5</v>
      </c>
      <c r="BM5">
        <v>5.5</v>
      </c>
      <c r="BN5" t="s">
        <v>26</v>
      </c>
      <c r="BO5" t="s">
        <v>26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26</v>
      </c>
      <c r="BW5">
        <v>7</v>
      </c>
      <c r="BX5" t="s">
        <v>26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E5">
        <f t="shared" si="0"/>
        <v>76</v>
      </c>
      <c r="DF5" s="18">
        <f t="shared" si="1"/>
        <v>6.625</v>
      </c>
      <c r="DG5">
        <f t="shared" si="2"/>
        <v>0.99037030111637203</v>
      </c>
      <c r="DH5">
        <v>1</v>
      </c>
      <c r="DI5">
        <f t="shared" si="3"/>
        <v>3</v>
      </c>
      <c r="DJ5">
        <f t="shared" si="4"/>
        <v>0</v>
      </c>
    </row>
    <row r="6" spans="1:114" x14ac:dyDescent="0.35">
      <c r="A6" t="s">
        <v>5</v>
      </c>
      <c r="B6">
        <v>10</v>
      </c>
      <c r="C6">
        <v>9.5</v>
      </c>
      <c r="D6">
        <v>9.5</v>
      </c>
      <c r="E6">
        <v>8</v>
      </c>
      <c r="F6">
        <v>7</v>
      </c>
      <c r="G6">
        <v>8</v>
      </c>
      <c r="H6">
        <v>7</v>
      </c>
      <c r="I6" t="s">
        <v>26</v>
      </c>
      <c r="J6">
        <v>9.5</v>
      </c>
      <c r="K6">
        <v>8</v>
      </c>
      <c r="L6">
        <v>9.5</v>
      </c>
      <c r="M6">
        <v>7</v>
      </c>
      <c r="N6">
        <v>8</v>
      </c>
      <c r="O6">
        <v>8</v>
      </c>
      <c r="P6">
        <v>7</v>
      </c>
      <c r="Q6">
        <v>7</v>
      </c>
      <c r="R6" t="s">
        <v>26</v>
      </c>
      <c r="S6" t="s">
        <v>26</v>
      </c>
      <c r="T6" t="s">
        <v>26</v>
      </c>
      <c r="U6">
        <v>7</v>
      </c>
      <c r="V6">
        <v>5.5</v>
      </c>
      <c r="W6">
        <v>8</v>
      </c>
      <c r="X6">
        <v>7</v>
      </c>
      <c r="Y6">
        <v>7</v>
      </c>
      <c r="Z6">
        <v>7</v>
      </c>
      <c r="AA6">
        <v>7</v>
      </c>
      <c r="AB6" t="s">
        <v>26</v>
      </c>
      <c r="AC6" t="s">
        <v>26</v>
      </c>
      <c r="AD6" t="s">
        <v>26</v>
      </c>
      <c r="AE6" t="s">
        <v>26</v>
      </c>
      <c r="AF6">
        <v>8</v>
      </c>
      <c r="AG6">
        <v>10</v>
      </c>
      <c r="AH6" t="s">
        <v>26</v>
      </c>
      <c r="AI6">
        <v>8</v>
      </c>
      <c r="AJ6">
        <v>6.5</v>
      </c>
      <c r="AK6">
        <v>8</v>
      </c>
      <c r="AL6">
        <v>7</v>
      </c>
      <c r="AM6" t="s">
        <v>26</v>
      </c>
      <c r="AN6" t="s">
        <v>26</v>
      </c>
      <c r="AO6">
        <v>7</v>
      </c>
      <c r="AP6">
        <v>5.5</v>
      </c>
      <c r="AQ6">
        <v>6.5</v>
      </c>
      <c r="AR6">
        <v>8</v>
      </c>
      <c r="AS6">
        <v>7</v>
      </c>
      <c r="AT6">
        <v>6.5</v>
      </c>
      <c r="AU6">
        <v>8</v>
      </c>
      <c r="AV6">
        <v>7</v>
      </c>
      <c r="AW6">
        <v>7</v>
      </c>
      <c r="AX6">
        <v>7</v>
      </c>
      <c r="AY6">
        <v>6.5</v>
      </c>
      <c r="AZ6">
        <v>8.5</v>
      </c>
      <c r="BA6">
        <v>10</v>
      </c>
      <c r="BB6">
        <v>6.5</v>
      </c>
      <c r="BC6">
        <v>5</v>
      </c>
      <c r="BD6">
        <v>6.5</v>
      </c>
      <c r="BE6">
        <v>8</v>
      </c>
      <c r="BF6">
        <v>6.5</v>
      </c>
      <c r="BG6">
        <v>5.5</v>
      </c>
      <c r="BH6" t="s">
        <v>26</v>
      </c>
      <c r="BI6" t="s">
        <v>26</v>
      </c>
      <c r="BJ6" t="s">
        <v>26</v>
      </c>
      <c r="BK6">
        <v>6.5</v>
      </c>
      <c r="BL6">
        <v>7</v>
      </c>
      <c r="BM6" t="s">
        <v>26</v>
      </c>
      <c r="BN6" t="s">
        <v>26</v>
      </c>
      <c r="BO6">
        <v>6.5</v>
      </c>
      <c r="BP6">
        <v>6.5</v>
      </c>
      <c r="BQ6">
        <v>7</v>
      </c>
      <c r="BR6">
        <v>6.5</v>
      </c>
      <c r="BS6">
        <v>7</v>
      </c>
      <c r="BT6">
        <v>7</v>
      </c>
      <c r="BU6">
        <v>8</v>
      </c>
      <c r="BV6">
        <v>6.5</v>
      </c>
      <c r="BW6">
        <v>6.5</v>
      </c>
      <c r="BX6">
        <v>8</v>
      </c>
      <c r="BY6" t="s">
        <v>26</v>
      </c>
      <c r="BZ6">
        <v>7</v>
      </c>
      <c r="CA6">
        <v>6.5</v>
      </c>
      <c r="CB6">
        <v>7</v>
      </c>
      <c r="CD6">
        <v>5.5</v>
      </c>
      <c r="CE6">
        <v>9</v>
      </c>
      <c r="CF6">
        <v>7</v>
      </c>
      <c r="CG6">
        <v>8</v>
      </c>
      <c r="CH6">
        <v>7.5</v>
      </c>
      <c r="CI6">
        <v>6.5</v>
      </c>
      <c r="CJ6">
        <v>5.5</v>
      </c>
      <c r="CK6">
        <v>6.5</v>
      </c>
      <c r="CL6">
        <v>5.5</v>
      </c>
      <c r="CR6">
        <v>5.5</v>
      </c>
      <c r="CY6">
        <v>7</v>
      </c>
      <c r="CZ6">
        <v>6.5</v>
      </c>
      <c r="DA6">
        <v>8</v>
      </c>
      <c r="DB6">
        <v>6</v>
      </c>
      <c r="DC6">
        <v>7.5</v>
      </c>
      <c r="DE6">
        <f t="shared" si="0"/>
        <v>72</v>
      </c>
      <c r="DF6" s="18">
        <f t="shared" si="1"/>
        <v>7.2430555555555554</v>
      </c>
      <c r="DG6">
        <f t="shared" si="2"/>
        <v>1.1444694187225961</v>
      </c>
      <c r="DH6">
        <v>1</v>
      </c>
      <c r="DI6">
        <f t="shared" si="3"/>
        <v>3</v>
      </c>
      <c r="DJ6">
        <f t="shared" si="4"/>
        <v>0</v>
      </c>
    </row>
    <row r="7" spans="1:114" x14ac:dyDescent="0.35">
      <c r="A7" t="s">
        <v>4</v>
      </c>
      <c r="B7">
        <v>3.5</v>
      </c>
      <c r="C7" t="s">
        <v>26</v>
      </c>
      <c r="D7">
        <v>5.5</v>
      </c>
      <c r="E7">
        <v>5</v>
      </c>
      <c r="F7">
        <v>5.5</v>
      </c>
      <c r="G7" t="s">
        <v>26</v>
      </c>
      <c r="H7">
        <v>7</v>
      </c>
      <c r="I7">
        <v>5</v>
      </c>
      <c r="J7">
        <v>5.5</v>
      </c>
      <c r="K7">
        <v>5</v>
      </c>
      <c r="L7">
        <v>7</v>
      </c>
      <c r="M7">
        <v>5.5</v>
      </c>
      <c r="N7">
        <v>7</v>
      </c>
      <c r="O7">
        <v>5</v>
      </c>
      <c r="P7">
        <v>5</v>
      </c>
      <c r="Q7">
        <v>7</v>
      </c>
      <c r="R7">
        <v>5.5</v>
      </c>
      <c r="S7">
        <v>5.5</v>
      </c>
      <c r="T7">
        <v>7</v>
      </c>
      <c r="U7">
        <v>5.5</v>
      </c>
      <c r="V7">
        <v>5</v>
      </c>
      <c r="W7">
        <v>5</v>
      </c>
      <c r="X7">
        <v>5.5</v>
      </c>
      <c r="Y7">
        <v>5</v>
      </c>
      <c r="Z7" t="s">
        <v>26</v>
      </c>
      <c r="AA7">
        <v>7</v>
      </c>
      <c r="AB7">
        <v>5.5</v>
      </c>
      <c r="AC7">
        <v>5.5</v>
      </c>
      <c r="AD7">
        <v>5.5</v>
      </c>
      <c r="AE7">
        <v>8</v>
      </c>
      <c r="AF7">
        <v>7</v>
      </c>
      <c r="AG7">
        <v>7</v>
      </c>
      <c r="AH7">
        <v>5.5</v>
      </c>
      <c r="AI7">
        <v>7</v>
      </c>
      <c r="AJ7" t="s">
        <v>26</v>
      </c>
      <c r="AK7" t="s">
        <v>26</v>
      </c>
      <c r="AL7">
        <v>2.5</v>
      </c>
      <c r="AM7">
        <v>4</v>
      </c>
      <c r="AN7">
        <v>6.5</v>
      </c>
      <c r="AO7">
        <v>5.5</v>
      </c>
      <c r="AP7">
        <v>5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4</v>
      </c>
      <c r="AW7">
        <v>5</v>
      </c>
      <c r="AX7">
        <v>5</v>
      </c>
      <c r="AY7">
        <v>5.5</v>
      </c>
      <c r="AZ7">
        <v>4</v>
      </c>
      <c r="BA7">
        <v>5.5</v>
      </c>
      <c r="BB7">
        <v>5.5</v>
      </c>
      <c r="BC7">
        <v>7</v>
      </c>
      <c r="BD7" t="s">
        <v>26</v>
      </c>
      <c r="BE7" t="s">
        <v>26</v>
      </c>
      <c r="BF7" t="s">
        <v>26</v>
      </c>
      <c r="BG7" t="s">
        <v>26</v>
      </c>
      <c r="BH7">
        <v>6.5</v>
      </c>
      <c r="BI7">
        <v>6.5</v>
      </c>
      <c r="BJ7">
        <v>6.5</v>
      </c>
      <c r="BK7">
        <v>5.5</v>
      </c>
      <c r="BL7">
        <v>5</v>
      </c>
      <c r="BM7">
        <v>5.5</v>
      </c>
      <c r="BN7">
        <v>7</v>
      </c>
      <c r="BO7">
        <v>5.5</v>
      </c>
      <c r="BP7">
        <v>5.5</v>
      </c>
      <c r="BQ7">
        <v>5.5</v>
      </c>
      <c r="BR7">
        <v>5.5</v>
      </c>
      <c r="BS7">
        <v>5.5</v>
      </c>
      <c r="BT7">
        <v>6.5</v>
      </c>
      <c r="BU7">
        <v>6.5</v>
      </c>
      <c r="BV7">
        <v>5.5</v>
      </c>
      <c r="BW7">
        <v>6.5</v>
      </c>
      <c r="BX7">
        <v>5.5</v>
      </c>
      <c r="BY7">
        <v>5.5</v>
      </c>
      <c r="BZ7">
        <v>5.5</v>
      </c>
      <c r="CA7">
        <v>5.5</v>
      </c>
      <c r="CB7">
        <v>5.5</v>
      </c>
      <c r="CC7">
        <v>7</v>
      </c>
      <c r="CD7">
        <v>6</v>
      </c>
      <c r="CE7">
        <v>6.5</v>
      </c>
      <c r="CF7">
        <v>7</v>
      </c>
      <c r="CG7">
        <v>5.5</v>
      </c>
      <c r="CH7">
        <v>5.5</v>
      </c>
      <c r="CI7">
        <v>5.5</v>
      </c>
      <c r="DE7">
        <f t="shared" si="0"/>
        <v>72</v>
      </c>
      <c r="DF7" s="18">
        <f t="shared" si="1"/>
        <v>5.708333333333333</v>
      </c>
      <c r="DG7">
        <f t="shared" si="2"/>
        <v>0.94477808706744304</v>
      </c>
      <c r="DH7">
        <v>0</v>
      </c>
      <c r="DI7">
        <f t="shared" si="3"/>
        <v>0</v>
      </c>
      <c r="DJ7">
        <f t="shared" si="4"/>
        <v>0</v>
      </c>
    </row>
    <row r="8" spans="1:114" x14ac:dyDescent="0.35">
      <c r="A8" t="s">
        <v>11</v>
      </c>
      <c r="B8">
        <v>5</v>
      </c>
      <c r="C8" t="s">
        <v>26</v>
      </c>
      <c r="D8">
        <v>8</v>
      </c>
      <c r="E8">
        <v>8</v>
      </c>
      <c r="F8">
        <v>8</v>
      </c>
      <c r="G8">
        <v>5</v>
      </c>
      <c r="H8" t="s">
        <v>26</v>
      </c>
      <c r="I8">
        <v>3.5</v>
      </c>
      <c r="J8">
        <v>7</v>
      </c>
      <c r="K8">
        <v>5.5</v>
      </c>
      <c r="L8" t="s">
        <v>26</v>
      </c>
      <c r="M8" t="s">
        <v>26</v>
      </c>
      <c r="N8">
        <v>5.5</v>
      </c>
      <c r="O8">
        <v>5</v>
      </c>
      <c r="P8">
        <v>5.5</v>
      </c>
      <c r="Q8" t="s">
        <v>26</v>
      </c>
      <c r="R8" t="s">
        <v>26</v>
      </c>
      <c r="S8">
        <v>3.5</v>
      </c>
      <c r="T8">
        <v>7</v>
      </c>
      <c r="U8" t="s">
        <v>26</v>
      </c>
      <c r="V8" t="s">
        <v>26</v>
      </c>
      <c r="W8" t="s">
        <v>26</v>
      </c>
      <c r="X8">
        <v>5.5</v>
      </c>
      <c r="Y8">
        <v>5.5</v>
      </c>
      <c r="Z8" t="s">
        <v>26</v>
      </c>
      <c r="AA8">
        <v>3.5</v>
      </c>
      <c r="AB8" t="s">
        <v>26</v>
      </c>
      <c r="AC8">
        <v>7</v>
      </c>
      <c r="AD8" t="s">
        <v>26</v>
      </c>
      <c r="AE8">
        <v>2.5</v>
      </c>
      <c r="AF8">
        <v>7</v>
      </c>
      <c r="AG8">
        <v>5</v>
      </c>
      <c r="AH8">
        <v>7</v>
      </c>
      <c r="AI8">
        <v>7</v>
      </c>
      <c r="AJ8">
        <v>6.5</v>
      </c>
      <c r="AK8">
        <v>8.5</v>
      </c>
      <c r="AL8">
        <v>5.5</v>
      </c>
      <c r="AM8">
        <v>5</v>
      </c>
      <c r="AN8">
        <v>5</v>
      </c>
      <c r="AO8">
        <v>5.5</v>
      </c>
      <c r="AP8">
        <v>5.5</v>
      </c>
      <c r="AQ8" t="s">
        <v>26</v>
      </c>
      <c r="AR8">
        <v>6.5</v>
      </c>
      <c r="AS8">
        <v>6.5</v>
      </c>
      <c r="AT8">
        <v>5.5</v>
      </c>
      <c r="AU8">
        <v>7</v>
      </c>
      <c r="AV8">
        <v>5.5</v>
      </c>
      <c r="AW8" t="s">
        <v>26</v>
      </c>
      <c r="AX8">
        <v>5.5</v>
      </c>
      <c r="AY8">
        <v>5</v>
      </c>
      <c r="AZ8" t="s">
        <v>26</v>
      </c>
      <c r="BA8" t="s">
        <v>26</v>
      </c>
      <c r="BB8" t="s">
        <v>26</v>
      </c>
      <c r="BC8" t="s">
        <v>26</v>
      </c>
      <c r="BD8">
        <v>4</v>
      </c>
      <c r="BE8">
        <v>7</v>
      </c>
      <c r="BF8" t="s">
        <v>26</v>
      </c>
      <c r="BG8">
        <v>3.5</v>
      </c>
      <c r="BH8">
        <v>6.5</v>
      </c>
      <c r="BI8">
        <v>5.5</v>
      </c>
      <c r="BJ8">
        <v>5.5</v>
      </c>
      <c r="BK8">
        <v>5.5</v>
      </c>
      <c r="BL8" t="s">
        <v>26</v>
      </c>
      <c r="BM8">
        <v>5</v>
      </c>
      <c r="BN8">
        <v>8.5</v>
      </c>
      <c r="BO8">
        <v>5.5</v>
      </c>
      <c r="BP8" t="s">
        <v>26</v>
      </c>
      <c r="BQ8" t="s">
        <v>26</v>
      </c>
      <c r="BR8">
        <v>8.5</v>
      </c>
      <c r="BS8">
        <v>6.5</v>
      </c>
      <c r="BT8">
        <v>6.5</v>
      </c>
      <c r="BU8">
        <v>6.5</v>
      </c>
      <c r="BV8">
        <v>5.5</v>
      </c>
      <c r="BW8">
        <v>5.5</v>
      </c>
      <c r="BX8">
        <v>5.5</v>
      </c>
      <c r="BY8">
        <v>3.5</v>
      </c>
      <c r="BZ8">
        <v>5</v>
      </c>
      <c r="CA8">
        <v>4</v>
      </c>
      <c r="CB8">
        <v>3.5</v>
      </c>
      <c r="CC8">
        <v>7</v>
      </c>
      <c r="CD8">
        <v>4.5</v>
      </c>
      <c r="CE8">
        <v>6</v>
      </c>
      <c r="CF8">
        <v>5</v>
      </c>
      <c r="CG8">
        <v>5.5</v>
      </c>
      <c r="CK8">
        <v>5.5</v>
      </c>
      <c r="CM8">
        <v>7</v>
      </c>
      <c r="CN8">
        <v>7.5</v>
      </c>
      <c r="CO8">
        <v>6</v>
      </c>
      <c r="CP8">
        <v>5.5</v>
      </c>
      <c r="CQ8">
        <v>6</v>
      </c>
      <c r="CR8">
        <v>6</v>
      </c>
      <c r="CW8">
        <v>5.5</v>
      </c>
      <c r="CZ8">
        <v>5.5</v>
      </c>
      <c r="DA8">
        <v>6</v>
      </c>
      <c r="DC8">
        <v>6.5</v>
      </c>
      <c r="DE8">
        <f t="shared" si="0"/>
        <v>70</v>
      </c>
      <c r="DF8" s="18">
        <f t="shared" si="1"/>
        <v>5.7642857142857142</v>
      </c>
      <c r="DG8">
        <f t="shared" si="2"/>
        <v>1.2986097040916795</v>
      </c>
      <c r="DH8">
        <v>1</v>
      </c>
      <c r="DI8">
        <f t="shared" si="3"/>
        <v>2</v>
      </c>
      <c r="DJ8">
        <f t="shared" si="4"/>
        <v>0</v>
      </c>
    </row>
    <row r="9" spans="1:114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DC9">
        <v>5.5</v>
      </c>
      <c r="DE9">
        <f t="shared" si="0"/>
        <v>70</v>
      </c>
      <c r="DF9" s="18">
        <f t="shared" si="1"/>
        <v>5.95</v>
      </c>
      <c r="DG9">
        <f t="shared" si="2"/>
        <v>0.94466465179333525</v>
      </c>
      <c r="DH9">
        <v>0</v>
      </c>
      <c r="DI9">
        <f t="shared" si="3"/>
        <v>0</v>
      </c>
      <c r="DJ9">
        <f t="shared" si="4"/>
        <v>0</v>
      </c>
    </row>
    <row r="10" spans="1:114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26</v>
      </c>
      <c r="I10">
        <v>8</v>
      </c>
      <c r="J10" t="s">
        <v>26</v>
      </c>
      <c r="K10">
        <v>8</v>
      </c>
      <c r="L10" t="s">
        <v>26</v>
      </c>
      <c r="M10" t="s">
        <v>26</v>
      </c>
      <c r="N10">
        <v>5.5</v>
      </c>
      <c r="O10">
        <v>7</v>
      </c>
      <c r="P10">
        <v>5.5</v>
      </c>
      <c r="Q10" t="s">
        <v>26</v>
      </c>
      <c r="R10" t="s">
        <v>26</v>
      </c>
      <c r="S10">
        <v>5.5</v>
      </c>
      <c r="T10">
        <v>7</v>
      </c>
      <c r="U10">
        <v>7</v>
      </c>
      <c r="V10" t="s">
        <v>26</v>
      </c>
      <c r="W10">
        <v>5.5</v>
      </c>
      <c r="X10">
        <v>5.5</v>
      </c>
      <c r="Y10" t="s">
        <v>26</v>
      </c>
      <c r="Z10" t="s">
        <v>26</v>
      </c>
      <c r="AA10">
        <v>5.5</v>
      </c>
      <c r="AB10" t="s">
        <v>26</v>
      </c>
      <c r="AC10" t="s">
        <v>26</v>
      </c>
      <c r="AD10" t="s">
        <v>26</v>
      </c>
      <c r="AE10">
        <v>7</v>
      </c>
      <c r="AF10">
        <v>8</v>
      </c>
      <c r="AG10">
        <v>8.5</v>
      </c>
      <c r="AH10">
        <v>6.5</v>
      </c>
      <c r="AI10" t="s">
        <v>26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26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E10">
        <f t="shared" si="0"/>
        <v>68</v>
      </c>
      <c r="DF10" s="18">
        <f t="shared" si="1"/>
        <v>6.4191176470588234</v>
      </c>
      <c r="DG10">
        <f t="shared" si="2"/>
        <v>1.1769245721961776</v>
      </c>
      <c r="DH10">
        <v>0</v>
      </c>
      <c r="DI10">
        <f t="shared" si="3"/>
        <v>0</v>
      </c>
      <c r="DJ10">
        <f t="shared" si="4"/>
        <v>0</v>
      </c>
    </row>
    <row r="11" spans="1:114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E11">
        <f t="shared" si="0"/>
        <v>67</v>
      </c>
      <c r="DF11" s="18">
        <f t="shared" si="1"/>
        <v>6.6492537313432836</v>
      </c>
      <c r="DG11">
        <f t="shared" si="2"/>
        <v>0.94152892009339217</v>
      </c>
      <c r="DH11">
        <v>1</v>
      </c>
      <c r="DI11">
        <f t="shared" si="3"/>
        <v>2</v>
      </c>
      <c r="DJ11">
        <f t="shared" si="4"/>
        <v>0</v>
      </c>
    </row>
    <row r="12" spans="1:114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f t="shared" si="0"/>
        <v>64</v>
      </c>
      <c r="DF12" s="18">
        <f t="shared" si="1"/>
        <v>5.5390625</v>
      </c>
      <c r="DG12">
        <f t="shared" si="2"/>
        <v>0.96075651202415768</v>
      </c>
      <c r="DH12">
        <v>1</v>
      </c>
      <c r="DI12">
        <f t="shared" si="3"/>
        <v>3</v>
      </c>
      <c r="DJ12">
        <f t="shared" si="4"/>
        <v>0</v>
      </c>
    </row>
    <row r="13" spans="1:114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E13">
        <f t="shared" si="0"/>
        <v>63</v>
      </c>
      <c r="DF13" s="18">
        <f t="shared" si="1"/>
        <v>6.3174603174603172</v>
      </c>
      <c r="DG13">
        <f t="shared" si="2"/>
        <v>1.0862096991357946</v>
      </c>
      <c r="DH13">
        <v>1</v>
      </c>
      <c r="DI13">
        <f t="shared" si="3"/>
        <v>3</v>
      </c>
      <c r="DJ13">
        <f t="shared" si="4"/>
        <v>0</v>
      </c>
    </row>
    <row r="14" spans="1:114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f t="shared" si="0"/>
        <v>62</v>
      </c>
      <c r="DF14" s="18">
        <f t="shared" si="1"/>
        <v>6.2661290322580649</v>
      </c>
      <c r="DG14">
        <f t="shared" si="2"/>
        <v>1.0586015440095373</v>
      </c>
      <c r="DH14">
        <v>0</v>
      </c>
      <c r="DI14">
        <f t="shared" si="3"/>
        <v>0</v>
      </c>
      <c r="DJ14">
        <f t="shared" si="4"/>
        <v>0</v>
      </c>
    </row>
    <row r="15" spans="1:114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E15">
        <f t="shared" si="0"/>
        <v>56</v>
      </c>
      <c r="DF15" s="18">
        <f t="shared" si="1"/>
        <v>6.0535714285714288</v>
      </c>
      <c r="DG15">
        <f t="shared" si="2"/>
        <v>0.85108792104614583</v>
      </c>
      <c r="DH15">
        <v>1</v>
      </c>
      <c r="DI15">
        <f t="shared" si="3"/>
        <v>3</v>
      </c>
      <c r="DJ15">
        <f t="shared" si="4"/>
        <v>0</v>
      </c>
    </row>
    <row r="16" spans="1:114" x14ac:dyDescent="0.35">
      <c r="A16" t="s">
        <v>14</v>
      </c>
      <c r="B16">
        <v>7</v>
      </c>
      <c r="C16" t="s">
        <v>26</v>
      </c>
      <c r="D16">
        <v>8</v>
      </c>
      <c r="E16" t="s">
        <v>26</v>
      </c>
      <c r="F16">
        <v>5.5</v>
      </c>
      <c r="G16">
        <v>7</v>
      </c>
      <c r="H16">
        <v>3.5</v>
      </c>
      <c r="I16">
        <v>5</v>
      </c>
      <c r="J16" t="s">
        <v>26</v>
      </c>
      <c r="K16">
        <v>5.5</v>
      </c>
      <c r="L16">
        <v>5.5</v>
      </c>
      <c r="M16">
        <v>5.5</v>
      </c>
      <c r="N16" t="s">
        <v>26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26</v>
      </c>
      <c r="V16">
        <v>5.5</v>
      </c>
      <c r="W16" t="s">
        <v>26</v>
      </c>
      <c r="X16">
        <v>7</v>
      </c>
      <c r="Y16">
        <v>5.5</v>
      </c>
      <c r="Z16" t="s">
        <v>26</v>
      </c>
      <c r="AA16">
        <v>5.5</v>
      </c>
      <c r="AB16">
        <v>5</v>
      </c>
      <c r="AC16">
        <v>5.5</v>
      </c>
      <c r="AD16">
        <v>5</v>
      </c>
      <c r="AE16" t="s">
        <v>26</v>
      </c>
      <c r="AF16" t="s">
        <v>26</v>
      </c>
      <c r="AG16" t="s">
        <v>26</v>
      </c>
      <c r="AH16" t="s">
        <v>26</v>
      </c>
      <c r="AI16">
        <v>5.5</v>
      </c>
      <c r="AJ16" t="s">
        <v>26</v>
      </c>
      <c r="AK16" t="s">
        <v>26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26</v>
      </c>
      <c r="AV16">
        <v>5.5</v>
      </c>
      <c r="AW16" t="s">
        <v>26</v>
      </c>
      <c r="AX16" t="s">
        <v>26</v>
      </c>
      <c r="AY16">
        <v>5</v>
      </c>
      <c r="AZ16">
        <v>5.5</v>
      </c>
      <c r="BA16" t="s">
        <v>26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26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26</v>
      </c>
      <c r="BT16" t="s">
        <v>26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 t="s">
        <v>26</v>
      </c>
      <c r="CB16" t="s">
        <v>26</v>
      </c>
      <c r="CF16">
        <v>5.5</v>
      </c>
      <c r="CW16">
        <v>6</v>
      </c>
      <c r="DE16">
        <f t="shared" si="0"/>
        <v>53</v>
      </c>
      <c r="DF16" s="18">
        <f t="shared" si="1"/>
        <v>5.6981132075471699</v>
      </c>
      <c r="DG16">
        <f t="shared" si="2"/>
        <v>0.83975513052632311</v>
      </c>
      <c r="DH16">
        <v>0</v>
      </c>
      <c r="DI16">
        <f t="shared" si="3"/>
        <v>0</v>
      </c>
      <c r="DJ16">
        <f t="shared" si="4"/>
        <v>0</v>
      </c>
    </row>
    <row r="17" spans="1:114" x14ac:dyDescent="0.35">
      <c r="A17" t="s">
        <v>15</v>
      </c>
      <c r="B17">
        <v>7</v>
      </c>
      <c r="C17">
        <v>5</v>
      </c>
      <c r="D17" t="s">
        <v>26</v>
      </c>
      <c r="E17" t="s">
        <v>26</v>
      </c>
      <c r="F17" t="s">
        <v>26</v>
      </c>
      <c r="G17">
        <v>5.5</v>
      </c>
      <c r="H17">
        <v>3.5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26</v>
      </c>
      <c r="AA17">
        <v>7</v>
      </c>
      <c r="AB17">
        <v>5.5</v>
      </c>
      <c r="AC17" t="s">
        <v>26</v>
      </c>
      <c r="AD17">
        <v>5.5</v>
      </c>
      <c r="AE17" t="s">
        <v>26</v>
      </c>
      <c r="AF17" t="s">
        <v>26</v>
      </c>
      <c r="AG17" t="s">
        <v>26</v>
      </c>
      <c r="AH17" t="s">
        <v>26</v>
      </c>
      <c r="AI17" t="s">
        <v>26</v>
      </c>
      <c r="AJ17" t="s">
        <v>26</v>
      </c>
      <c r="AK17" t="s">
        <v>26</v>
      </c>
      <c r="AL17" t="s">
        <v>26</v>
      </c>
      <c r="AM17" t="s">
        <v>26</v>
      </c>
      <c r="AN17" t="s">
        <v>26</v>
      </c>
      <c r="AO17" t="s">
        <v>26</v>
      </c>
      <c r="AP17" t="s">
        <v>26</v>
      </c>
      <c r="AQ17" t="s">
        <v>26</v>
      </c>
      <c r="AR17" t="s">
        <v>26</v>
      </c>
      <c r="AS17" t="s">
        <v>26</v>
      </c>
      <c r="AT17" t="s">
        <v>26</v>
      </c>
      <c r="AU17" t="s">
        <v>26</v>
      </c>
      <c r="AV17" t="s">
        <v>26</v>
      </c>
      <c r="AW17" t="s">
        <v>26</v>
      </c>
      <c r="AX17" t="s">
        <v>26</v>
      </c>
      <c r="AY17" t="s">
        <v>26</v>
      </c>
      <c r="AZ17" t="s">
        <v>26</v>
      </c>
      <c r="BA17" t="s">
        <v>26</v>
      </c>
      <c r="BB17">
        <v>3.5</v>
      </c>
      <c r="BC17">
        <v>4</v>
      </c>
      <c r="BD17">
        <v>5.5</v>
      </c>
      <c r="BE17">
        <v>8.5</v>
      </c>
      <c r="BF17" t="s">
        <v>26</v>
      </c>
      <c r="BG17" t="s">
        <v>26</v>
      </c>
      <c r="BH17">
        <v>5.5</v>
      </c>
      <c r="BI17" t="s">
        <v>26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26</v>
      </c>
      <c r="BP17" t="s">
        <v>26</v>
      </c>
      <c r="BQ17" t="s">
        <v>26</v>
      </c>
      <c r="BR17">
        <v>5.5</v>
      </c>
      <c r="BS17">
        <v>5.5</v>
      </c>
      <c r="BT17" t="s">
        <v>26</v>
      </c>
      <c r="BU17" t="s">
        <v>26</v>
      </c>
      <c r="BV17" t="s">
        <v>26</v>
      </c>
      <c r="BW17">
        <v>6.5</v>
      </c>
      <c r="BX17">
        <v>5.5</v>
      </c>
      <c r="BY17">
        <v>5.5</v>
      </c>
      <c r="BZ17" t="s">
        <v>26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E17">
        <f t="shared" si="0"/>
        <v>49</v>
      </c>
      <c r="DF17" s="18">
        <f t="shared" si="1"/>
        <v>5.7244897959183669</v>
      </c>
      <c r="DG17">
        <f t="shared" si="2"/>
        <v>0.89594703439175261</v>
      </c>
      <c r="DH17">
        <v>1</v>
      </c>
      <c r="DI17">
        <f t="shared" si="3"/>
        <v>0</v>
      </c>
      <c r="DJ17">
        <f t="shared" si="4"/>
        <v>0</v>
      </c>
    </row>
    <row r="18" spans="1:114" x14ac:dyDescent="0.35">
      <c r="A18" t="s">
        <v>25</v>
      </c>
      <c r="B18" t="s">
        <v>26</v>
      </c>
      <c r="C18" t="s">
        <v>26</v>
      </c>
      <c r="D18" t="s">
        <v>26</v>
      </c>
      <c r="E18">
        <v>3.5</v>
      </c>
      <c r="F18">
        <v>5.5</v>
      </c>
      <c r="G18">
        <v>3</v>
      </c>
      <c r="H18" t="s">
        <v>26</v>
      </c>
      <c r="I18" t="s">
        <v>26</v>
      </c>
      <c r="J18">
        <v>3.5</v>
      </c>
      <c r="K18" t="s">
        <v>26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26</v>
      </c>
      <c r="R18" t="s">
        <v>26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26</v>
      </c>
      <c r="Z18">
        <v>5</v>
      </c>
      <c r="AA18" t="s">
        <v>26</v>
      </c>
      <c r="AB18" t="s">
        <v>26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26</v>
      </c>
      <c r="AJ18" t="s">
        <v>26</v>
      </c>
      <c r="AK18">
        <v>5.5</v>
      </c>
      <c r="AL18">
        <v>2</v>
      </c>
      <c r="AM18">
        <v>4</v>
      </c>
      <c r="AN18" t="s">
        <v>26</v>
      </c>
      <c r="AO18">
        <v>6.5</v>
      </c>
      <c r="AP18">
        <v>6.5</v>
      </c>
      <c r="AQ18">
        <v>4</v>
      </c>
      <c r="AR18">
        <v>3.5</v>
      </c>
      <c r="AS18" t="s">
        <v>26</v>
      </c>
      <c r="AT18">
        <v>5.5</v>
      </c>
      <c r="AU18">
        <v>4</v>
      </c>
      <c r="AV18" t="s">
        <v>26</v>
      </c>
      <c r="AW18" t="s">
        <v>26</v>
      </c>
      <c r="AX18">
        <v>6.5</v>
      </c>
      <c r="AY18">
        <v>5</v>
      </c>
      <c r="AZ18">
        <v>5</v>
      </c>
      <c r="BA18">
        <v>5.5</v>
      </c>
      <c r="BB18" t="s">
        <v>26</v>
      </c>
      <c r="BC18">
        <v>4</v>
      </c>
      <c r="BD18" t="s">
        <v>26</v>
      </c>
      <c r="BE18">
        <v>5</v>
      </c>
      <c r="BF18" t="s">
        <v>26</v>
      </c>
      <c r="BG18" t="s">
        <v>26</v>
      </c>
      <c r="BH18" t="s">
        <v>26</v>
      </c>
      <c r="BI18" t="s">
        <v>26</v>
      </c>
      <c r="BJ18" t="s">
        <v>26</v>
      </c>
      <c r="BK18">
        <v>5</v>
      </c>
      <c r="BL18">
        <v>4</v>
      </c>
      <c r="BM18">
        <v>5.5</v>
      </c>
      <c r="BN18" t="s">
        <v>26</v>
      </c>
      <c r="BO18">
        <v>5</v>
      </c>
      <c r="BP18" t="s">
        <v>26</v>
      </c>
      <c r="BQ18" t="s">
        <v>26</v>
      </c>
      <c r="BR18">
        <v>5</v>
      </c>
      <c r="BS18" t="s">
        <v>26</v>
      </c>
      <c r="BT18">
        <v>5.5</v>
      </c>
      <c r="BU18" t="s">
        <v>26</v>
      </c>
      <c r="BV18" t="s">
        <v>26</v>
      </c>
      <c r="BW18" t="s">
        <v>26</v>
      </c>
      <c r="BX18" t="s">
        <v>26</v>
      </c>
      <c r="BY18" t="s">
        <v>26</v>
      </c>
      <c r="BZ18" t="s">
        <v>26</v>
      </c>
      <c r="CA18">
        <v>5.5</v>
      </c>
      <c r="CB18" t="s">
        <v>26</v>
      </c>
      <c r="CC18">
        <v>4.5</v>
      </c>
      <c r="CE18">
        <v>5</v>
      </c>
      <c r="CF18">
        <v>5.5</v>
      </c>
      <c r="DE18">
        <f t="shared" si="0"/>
        <v>47</v>
      </c>
      <c r="DF18" s="18">
        <f t="shared" si="1"/>
        <v>4.4255319148936172</v>
      </c>
      <c r="DG18">
        <f t="shared" si="2"/>
        <v>1.3391217246854428</v>
      </c>
      <c r="DH18">
        <v>0</v>
      </c>
      <c r="DI18">
        <f t="shared" si="3"/>
        <v>0</v>
      </c>
      <c r="DJ18">
        <f t="shared" si="4"/>
        <v>0</v>
      </c>
    </row>
    <row r="19" spans="1:114" x14ac:dyDescent="0.35">
      <c r="A19" t="s">
        <v>44</v>
      </c>
      <c r="B19" t="s">
        <v>26</v>
      </c>
      <c r="C19" t="s">
        <v>26</v>
      </c>
      <c r="D19" t="s">
        <v>26</v>
      </c>
      <c r="E19" t="s">
        <v>26</v>
      </c>
      <c r="F19">
        <v>5</v>
      </c>
      <c r="G19">
        <v>3.5</v>
      </c>
      <c r="H19">
        <v>5.5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>
        <v>5.5</v>
      </c>
      <c r="R19" t="s">
        <v>26</v>
      </c>
      <c r="S19">
        <v>5.5</v>
      </c>
      <c r="T19">
        <v>5.5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>
        <v>8</v>
      </c>
      <c r="AH19" t="s">
        <v>26</v>
      </c>
      <c r="AI19">
        <v>4</v>
      </c>
      <c r="AJ19">
        <v>3.5</v>
      </c>
      <c r="AK19">
        <v>2.5</v>
      </c>
      <c r="AL19">
        <v>5.5</v>
      </c>
      <c r="AM19" t="s">
        <v>26</v>
      </c>
      <c r="AN19">
        <v>5.5</v>
      </c>
      <c r="AO19">
        <v>5.5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>
        <v>5</v>
      </c>
      <c r="AX19">
        <v>5</v>
      </c>
      <c r="AY19">
        <v>5</v>
      </c>
      <c r="AZ19">
        <v>5</v>
      </c>
      <c r="BA19" t="s">
        <v>26</v>
      </c>
      <c r="BB19">
        <v>6.5</v>
      </c>
      <c r="BC19">
        <v>2</v>
      </c>
      <c r="BD19" t="s">
        <v>26</v>
      </c>
      <c r="BE19">
        <v>4</v>
      </c>
      <c r="BF19">
        <v>5.5</v>
      </c>
      <c r="BG19">
        <v>3.5</v>
      </c>
      <c r="BH19">
        <v>4</v>
      </c>
      <c r="BI19">
        <v>5.5</v>
      </c>
      <c r="BJ19">
        <v>5</v>
      </c>
      <c r="BK19">
        <v>5.5</v>
      </c>
      <c r="BL19">
        <v>5</v>
      </c>
      <c r="BM19" t="s">
        <v>26</v>
      </c>
      <c r="BN19" t="s">
        <v>26</v>
      </c>
      <c r="BO19">
        <v>4</v>
      </c>
      <c r="BP19">
        <v>5.5</v>
      </c>
      <c r="BQ19">
        <v>5</v>
      </c>
      <c r="BR19" t="s">
        <v>26</v>
      </c>
      <c r="BS19">
        <v>5</v>
      </c>
      <c r="BT19">
        <v>5</v>
      </c>
      <c r="BU19" t="s">
        <v>26</v>
      </c>
      <c r="BV19">
        <v>4</v>
      </c>
      <c r="BW19" t="s">
        <v>26</v>
      </c>
      <c r="BX19">
        <v>5.5</v>
      </c>
      <c r="BY19" t="s">
        <v>26</v>
      </c>
      <c r="BZ19" t="s">
        <v>26</v>
      </c>
      <c r="CA19" t="s">
        <v>26</v>
      </c>
      <c r="CB19">
        <v>5.5</v>
      </c>
      <c r="CC19">
        <v>5.5</v>
      </c>
      <c r="CD19">
        <v>4.5</v>
      </c>
      <c r="CE19">
        <v>5.5</v>
      </c>
      <c r="CG19">
        <v>6</v>
      </c>
      <c r="CH19">
        <v>6.5</v>
      </c>
      <c r="CI19">
        <v>5.5</v>
      </c>
      <c r="CJ19">
        <v>4.5</v>
      </c>
      <c r="CK19">
        <v>5.5</v>
      </c>
      <c r="CL19">
        <v>6</v>
      </c>
      <c r="CY19">
        <v>5.5</v>
      </c>
      <c r="CZ19">
        <v>6</v>
      </c>
      <c r="DA19">
        <v>5.5</v>
      </c>
      <c r="DB19">
        <v>5.5</v>
      </c>
      <c r="DC19">
        <v>5.5</v>
      </c>
      <c r="DE19">
        <f t="shared" si="0"/>
        <v>44</v>
      </c>
      <c r="DF19" s="18">
        <f t="shared" si="1"/>
        <v>5.0113636363636367</v>
      </c>
      <c r="DG19">
        <f t="shared" si="2"/>
        <v>1.0481913346311222</v>
      </c>
      <c r="DH19">
        <v>0</v>
      </c>
      <c r="DI19">
        <f t="shared" si="3"/>
        <v>3</v>
      </c>
      <c r="DJ19">
        <f t="shared" si="4"/>
        <v>3</v>
      </c>
    </row>
    <row r="20" spans="1:114" x14ac:dyDescent="0.35">
      <c r="A20" t="s">
        <v>84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 t="s">
        <v>26</v>
      </c>
      <c r="I20" t="s">
        <v>26</v>
      </c>
      <c r="J20" t="s">
        <v>26</v>
      </c>
      <c r="K20" t="s">
        <v>26</v>
      </c>
      <c r="L20" t="s">
        <v>26</v>
      </c>
      <c r="M20" t="s">
        <v>26</v>
      </c>
      <c r="N20" t="s">
        <v>26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  <c r="U20" t="s">
        <v>26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>
        <v>3.5</v>
      </c>
      <c r="AC20">
        <v>5.5</v>
      </c>
      <c r="AD20" t="s">
        <v>26</v>
      </c>
      <c r="AE20">
        <v>8</v>
      </c>
      <c r="AF20">
        <v>7</v>
      </c>
      <c r="AG20">
        <v>8</v>
      </c>
      <c r="AH20">
        <v>5.5</v>
      </c>
      <c r="AI20">
        <v>6.5</v>
      </c>
      <c r="AJ20" t="s">
        <v>26</v>
      </c>
      <c r="AK20" t="s">
        <v>26</v>
      </c>
      <c r="AL20">
        <v>5.5</v>
      </c>
      <c r="AM20" t="s">
        <v>26</v>
      </c>
      <c r="AN20" t="s">
        <v>26</v>
      </c>
      <c r="AO20">
        <v>6.5</v>
      </c>
      <c r="AP20">
        <v>7</v>
      </c>
      <c r="AQ20">
        <v>6.5</v>
      </c>
      <c r="AR20" t="s">
        <v>26</v>
      </c>
      <c r="AS20" t="s">
        <v>26</v>
      </c>
      <c r="AT20">
        <v>5</v>
      </c>
      <c r="AU20">
        <v>5.5</v>
      </c>
      <c r="AV20">
        <v>5.5</v>
      </c>
      <c r="AW20">
        <v>5</v>
      </c>
      <c r="AX20">
        <v>5.5</v>
      </c>
      <c r="AY20" t="s">
        <v>26</v>
      </c>
      <c r="AZ20">
        <v>5.5</v>
      </c>
      <c r="BA20">
        <v>6.5</v>
      </c>
      <c r="BB20">
        <v>6.5</v>
      </c>
      <c r="BC20">
        <v>4</v>
      </c>
      <c r="BD20">
        <v>5</v>
      </c>
      <c r="BE20">
        <v>5</v>
      </c>
      <c r="BF20">
        <v>5</v>
      </c>
      <c r="BG20">
        <v>5.5</v>
      </c>
      <c r="BH20" t="s">
        <v>26</v>
      </c>
      <c r="BI20">
        <v>5</v>
      </c>
      <c r="BJ20" t="s">
        <v>26</v>
      </c>
      <c r="BK20" t="s">
        <v>26</v>
      </c>
      <c r="BL20">
        <v>5.5</v>
      </c>
      <c r="BM20">
        <v>5.5</v>
      </c>
      <c r="BN20">
        <v>6.5</v>
      </c>
      <c r="BO20">
        <v>5.5</v>
      </c>
      <c r="BP20" t="s">
        <v>26</v>
      </c>
      <c r="BQ20">
        <v>5.5</v>
      </c>
      <c r="BR20">
        <v>5</v>
      </c>
      <c r="BS20" t="s">
        <v>26</v>
      </c>
      <c r="BT20" t="s">
        <v>26</v>
      </c>
      <c r="BU20" t="s">
        <v>26</v>
      </c>
      <c r="BV20" t="s">
        <v>26</v>
      </c>
      <c r="BW20">
        <v>5.5</v>
      </c>
      <c r="BX20" t="s">
        <v>26</v>
      </c>
      <c r="BY20" t="s">
        <v>26</v>
      </c>
      <c r="BZ20" t="s">
        <v>26</v>
      </c>
      <c r="CA20">
        <v>5.5</v>
      </c>
      <c r="CB20">
        <v>6.5</v>
      </c>
      <c r="CC20">
        <v>6</v>
      </c>
      <c r="CD20">
        <v>5.5</v>
      </c>
      <c r="CJ20">
        <v>6</v>
      </c>
      <c r="CK20">
        <v>6.5</v>
      </c>
      <c r="CN20">
        <v>5.5</v>
      </c>
      <c r="CO20">
        <v>5.5</v>
      </c>
      <c r="CR20">
        <v>5.5</v>
      </c>
      <c r="CT20">
        <v>6</v>
      </c>
      <c r="CU20">
        <v>5.5</v>
      </c>
      <c r="CW20">
        <v>6</v>
      </c>
      <c r="CY20">
        <v>6</v>
      </c>
      <c r="CZ20">
        <v>6.5</v>
      </c>
      <c r="DA20">
        <v>5.5</v>
      </c>
      <c r="DB20">
        <v>6</v>
      </c>
      <c r="DE20">
        <f t="shared" si="0"/>
        <v>44</v>
      </c>
      <c r="DF20" s="18">
        <f t="shared" si="1"/>
        <v>5.75</v>
      </c>
      <c r="DG20">
        <f t="shared" si="2"/>
        <v>0.85249292433809187</v>
      </c>
      <c r="DH20">
        <v>1</v>
      </c>
      <c r="DI20">
        <f t="shared" si="3"/>
        <v>3</v>
      </c>
      <c r="DJ20">
        <f t="shared" si="4"/>
        <v>0</v>
      </c>
    </row>
    <row r="21" spans="1:114" x14ac:dyDescent="0.35">
      <c r="A21" t="s">
        <v>46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>
        <v>5.5</v>
      </c>
      <c r="I21">
        <v>5</v>
      </c>
      <c r="J21">
        <v>5</v>
      </c>
      <c r="K21">
        <v>3</v>
      </c>
      <c r="L21" t="s">
        <v>26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26</v>
      </c>
      <c r="S21" t="s">
        <v>26</v>
      </c>
      <c r="T21" t="s">
        <v>26</v>
      </c>
      <c r="U21">
        <v>5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 t="s">
        <v>26</v>
      </c>
      <c r="AC21" t="s">
        <v>26</v>
      </c>
      <c r="AD21" t="s">
        <v>26</v>
      </c>
      <c r="AE21" t="s">
        <v>26</v>
      </c>
      <c r="AF21" t="s">
        <v>26</v>
      </c>
      <c r="AG21" t="s">
        <v>26</v>
      </c>
      <c r="AH21">
        <v>5.5</v>
      </c>
      <c r="AI21">
        <v>6.5</v>
      </c>
      <c r="AJ21">
        <v>3.5</v>
      </c>
      <c r="AK21" t="s">
        <v>26</v>
      </c>
      <c r="AL21" t="s">
        <v>26</v>
      </c>
      <c r="AM21" t="s">
        <v>26</v>
      </c>
      <c r="AN21" t="s">
        <v>26</v>
      </c>
      <c r="AO21" t="s">
        <v>26</v>
      </c>
      <c r="AP21" t="s">
        <v>26</v>
      </c>
      <c r="AQ21" t="s">
        <v>26</v>
      </c>
      <c r="AR21" t="s">
        <v>26</v>
      </c>
      <c r="AS21" t="s">
        <v>26</v>
      </c>
      <c r="AT21" t="s">
        <v>26</v>
      </c>
      <c r="AU21" t="s">
        <v>26</v>
      </c>
      <c r="AV21" t="s">
        <v>26</v>
      </c>
      <c r="AW21" t="s">
        <v>26</v>
      </c>
      <c r="AX21" t="s">
        <v>26</v>
      </c>
      <c r="AY21" t="s">
        <v>26</v>
      </c>
      <c r="AZ21" t="s">
        <v>26</v>
      </c>
      <c r="BA21" t="s">
        <v>26</v>
      </c>
      <c r="BB21" t="s">
        <v>26</v>
      </c>
      <c r="BC21" t="s">
        <v>26</v>
      </c>
      <c r="BD21" t="s">
        <v>26</v>
      </c>
      <c r="BE21" t="s">
        <v>26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26</v>
      </c>
      <c r="BN21" t="s">
        <v>26</v>
      </c>
      <c r="BO21">
        <v>5.5</v>
      </c>
      <c r="BP21" t="s">
        <v>26</v>
      </c>
      <c r="BQ21">
        <v>8.5</v>
      </c>
      <c r="BR21">
        <v>5</v>
      </c>
      <c r="BS21" t="s">
        <v>26</v>
      </c>
      <c r="BT21">
        <v>5.5</v>
      </c>
      <c r="BU21">
        <v>6.5</v>
      </c>
      <c r="BV21">
        <v>5</v>
      </c>
      <c r="BW21" t="s">
        <v>26</v>
      </c>
      <c r="BX21">
        <v>5.5</v>
      </c>
      <c r="BY21">
        <v>5.5</v>
      </c>
      <c r="BZ21" t="s">
        <v>26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E21">
        <f t="shared" si="0"/>
        <v>43</v>
      </c>
      <c r="DF21" s="18">
        <f t="shared" si="1"/>
        <v>5.2441860465116283</v>
      </c>
      <c r="DG21">
        <f t="shared" si="2"/>
        <v>1.1920974563830549</v>
      </c>
      <c r="DH21">
        <v>1</v>
      </c>
      <c r="DI21">
        <f t="shared" si="3"/>
        <v>2</v>
      </c>
      <c r="DJ21">
        <f t="shared" si="4"/>
        <v>0</v>
      </c>
    </row>
    <row r="22" spans="1:114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DE22">
        <f t="shared" si="0"/>
        <v>39</v>
      </c>
      <c r="DF22" s="18">
        <f t="shared" si="1"/>
        <v>6.1410256410256414</v>
      </c>
      <c r="DG22">
        <f t="shared" si="2"/>
        <v>1.0879042984027267</v>
      </c>
      <c r="DH22">
        <v>0</v>
      </c>
      <c r="DI22">
        <f t="shared" si="3"/>
        <v>0</v>
      </c>
      <c r="DJ22">
        <f t="shared" si="4"/>
        <v>0</v>
      </c>
    </row>
    <row r="23" spans="1:114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E23">
        <f t="shared" si="0"/>
        <v>33</v>
      </c>
      <c r="DF23" s="18">
        <f t="shared" si="1"/>
        <v>6.3181818181818183</v>
      </c>
      <c r="DG23">
        <f t="shared" si="2"/>
        <v>0.9828067413836219</v>
      </c>
      <c r="DH23">
        <v>0</v>
      </c>
      <c r="DI23">
        <f t="shared" si="3"/>
        <v>0</v>
      </c>
      <c r="DJ23">
        <f t="shared" si="4"/>
        <v>0</v>
      </c>
    </row>
    <row r="24" spans="1:114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E24">
        <f t="shared" si="0"/>
        <v>29</v>
      </c>
      <c r="DF24" s="18">
        <f t="shared" si="1"/>
        <v>5.4827586206896548</v>
      </c>
      <c r="DG24">
        <f t="shared" si="2"/>
        <v>0.68768190607350477</v>
      </c>
      <c r="DH24">
        <v>0</v>
      </c>
      <c r="DI24">
        <f t="shared" si="3"/>
        <v>0</v>
      </c>
      <c r="DJ24">
        <f t="shared" si="4"/>
        <v>0</v>
      </c>
    </row>
    <row r="25" spans="1:114" x14ac:dyDescent="0.35">
      <c r="A25" t="s">
        <v>22</v>
      </c>
      <c r="B25" t="s">
        <v>26</v>
      </c>
      <c r="C25" t="s">
        <v>26</v>
      </c>
      <c r="D25">
        <v>7</v>
      </c>
      <c r="E25">
        <v>7</v>
      </c>
      <c r="F25">
        <v>5</v>
      </c>
      <c r="G25" t="s">
        <v>26</v>
      </c>
      <c r="H25" t="s">
        <v>26</v>
      </c>
      <c r="I25" t="s">
        <v>26</v>
      </c>
      <c r="J25" t="s">
        <v>26</v>
      </c>
      <c r="K25">
        <v>7</v>
      </c>
      <c r="L25">
        <v>7</v>
      </c>
      <c r="M25" t="s">
        <v>26</v>
      </c>
      <c r="N25">
        <v>8</v>
      </c>
      <c r="O25" t="s">
        <v>26</v>
      </c>
      <c r="P25" t="s">
        <v>26</v>
      </c>
      <c r="Q25" t="s">
        <v>26</v>
      </c>
      <c r="R25" t="s">
        <v>26</v>
      </c>
      <c r="S25">
        <v>7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 t="s">
        <v>26</v>
      </c>
      <c r="AF25" t="s">
        <v>26</v>
      </c>
      <c r="AG25" t="s">
        <v>26</v>
      </c>
      <c r="AH25" t="s">
        <v>26</v>
      </c>
      <c r="AI25" t="s">
        <v>26</v>
      </c>
      <c r="AJ25" t="s">
        <v>26</v>
      </c>
      <c r="AK25" t="s">
        <v>26</v>
      </c>
      <c r="AL25" t="s">
        <v>26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>
        <v>6.5</v>
      </c>
      <c r="AS25" t="s">
        <v>26</v>
      </c>
      <c r="AT25" t="s">
        <v>26</v>
      </c>
      <c r="AU25">
        <v>6.5</v>
      </c>
      <c r="AV25" t="s">
        <v>26</v>
      </c>
      <c r="AW25">
        <v>5</v>
      </c>
      <c r="AX25" t="s">
        <v>26</v>
      </c>
      <c r="AY25" t="s">
        <v>26</v>
      </c>
      <c r="AZ25" t="s">
        <v>26</v>
      </c>
      <c r="BA25" t="s">
        <v>26</v>
      </c>
      <c r="BB25">
        <v>6.5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>
        <v>7</v>
      </c>
      <c r="BL25" t="s">
        <v>26</v>
      </c>
      <c r="BM25" t="s">
        <v>26</v>
      </c>
      <c r="BN25" t="s">
        <v>26</v>
      </c>
      <c r="BO25">
        <v>6.5</v>
      </c>
      <c r="BP25" t="s">
        <v>26</v>
      </c>
      <c r="BQ25" t="s">
        <v>26</v>
      </c>
      <c r="BR25" t="s">
        <v>26</v>
      </c>
      <c r="BS25" t="s">
        <v>26</v>
      </c>
      <c r="BT25">
        <v>6.5</v>
      </c>
      <c r="BU25">
        <v>7</v>
      </c>
      <c r="BV25" t="s">
        <v>26</v>
      </c>
      <c r="BW25" t="s">
        <v>26</v>
      </c>
      <c r="BX25">
        <v>7</v>
      </c>
      <c r="BY25" t="s">
        <v>26</v>
      </c>
      <c r="BZ25" t="s">
        <v>26</v>
      </c>
      <c r="CA25" t="s">
        <v>26</v>
      </c>
      <c r="CB25" t="s">
        <v>26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E25">
        <f t="shared" si="0"/>
        <v>23</v>
      </c>
      <c r="DF25" s="18">
        <f t="shared" si="1"/>
        <v>6.6086956521739131</v>
      </c>
      <c r="DG25">
        <f t="shared" si="2"/>
        <v>0.67346663781731952</v>
      </c>
      <c r="DH25">
        <v>1</v>
      </c>
      <c r="DI25">
        <f t="shared" si="3"/>
        <v>2</v>
      </c>
      <c r="DJ25">
        <f t="shared" si="4"/>
        <v>0</v>
      </c>
    </row>
    <row r="26" spans="1:114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E26">
        <f t="shared" si="0"/>
        <v>19</v>
      </c>
      <c r="DF26" s="18">
        <f t="shared" si="1"/>
        <v>6.2368421052631575</v>
      </c>
      <c r="DG26">
        <f t="shared" si="2"/>
        <v>0.63176166947476609</v>
      </c>
      <c r="DH26">
        <v>0</v>
      </c>
      <c r="DI26">
        <f t="shared" si="3"/>
        <v>0</v>
      </c>
      <c r="DJ26">
        <f t="shared" si="4"/>
        <v>0</v>
      </c>
    </row>
    <row r="27" spans="1:114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26</v>
      </c>
      <c r="L27" t="s">
        <v>26</v>
      </c>
      <c r="M27" t="s">
        <v>26</v>
      </c>
      <c r="N27" t="s">
        <v>26</v>
      </c>
      <c r="O27">
        <v>7</v>
      </c>
      <c r="P27">
        <v>5.5</v>
      </c>
      <c r="Q27">
        <v>5.5</v>
      </c>
      <c r="R27">
        <v>7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>
        <v>5.5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>
        <v>8</v>
      </c>
      <c r="AF27" t="s">
        <v>26</v>
      </c>
      <c r="AG27" t="s">
        <v>26</v>
      </c>
      <c r="AH27" t="s">
        <v>26</v>
      </c>
      <c r="AI27">
        <v>5.5</v>
      </c>
      <c r="AJ27" t="s">
        <v>26</v>
      </c>
      <c r="AK27" t="s">
        <v>26</v>
      </c>
      <c r="AL27">
        <v>6.5</v>
      </c>
      <c r="AM27" t="s">
        <v>26</v>
      </c>
      <c r="AN27" t="s">
        <v>26</v>
      </c>
      <c r="AO27" t="s">
        <v>26</v>
      </c>
      <c r="AP27" t="s">
        <v>26</v>
      </c>
      <c r="AQ27" t="s">
        <v>26</v>
      </c>
      <c r="AR27" t="s">
        <v>26</v>
      </c>
      <c r="AS27" t="s">
        <v>26</v>
      </c>
      <c r="AT27" t="s">
        <v>26</v>
      </c>
      <c r="AU27">
        <v>5.5</v>
      </c>
      <c r="AV27" t="s">
        <v>26</v>
      </c>
      <c r="AW27" t="s">
        <v>26</v>
      </c>
      <c r="AX27" t="s">
        <v>26</v>
      </c>
      <c r="AY27" t="s">
        <v>26</v>
      </c>
      <c r="AZ27" t="s">
        <v>26</v>
      </c>
      <c r="BA27">
        <v>5.5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DE27">
        <f t="shared" si="0"/>
        <v>19</v>
      </c>
      <c r="DF27" s="18">
        <f t="shared" si="1"/>
        <v>5.7894736842105265</v>
      </c>
      <c r="DG27">
        <f t="shared" si="2"/>
        <v>1.3674366679797902</v>
      </c>
      <c r="DH27">
        <v>0</v>
      </c>
      <c r="DI27">
        <f t="shared" si="3"/>
        <v>0</v>
      </c>
      <c r="DJ27">
        <f t="shared" si="4"/>
        <v>0</v>
      </c>
    </row>
    <row r="28" spans="1:114" x14ac:dyDescent="0.35">
      <c r="A28" t="s">
        <v>63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>
        <v>3.5</v>
      </c>
      <c r="T28" t="s">
        <v>26</v>
      </c>
      <c r="U28">
        <v>3.5</v>
      </c>
      <c r="V28" t="s">
        <v>26</v>
      </c>
      <c r="W28">
        <v>5</v>
      </c>
      <c r="X28" t="s">
        <v>26</v>
      </c>
      <c r="Y28" t="s">
        <v>26</v>
      </c>
      <c r="Z28" t="s">
        <v>26</v>
      </c>
      <c r="AA28" t="s">
        <v>26</v>
      </c>
      <c r="AB28" t="s">
        <v>26</v>
      </c>
      <c r="AC28" t="s">
        <v>26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 t="s">
        <v>26</v>
      </c>
      <c r="AJ28" t="s">
        <v>26</v>
      </c>
      <c r="AK28">
        <v>3.5</v>
      </c>
      <c r="AL28" t="s">
        <v>26</v>
      </c>
      <c r="AM28" t="s">
        <v>26</v>
      </c>
      <c r="AN28" t="s">
        <v>26</v>
      </c>
      <c r="AO28" t="s">
        <v>26</v>
      </c>
      <c r="AP28" t="s">
        <v>26</v>
      </c>
      <c r="AQ28" t="s">
        <v>26</v>
      </c>
      <c r="AR28" t="s">
        <v>26</v>
      </c>
      <c r="AS28" t="s">
        <v>26</v>
      </c>
      <c r="AT28" t="s">
        <v>26</v>
      </c>
      <c r="AU28" t="s">
        <v>26</v>
      </c>
      <c r="AV28" t="s">
        <v>26</v>
      </c>
      <c r="AW28" t="s">
        <v>26</v>
      </c>
      <c r="AX28" t="s">
        <v>26</v>
      </c>
      <c r="AY28">
        <v>5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>
        <v>5</v>
      </c>
      <c r="BJ28">
        <v>6.5</v>
      </c>
      <c r="BK28" t="s">
        <v>26</v>
      </c>
      <c r="BL28">
        <v>5</v>
      </c>
      <c r="BM28" t="s">
        <v>26</v>
      </c>
      <c r="BN28">
        <v>5</v>
      </c>
      <c r="BO28" t="s">
        <v>26</v>
      </c>
      <c r="BP28">
        <v>5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>
        <v>5.5</v>
      </c>
      <c r="BW28" t="s">
        <v>26</v>
      </c>
      <c r="BX28" t="s">
        <v>26</v>
      </c>
      <c r="BY28">
        <v>5.5</v>
      </c>
      <c r="BZ28" t="s">
        <v>26</v>
      </c>
      <c r="CA28" t="s">
        <v>26</v>
      </c>
      <c r="CB28" t="s">
        <v>26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E28">
        <f t="shared" si="0"/>
        <v>18</v>
      </c>
      <c r="DF28" s="18">
        <f t="shared" si="1"/>
        <v>5</v>
      </c>
      <c r="DG28">
        <f t="shared" si="2"/>
        <v>0.85749292571254421</v>
      </c>
      <c r="DH28">
        <v>0</v>
      </c>
      <c r="DI28">
        <f t="shared" si="3"/>
        <v>0</v>
      </c>
      <c r="DJ28">
        <f t="shared" si="4"/>
        <v>0</v>
      </c>
    </row>
    <row r="29" spans="1:114" x14ac:dyDescent="0.35">
      <c r="A29" t="s">
        <v>346</v>
      </c>
      <c r="B29" t="s">
        <v>26</v>
      </c>
      <c r="C29" t="s">
        <v>26</v>
      </c>
      <c r="D29" t="s">
        <v>26</v>
      </c>
      <c r="E29" t="s">
        <v>26</v>
      </c>
      <c r="F29" t="s">
        <v>26</v>
      </c>
      <c r="G29" t="s">
        <v>26</v>
      </c>
      <c r="H29" t="s">
        <v>26</v>
      </c>
      <c r="I29" t="s">
        <v>26</v>
      </c>
      <c r="J29" t="s">
        <v>26</v>
      </c>
      <c r="K29" t="s">
        <v>26</v>
      </c>
      <c r="L29" t="s">
        <v>26</v>
      </c>
      <c r="M29" t="s">
        <v>26</v>
      </c>
      <c r="N29" t="s">
        <v>26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>
        <v>6.5</v>
      </c>
      <c r="AO29">
        <v>5.5</v>
      </c>
      <c r="AP29" t="s">
        <v>26</v>
      </c>
      <c r="AQ29">
        <v>7</v>
      </c>
      <c r="AR29" t="s">
        <v>26</v>
      </c>
      <c r="AS29">
        <v>5.5</v>
      </c>
      <c r="AT29">
        <v>5.5</v>
      </c>
      <c r="AU29">
        <v>7</v>
      </c>
      <c r="AV29" t="s">
        <v>26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26</v>
      </c>
      <c r="BC29">
        <v>5</v>
      </c>
      <c r="BD29" t="s">
        <v>26</v>
      </c>
      <c r="BE29">
        <v>5</v>
      </c>
      <c r="BF29">
        <v>6.5</v>
      </c>
      <c r="BG29">
        <v>5.5</v>
      </c>
      <c r="BH29" t="s">
        <v>26</v>
      </c>
      <c r="BI29" t="s">
        <v>26</v>
      </c>
      <c r="BJ29" t="s">
        <v>26</v>
      </c>
      <c r="BK29" t="s">
        <v>26</v>
      </c>
      <c r="BL29" t="s">
        <v>26</v>
      </c>
      <c r="BM29" t="s">
        <v>26</v>
      </c>
      <c r="BN29" t="s">
        <v>26</v>
      </c>
      <c r="BO29" t="s">
        <v>26</v>
      </c>
      <c r="BP29" t="s">
        <v>26</v>
      </c>
      <c r="BQ29" t="s">
        <v>26</v>
      </c>
      <c r="BR29" t="s">
        <v>26</v>
      </c>
      <c r="BS29" t="s">
        <v>26</v>
      </c>
      <c r="BT29" t="s">
        <v>26</v>
      </c>
      <c r="BU29" t="s">
        <v>26</v>
      </c>
      <c r="BV29">
        <v>5.5</v>
      </c>
      <c r="BW29">
        <v>6.5</v>
      </c>
      <c r="BX29" t="s">
        <v>26</v>
      </c>
      <c r="BY29">
        <v>6.5</v>
      </c>
      <c r="BZ29" t="s">
        <v>26</v>
      </c>
      <c r="CA29" t="s">
        <v>26</v>
      </c>
      <c r="CB29" t="s">
        <v>26</v>
      </c>
      <c r="DE29">
        <f t="shared" si="0"/>
        <v>18</v>
      </c>
      <c r="DF29" s="18">
        <f t="shared" si="1"/>
        <v>5.9444444444444446</v>
      </c>
      <c r="DG29">
        <f t="shared" si="2"/>
        <v>0.72535769855270305</v>
      </c>
      <c r="DH29">
        <v>0</v>
      </c>
      <c r="DI29">
        <f t="shared" si="3"/>
        <v>0</v>
      </c>
      <c r="DJ29">
        <f t="shared" si="4"/>
        <v>0</v>
      </c>
    </row>
    <row r="30" spans="1:114" x14ac:dyDescent="0.35">
      <c r="A30" t="s">
        <v>8</v>
      </c>
      <c r="B30">
        <v>5.5</v>
      </c>
      <c r="C30" t="s">
        <v>26</v>
      </c>
      <c r="D30">
        <v>3</v>
      </c>
      <c r="E30" t="s">
        <v>26</v>
      </c>
      <c r="F30" t="s">
        <v>26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26</v>
      </c>
      <c r="M30" t="s">
        <v>26</v>
      </c>
      <c r="N30" t="s">
        <v>26</v>
      </c>
      <c r="O30">
        <v>5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>
        <v>5.5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>
        <v>7</v>
      </c>
      <c r="AB30" t="s">
        <v>26</v>
      </c>
      <c r="AC30">
        <v>7</v>
      </c>
      <c r="AD30" t="s">
        <v>26</v>
      </c>
      <c r="AE30" t="s">
        <v>26</v>
      </c>
      <c r="AF30" t="s">
        <v>26</v>
      </c>
      <c r="AG30" t="s">
        <v>26</v>
      </c>
      <c r="AH30" t="s">
        <v>26</v>
      </c>
      <c r="AI30">
        <v>5.5</v>
      </c>
      <c r="AJ30">
        <v>5.5</v>
      </c>
      <c r="AK30" t="s">
        <v>26</v>
      </c>
      <c r="AL30" t="s">
        <v>26</v>
      </c>
      <c r="AM30" t="s">
        <v>26</v>
      </c>
      <c r="AN30">
        <v>5.5</v>
      </c>
      <c r="AO30" t="s">
        <v>26</v>
      </c>
      <c r="AP30">
        <v>6.5</v>
      </c>
      <c r="AQ30">
        <v>4</v>
      </c>
      <c r="AR30" t="s">
        <v>26</v>
      </c>
      <c r="AS30" t="s">
        <v>26</v>
      </c>
      <c r="AT30" t="s">
        <v>26</v>
      </c>
      <c r="AU30" t="s">
        <v>26</v>
      </c>
      <c r="AV30">
        <v>5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DE30">
        <f t="shared" si="0"/>
        <v>17</v>
      </c>
      <c r="DF30" s="18">
        <f t="shared" si="1"/>
        <v>5.3235294117647056</v>
      </c>
      <c r="DG30">
        <f t="shared" si="2"/>
        <v>1.3456083251473603</v>
      </c>
      <c r="DH30">
        <v>0</v>
      </c>
      <c r="DI30">
        <f t="shared" si="3"/>
        <v>0</v>
      </c>
      <c r="DJ30">
        <f t="shared" si="4"/>
        <v>0</v>
      </c>
    </row>
    <row r="31" spans="1:114" x14ac:dyDescent="0.35">
      <c r="A31" t="s">
        <v>68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>
        <v>5.5</v>
      </c>
      <c r="Y31" t="s">
        <v>26</v>
      </c>
      <c r="Z31">
        <v>5</v>
      </c>
      <c r="AA31">
        <v>3</v>
      </c>
      <c r="AB31">
        <v>1.5</v>
      </c>
      <c r="AC31" t="s">
        <v>26</v>
      </c>
      <c r="AD31" t="s">
        <v>26</v>
      </c>
      <c r="AE31" t="s">
        <v>26</v>
      </c>
      <c r="AF31" t="s">
        <v>26</v>
      </c>
      <c r="AG31">
        <v>7</v>
      </c>
      <c r="AH31">
        <v>5.5</v>
      </c>
      <c r="AI31" t="s">
        <v>26</v>
      </c>
      <c r="AJ31">
        <v>5</v>
      </c>
      <c r="AK31">
        <v>5.5</v>
      </c>
      <c r="AL31" t="s">
        <v>26</v>
      </c>
      <c r="AM31" t="s">
        <v>26</v>
      </c>
      <c r="AN31" t="s">
        <v>26</v>
      </c>
      <c r="AO31">
        <v>4</v>
      </c>
      <c r="AP31">
        <v>6.5</v>
      </c>
      <c r="AQ31" t="s">
        <v>26</v>
      </c>
      <c r="AR31">
        <v>3.5</v>
      </c>
      <c r="AS31" t="s">
        <v>26</v>
      </c>
      <c r="AT31" t="s">
        <v>26</v>
      </c>
      <c r="AU31" t="s">
        <v>26</v>
      </c>
      <c r="AV31" t="s">
        <v>26</v>
      </c>
      <c r="AW31">
        <v>3.5</v>
      </c>
      <c r="AX31" t="s">
        <v>26</v>
      </c>
      <c r="AY31" t="s">
        <v>26</v>
      </c>
      <c r="AZ31" t="s">
        <v>26</v>
      </c>
      <c r="BA31">
        <v>2.5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>
        <v>6.5</v>
      </c>
      <c r="BK31">
        <v>4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>
        <v>4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 t="s">
        <v>26</v>
      </c>
      <c r="CB31" t="s">
        <v>26</v>
      </c>
      <c r="CZ31">
        <v>4.5</v>
      </c>
      <c r="DA31">
        <v>5.5</v>
      </c>
      <c r="DE31">
        <f t="shared" si="0"/>
        <v>16</v>
      </c>
      <c r="DF31" s="18">
        <f t="shared" si="1"/>
        <v>4.53125</v>
      </c>
      <c r="DG31">
        <f t="shared" si="2"/>
        <v>1.5434674167816653</v>
      </c>
      <c r="DH31">
        <v>0</v>
      </c>
      <c r="DI31">
        <f t="shared" si="3"/>
        <v>2</v>
      </c>
      <c r="DJ31">
        <f t="shared" si="4"/>
        <v>2</v>
      </c>
    </row>
    <row r="32" spans="1:114" x14ac:dyDescent="0.35">
      <c r="A32" t="s">
        <v>343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>
        <v>1</v>
      </c>
      <c r="K32" t="s">
        <v>26</v>
      </c>
      <c r="L32" t="s">
        <v>26</v>
      </c>
      <c r="M32">
        <v>3.5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2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>
        <v>5.5</v>
      </c>
      <c r="BH32">
        <v>5</v>
      </c>
      <c r="BI32">
        <v>5</v>
      </c>
      <c r="BJ32" t="s">
        <v>26</v>
      </c>
      <c r="BK32" t="s">
        <v>26</v>
      </c>
      <c r="BL32" t="s">
        <v>26</v>
      </c>
      <c r="BM32">
        <v>5.5</v>
      </c>
      <c r="BN32">
        <v>5.5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K32">
        <v>6</v>
      </c>
      <c r="CL32">
        <v>5.5</v>
      </c>
      <c r="CM32">
        <v>6.5</v>
      </c>
      <c r="CO32">
        <v>6</v>
      </c>
      <c r="CQ32">
        <v>6</v>
      </c>
      <c r="CR32">
        <v>6</v>
      </c>
      <c r="CU32">
        <v>6</v>
      </c>
      <c r="CW32">
        <v>5</v>
      </c>
      <c r="CY32">
        <v>5.5</v>
      </c>
      <c r="DC32">
        <v>5.5</v>
      </c>
      <c r="DE32">
        <f t="shared" si="0"/>
        <v>16</v>
      </c>
      <c r="DF32" s="18">
        <f t="shared" si="1"/>
        <v>5</v>
      </c>
      <c r="DG32">
        <f t="shared" si="2"/>
        <v>1.5383974345619102</v>
      </c>
      <c r="DH32">
        <v>1</v>
      </c>
      <c r="DI32">
        <f t="shared" si="3"/>
        <v>1</v>
      </c>
      <c r="DJ32">
        <f t="shared" si="4"/>
        <v>0</v>
      </c>
    </row>
    <row r="33" spans="1:114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>
        <v>5.5</v>
      </c>
      <c r="AE33" t="s">
        <v>26</v>
      </c>
      <c r="AF33" t="s">
        <v>26</v>
      </c>
      <c r="AG33" t="s">
        <v>26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>
        <v>5.5</v>
      </c>
      <c r="CB33">
        <v>5.5</v>
      </c>
      <c r="DE33">
        <f t="shared" si="0"/>
        <v>15</v>
      </c>
      <c r="DF33" s="18">
        <f t="shared" si="1"/>
        <v>3.8666666666666667</v>
      </c>
      <c r="DG33">
        <f t="shared" si="2"/>
        <v>2.3563490726929555</v>
      </c>
      <c r="DH33">
        <v>0</v>
      </c>
      <c r="DI33">
        <f t="shared" si="3"/>
        <v>0</v>
      </c>
      <c r="DJ33">
        <f t="shared" si="4"/>
        <v>0</v>
      </c>
    </row>
    <row r="34" spans="1:114" x14ac:dyDescent="0.35">
      <c r="A34" t="s">
        <v>12</v>
      </c>
      <c r="B34">
        <v>9.5</v>
      </c>
      <c r="C34" t="s">
        <v>26</v>
      </c>
      <c r="D34">
        <v>8</v>
      </c>
      <c r="E34">
        <v>8</v>
      </c>
      <c r="F34" t="s">
        <v>26</v>
      </c>
      <c r="G34" t="s">
        <v>26</v>
      </c>
      <c r="H34">
        <v>5.5</v>
      </c>
      <c r="I34">
        <v>8</v>
      </c>
      <c r="J34" t="s">
        <v>26</v>
      </c>
      <c r="K34">
        <v>5.5</v>
      </c>
      <c r="L34">
        <v>8</v>
      </c>
      <c r="M34">
        <v>7</v>
      </c>
      <c r="N34">
        <v>5.5</v>
      </c>
      <c r="O34" t="s">
        <v>26</v>
      </c>
      <c r="P34" t="s">
        <v>26</v>
      </c>
      <c r="Q34" t="s">
        <v>26</v>
      </c>
      <c r="R34">
        <v>10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>
        <v>8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>
        <v>7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>
        <v>5.5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v>6</v>
      </c>
      <c r="DA34">
        <v>6</v>
      </c>
      <c r="DB34">
        <v>6.5</v>
      </c>
      <c r="DE34">
        <f t="shared" ref="DE34:DE65" si="5">COUNT(B34:CW34)</f>
        <v>14</v>
      </c>
      <c r="DF34" s="18">
        <f t="shared" ref="DF34:DF65" si="6">AVERAGE(B34:CW34)</f>
        <v>7.25</v>
      </c>
      <c r="DG34">
        <f t="shared" ref="DG34:DG65" si="7">IF(DE34&gt;1,_xlfn.STDEV.S(B34:CW34),"")</f>
        <v>1.5032017112202156</v>
      </c>
      <c r="DH34">
        <v>0</v>
      </c>
      <c r="DI34">
        <f t="shared" ref="DI34:DI65" si="8">COUNT(CX34:DA34)</f>
        <v>1</v>
      </c>
      <c r="DJ34">
        <f t="shared" ref="DJ34:DJ65" si="9">IF(DH34=0,DI34,0)</f>
        <v>1</v>
      </c>
    </row>
    <row r="35" spans="1:114" x14ac:dyDescent="0.35">
      <c r="A35" t="s">
        <v>376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 t="s">
        <v>26</v>
      </c>
      <c r="K35" t="s">
        <v>26</v>
      </c>
      <c r="L35" t="s">
        <v>26</v>
      </c>
      <c r="M35" t="s">
        <v>26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>
        <v>6.5</v>
      </c>
      <c r="BO35">
        <v>5.5</v>
      </c>
      <c r="BP35">
        <v>5.5</v>
      </c>
      <c r="BQ35">
        <v>5.5</v>
      </c>
      <c r="BR35" t="s">
        <v>26</v>
      </c>
      <c r="BS35">
        <v>5.5</v>
      </c>
      <c r="BT35" t="s">
        <v>26</v>
      </c>
      <c r="BU35" t="s">
        <v>26</v>
      </c>
      <c r="BV35">
        <v>6.5</v>
      </c>
      <c r="BW35">
        <v>5.5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E35">
        <f t="shared" si="5"/>
        <v>14</v>
      </c>
      <c r="DF35" s="18">
        <f t="shared" si="6"/>
        <v>6</v>
      </c>
      <c r="DG35">
        <f t="shared" si="7"/>
        <v>0.58834840541455213</v>
      </c>
      <c r="DH35">
        <v>1</v>
      </c>
      <c r="DI35">
        <f t="shared" si="8"/>
        <v>3</v>
      </c>
      <c r="DJ35">
        <f t="shared" si="9"/>
        <v>0</v>
      </c>
    </row>
    <row r="36" spans="1:114" x14ac:dyDescent="0.35">
      <c r="A36" t="s">
        <v>378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 t="s">
        <v>26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>
        <v>5.5</v>
      </c>
      <c r="BX36" t="s">
        <v>26</v>
      </c>
      <c r="BY36">
        <v>5</v>
      </c>
      <c r="BZ36">
        <v>5</v>
      </c>
      <c r="CA36" t="s">
        <v>26</v>
      </c>
      <c r="CB36" t="s">
        <v>26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E36">
        <f t="shared" si="5"/>
        <v>12</v>
      </c>
      <c r="DF36" s="18">
        <f t="shared" si="6"/>
        <v>5.25</v>
      </c>
      <c r="DG36">
        <f t="shared" si="7"/>
        <v>0.3988620176087328</v>
      </c>
      <c r="DH36">
        <v>0</v>
      </c>
      <c r="DI36">
        <f t="shared" si="8"/>
        <v>0</v>
      </c>
      <c r="DJ36">
        <f t="shared" si="9"/>
        <v>0</v>
      </c>
    </row>
    <row r="37" spans="1:114" x14ac:dyDescent="0.35">
      <c r="A37" t="s">
        <v>17</v>
      </c>
      <c r="B37" t="s">
        <v>26</v>
      </c>
      <c r="C37">
        <v>5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>
        <v>3.5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>
        <v>5</v>
      </c>
      <c r="Z37">
        <v>5</v>
      </c>
      <c r="AA37" t="s">
        <v>26</v>
      </c>
      <c r="AB37">
        <v>5</v>
      </c>
      <c r="AC37">
        <v>5</v>
      </c>
      <c r="AD37">
        <v>3</v>
      </c>
      <c r="AE37" t="s">
        <v>26</v>
      </c>
      <c r="AF37" t="s">
        <v>26</v>
      </c>
      <c r="AG37" t="s">
        <v>26</v>
      </c>
      <c r="AH37">
        <v>4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>
        <v>5.5</v>
      </c>
      <c r="BF37">
        <v>5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>
        <v>5.5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DE37">
        <f t="shared" si="5"/>
        <v>11</v>
      </c>
      <c r="DF37" s="18">
        <f t="shared" si="6"/>
        <v>4.6818181818181817</v>
      </c>
      <c r="DG37">
        <f t="shared" si="7"/>
        <v>0.81463879335344846</v>
      </c>
      <c r="DH37">
        <v>0</v>
      </c>
      <c r="DI37">
        <f t="shared" si="8"/>
        <v>0</v>
      </c>
      <c r="DJ37">
        <f t="shared" si="9"/>
        <v>0</v>
      </c>
    </row>
    <row r="38" spans="1:114" x14ac:dyDescent="0.35">
      <c r="A38" t="s">
        <v>45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>
        <v>8</v>
      </c>
      <c r="H38">
        <v>8</v>
      </c>
      <c r="I38" t="s">
        <v>26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C38">
        <v>6</v>
      </c>
      <c r="DE38">
        <f t="shared" si="5"/>
        <v>10</v>
      </c>
      <c r="DF38" s="18">
        <f t="shared" si="6"/>
        <v>8.4499999999999993</v>
      </c>
      <c r="DG38">
        <f t="shared" si="7"/>
        <v>1.1890705987824657</v>
      </c>
      <c r="DH38">
        <v>0</v>
      </c>
      <c r="DI38">
        <f t="shared" si="8"/>
        <v>0</v>
      </c>
      <c r="DJ38">
        <f t="shared" si="9"/>
        <v>0</v>
      </c>
    </row>
    <row r="39" spans="1:114" x14ac:dyDescent="0.35">
      <c r="A39" t="s">
        <v>340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>
        <v>5.5</v>
      </c>
      <c r="AK39" t="s">
        <v>26</v>
      </c>
      <c r="AL39" t="s">
        <v>26</v>
      </c>
      <c r="AM39" t="s">
        <v>26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 t="s">
        <v>26</v>
      </c>
      <c r="BX39" t="s">
        <v>26</v>
      </c>
      <c r="BY39" t="s">
        <v>26</v>
      </c>
      <c r="BZ39" t="s">
        <v>26</v>
      </c>
      <c r="CA39" t="s">
        <v>26</v>
      </c>
      <c r="CB39" t="s">
        <v>26</v>
      </c>
      <c r="CL39">
        <v>6</v>
      </c>
      <c r="DE39">
        <f t="shared" si="5"/>
        <v>8</v>
      </c>
      <c r="DF39" s="18">
        <f t="shared" si="6"/>
        <v>5.75</v>
      </c>
      <c r="DG39">
        <f t="shared" si="7"/>
        <v>0.53452248382484879</v>
      </c>
      <c r="DH39">
        <v>0</v>
      </c>
      <c r="DI39">
        <f t="shared" si="8"/>
        <v>0</v>
      </c>
      <c r="DJ39">
        <f t="shared" si="9"/>
        <v>0</v>
      </c>
    </row>
    <row r="40" spans="1:114" x14ac:dyDescent="0.35">
      <c r="A40" t="s">
        <v>401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E40">
        <f t="shared" si="5"/>
        <v>7</v>
      </c>
      <c r="DF40" s="18">
        <f t="shared" si="6"/>
        <v>6.6428571428571432</v>
      </c>
      <c r="DG40">
        <f t="shared" si="7"/>
        <v>1.1801936887041631</v>
      </c>
      <c r="DH40">
        <v>1</v>
      </c>
      <c r="DI40">
        <f t="shared" si="8"/>
        <v>3</v>
      </c>
      <c r="DJ40">
        <f t="shared" si="9"/>
        <v>0</v>
      </c>
    </row>
    <row r="41" spans="1:114" x14ac:dyDescent="0.35">
      <c r="A41" t="s">
        <v>345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 t="s">
        <v>26</v>
      </c>
      <c r="S41" t="s">
        <v>26</v>
      </c>
      <c r="T41" t="s">
        <v>26</v>
      </c>
      <c r="U41" t="s">
        <v>26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>
        <v>2.5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E41">
        <f t="shared" si="5"/>
        <v>7</v>
      </c>
      <c r="DF41" s="18">
        <f t="shared" si="6"/>
        <v>4.5</v>
      </c>
      <c r="DG41">
        <f t="shared" si="7"/>
        <v>1.2583057392117916</v>
      </c>
      <c r="DH41">
        <v>0</v>
      </c>
      <c r="DI41">
        <f t="shared" si="8"/>
        <v>0</v>
      </c>
      <c r="DJ41">
        <f t="shared" si="9"/>
        <v>0</v>
      </c>
    </row>
    <row r="42" spans="1:114" x14ac:dyDescent="0.35">
      <c r="A42" t="s">
        <v>392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E42">
        <f t="shared" si="5"/>
        <v>6</v>
      </c>
      <c r="DF42" s="18">
        <f t="shared" si="6"/>
        <v>5.833333333333333</v>
      </c>
      <c r="DG42">
        <f t="shared" si="7"/>
        <v>1.2516655570345734</v>
      </c>
      <c r="DH42">
        <v>0</v>
      </c>
      <c r="DI42">
        <f t="shared" si="8"/>
        <v>1</v>
      </c>
      <c r="DJ42">
        <f t="shared" si="9"/>
        <v>1</v>
      </c>
    </row>
    <row r="43" spans="1:114" x14ac:dyDescent="0.35">
      <c r="A43" t="s">
        <v>398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E43">
        <f t="shared" si="5"/>
        <v>5</v>
      </c>
      <c r="DF43" s="18">
        <f t="shared" si="6"/>
        <v>6</v>
      </c>
      <c r="DG43">
        <f t="shared" si="7"/>
        <v>0.35355339059327379</v>
      </c>
      <c r="DH43">
        <v>0</v>
      </c>
      <c r="DI43">
        <f t="shared" si="8"/>
        <v>1</v>
      </c>
      <c r="DJ43">
        <f t="shared" si="9"/>
        <v>1</v>
      </c>
    </row>
    <row r="44" spans="1:114" x14ac:dyDescent="0.35">
      <c r="A44" t="s">
        <v>342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>
        <v>7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>
        <v>4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J44">
        <v>5.5</v>
      </c>
      <c r="CO44">
        <v>6</v>
      </c>
      <c r="CU44">
        <v>5.5</v>
      </c>
      <c r="DE44">
        <f t="shared" si="5"/>
        <v>5</v>
      </c>
      <c r="DF44" s="18">
        <f t="shared" si="6"/>
        <v>5.6</v>
      </c>
      <c r="DG44">
        <f t="shared" si="7"/>
        <v>1.0839741694339387</v>
      </c>
      <c r="DH44">
        <v>0</v>
      </c>
      <c r="DI44">
        <f t="shared" si="8"/>
        <v>0</v>
      </c>
      <c r="DJ44">
        <f t="shared" si="9"/>
        <v>0</v>
      </c>
    </row>
    <row r="45" spans="1:114" x14ac:dyDescent="0.35">
      <c r="A45" t="s">
        <v>390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E45">
        <v>7</v>
      </c>
      <c r="CH45">
        <v>7</v>
      </c>
      <c r="CS45">
        <v>6.5</v>
      </c>
      <c r="CT45">
        <v>6</v>
      </c>
      <c r="CU45">
        <v>6</v>
      </c>
      <c r="DE45">
        <f t="shared" si="5"/>
        <v>5</v>
      </c>
      <c r="DF45" s="18">
        <f t="shared" si="6"/>
        <v>6.5</v>
      </c>
      <c r="DG45">
        <f t="shared" si="7"/>
        <v>0.5</v>
      </c>
      <c r="DH45">
        <v>0</v>
      </c>
      <c r="DI45">
        <f t="shared" si="8"/>
        <v>0</v>
      </c>
      <c r="DJ45">
        <f t="shared" si="9"/>
        <v>0</v>
      </c>
    </row>
    <row r="46" spans="1:114" x14ac:dyDescent="0.35">
      <c r="A46" t="s">
        <v>24</v>
      </c>
      <c r="B46" t="s">
        <v>26</v>
      </c>
      <c r="C46" t="s">
        <v>26</v>
      </c>
      <c r="D46" t="s">
        <v>26</v>
      </c>
      <c r="E46">
        <v>8</v>
      </c>
      <c r="F46" t="s">
        <v>26</v>
      </c>
      <c r="G46" t="s">
        <v>26</v>
      </c>
      <c r="H46" t="s">
        <v>26</v>
      </c>
      <c r="I46" t="s">
        <v>26</v>
      </c>
      <c r="J46">
        <v>9.5</v>
      </c>
      <c r="K46" t="s">
        <v>26</v>
      </c>
      <c r="L46">
        <v>8</v>
      </c>
      <c r="M46" t="s">
        <v>26</v>
      </c>
      <c r="N46">
        <v>7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H46">
        <v>6.5</v>
      </c>
      <c r="DE46">
        <f t="shared" si="5"/>
        <v>5</v>
      </c>
      <c r="DF46" s="18">
        <f t="shared" si="6"/>
        <v>7.8</v>
      </c>
      <c r="DG46">
        <f t="shared" si="7"/>
        <v>1.1510864433221351</v>
      </c>
      <c r="DH46">
        <v>0</v>
      </c>
      <c r="DI46">
        <f t="shared" si="8"/>
        <v>0</v>
      </c>
      <c r="DJ46">
        <f t="shared" si="9"/>
        <v>0</v>
      </c>
    </row>
    <row r="47" spans="1:114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DE47">
        <f t="shared" si="5"/>
        <v>5</v>
      </c>
      <c r="DF47" s="18">
        <f t="shared" si="6"/>
        <v>3.8</v>
      </c>
      <c r="DG47">
        <f t="shared" si="7"/>
        <v>1.0368220676663857</v>
      </c>
      <c r="DH47">
        <v>0</v>
      </c>
      <c r="DI47">
        <f t="shared" si="8"/>
        <v>0</v>
      </c>
      <c r="DJ47">
        <f t="shared" si="9"/>
        <v>0</v>
      </c>
    </row>
    <row r="48" spans="1:114" x14ac:dyDescent="0.35">
      <c r="A48" t="s">
        <v>364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>
        <v>6.5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>
        <v>6.5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v>6.5</v>
      </c>
      <c r="CM48">
        <v>5.5</v>
      </c>
      <c r="CN48">
        <v>6</v>
      </c>
      <c r="DE48">
        <f t="shared" si="5"/>
        <v>5</v>
      </c>
      <c r="DF48" s="18">
        <f t="shared" si="6"/>
        <v>6.2</v>
      </c>
      <c r="DG48">
        <f t="shared" si="7"/>
        <v>0.44721359549995793</v>
      </c>
      <c r="DH48">
        <v>0</v>
      </c>
      <c r="DI48">
        <f t="shared" si="8"/>
        <v>0</v>
      </c>
      <c r="DJ48">
        <f t="shared" si="9"/>
        <v>0</v>
      </c>
    </row>
    <row r="49" spans="1:114" x14ac:dyDescent="0.35">
      <c r="A49" t="s">
        <v>54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>
        <v>5.5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>
        <v>7</v>
      </c>
      <c r="W49">
        <v>8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 t="s">
        <v>26</v>
      </c>
      <c r="AE49" t="s">
        <v>26</v>
      </c>
      <c r="AF49" t="s">
        <v>26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>
        <v>6.5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v>5.5</v>
      </c>
      <c r="DE49">
        <f t="shared" si="5"/>
        <v>4</v>
      </c>
      <c r="DF49" s="18">
        <f t="shared" si="6"/>
        <v>6.75</v>
      </c>
      <c r="DG49">
        <f t="shared" si="7"/>
        <v>1.0408329997330663</v>
      </c>
      <c r="DH49">
        <v>0</v>
      </c>
      <c r="DI49">
        <f t="shared" si="8"/>
        <v>1</v>
      </c>
      <c r="DJ49">
        <f t="shared" si="9"/>
        <v>1</v>
      </c>
    </row>
    <row r="50" spans="1:114" x14ac:dyDescent="0.35">
      <c r="A50" t="s">
        <v>52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 t="s">
        <v>26</v>
      </c>
      <c r="J50">
        <v>5.5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 t="s">
        <v>26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 t="s">
        <v>26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>
        <v>5.5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G50">
        <v>6</v>
      </c>
      <c r="CV50">
        <v>5.5</v>
      </c>
      <c r="DE50">
        <f t="shared" si="5"/>
        <v>4</v>
      </c>
      <c r="DF50" s="18">
        <f t="shared" si="6"/>
        <v>5.625</v>
      </c>
      <c r="DG50">
        <f t="shared" si="7"/>
        <v>0.25</v>
      </c>
      <c r="DH50">
        <v>0</v>
      </c>
      <c r="DI50">
        <f t="shared" si="8"/>
        <v>0</v>
      </c>
      <c r="DJ50">
        <f t="shared" si="9"/>
        <v>0</v>
      </c>
    </row>
    <row r="51" spans="1:114" x14ac:dyDescent="0.35">
      <c r="A51" t="s">
        <v>61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>
        <v>7</v>
      </c>
      <c r="S51">
        <v>5</v>
      </c>
      <c r="T51">
        <v>5</v>
      </c>
      <c r="U51" t="s">
        <v>26</v>
      </c>
      <c r="V51" t="s">
        <v>26</v>
      </c>
      <c r="W51">
        <v>5.5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DE51">
        <f t="shared" si="5"/>
        <v>4</v>
      </c>
      <c r="DF51" s="18">
        <f t="shared" si="6"/>
        <v>5.625</v>
      </c>
      <c r="DG51">
        <f t="shared" si="7"/>
        <v>0.9464847243000456</v>
      </c>
      <c r="DH51">
        <v>0</v>
      </c>
      <c r="DI51">
        <f t="shared" si="8"/>
        <v>0</v>
      </c>
      <c r="DJ51">
        <f t="shared" si="9"/>
        <v>0</v>
      </c>
    </row>
    <row r="52" spans="1:114" x14ac:dyDescent="0.35">
      <c r="A52" t="s">
        <v>21</v>
      </c>
      <c r="B52" t="s">
        <v>26</v>
      </c>
      <c r="C52" t="s">
        <v>26</v>
      </c>
      <c r="D52">
        <v>1.5</v>
      </c>
      <c r="E52" t="s">
        <v>26</v>
      </c>
      <c r="F52" t="s">
        <v>26</v>
      </c>
      <c r="G52">
        <v>0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>
        <v>0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>
        <v>4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DE52">
        <f t="shared" si="5"/>
        <v>4</v>
      </c>
      <c r="DF52" s="18">
        <f t="shared" si="6"/>
        <v>1.375</v>
      </c>
      <c r="DG52">
        <f t="shared" si="7"/>
        <v>1.8874586088176875</v>
      </c>
      <c r="DH52">
        <v>0</v>
      </c>
      <c r="DI52">
        <f t="shared" si="8"/>
        <v>0</v>
      </c>
      <c r="DJ52">
        <f t="shared" si="9"/>
        <v>0</v>
      </c>
    </row>
    <row r="53" spans="1:114" x14ac:dyDescent="0.35">
      <c r="A53" t="s">
        <v>344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>
        <v>5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>
        <v>3.5</v>
      </c>
      <c r="AR53">
        <v>3.5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>
        <v>6.5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DE53">
        <f t="shared" si="5"/>
        <v>4</v>
      </c>
      <c r="DF53" s="18">
        <f t="shared" si="6"/>
        <v>4.625</v>
      </c>
      <c r="DG53">
        <f t="shared" si="7"/>
        <v>1.4361406616345072</v>
      </c>
      <c r="DH53">
        <v>0</v>
      </c>
      <c r="DI53">
        <f t="shared" si="8"/>
        <v>0</v>
      </c>
      <c r="DJ53">
        <f t="shared" si="9"/>
        <v>0</v>
      </c>
    </row>
    <row r="54" spans="1:114" x14ac:dyDescent="0.35">
      <c r="A54" t="s">
        <v>361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5.5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>
        <v>5.5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>
        <v>7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>
        <v>7</v>
      </c>
      <c r="BZ54" t="s">
        <v>26</v>
      </c>
      <c r="CA54" t="s">
        <v>26</v>
      </c>
      <c r="CB54" t="s">
        <v>26</v>
      </c>
      <c r="DE54">
        <f t="shared" si="5"/>
        <v>4</v>
      </c>
      <c r="DF54" s="18">
        <f t="shared" si="6"/>
        <v>6.25</v>
      </c>
      <c r="DG54">
        <f t="shared" si="7"/>
        <v>0.8660254037844386</v>
      </c>
      <c r="DH54">
        <v>0</v>
      </c>
      <c r="DI54">
        <f t="shared" si="8"/>
        <v>0</v>
      </c>
      <c r="DJ54">
        <f t="shared" si="9"/>
        <v>0</v>
      </c>
    </row>
    <row r="55" spans="1:114" x14ac:dyDescent="0.35">
      <c r="A55" t="s">
        <v>43</v>
      </c>
      <c r="B55" t="s">
        <v>26</v>
      </c>
      <c r="C55">
        <v>0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>
        <v>1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>
        <v>5.5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>
        <v>5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DE55">
        <f t="shared" si="5"/>
        <v>4</v>
      </c>
      <c r="DF55" s="18">
        <f t="shared" si="6"/>
        <v>2.875</v>
      </c>
      <c r="DG55">
        <f t="shared" si="7"/>
        <v>2.7801378862687129</v>
      </c>
      <c r="DH55">
        <v>0</v>
      </c>
      <c r="DI55">
        <f t="shared" si="8"/>
        <v>0</v>
      </c>
      <c r="DJ55">
        <f t="shared" si="9"/>
        <v>0</v>
      </c>
    </row>
    <row r="56" spans="1:114" x14ac:dyDescent="0.35">
      <c r="A56" t="s">
        <v>18</v>
      </c>
      <c r="B56" t="s">
        <v>26</v>
      </c>
      <c r="C56">
        <v>3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>
        <v>5.5</v>
      </c>
      <c r="R56">
        <v>5.5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DE56">
        <f t="shared" si="5"/>
        <v>3</v>
      </c>
      <c r="DF56" s="18">
        <f t="shared" si="6"/>
        <v>4.666666666666667</v>
      </c>
      <c r="DG56">
        <f t="shared" si="7"/>
        <v>1.4433756729740652</v>
      </c>
      <c r="DH56">
        <v>0</v>
      </c>
      <c r="DI56">
        <f t="shared" si="8"/>
        <v>0</v>
      </c>
      <c r="DJ56">
        <f t="shared" si="9"/>
        <v>0</v>
      </c>
    </row>
    <row r="57" spans="1:114" x14ac:dyDescent="0.35">
      <c r="A57" t="s">
        <v>85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>
        <v>7</v>
      </c>
      <c r="AE57">
        <v>8.5</v>
      </c>
      <c r="AF57">
        <v>10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DE57">
        <f t="shared" si="5"/>
        <v>3</v>
      </c>
      <c r="DF57" s="18">
        <f t="shared" si="6"/>
        <v>8.5</v>
      </c>
      <c r="DG57">
        <f t="shared" si="7"/>
        <v>1.5</v>
      </c>
      <c r="DH57">
        <v>0</v>
      </c>
      <c r="DI57">
        <f t="shared" si="8"/>
        <v>0</v>
      </c>
      <c r="DJ57">
        <f t="shared" si="9"/>
        <v>0</v>
      </c>
    </row>
    <row r="58" spans="1:114" x14ac:dyDescent="0.35">
      <c r="A58" t="s">
        <v>49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>
        <v>5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>
        <v>5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>
        <v>2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DE58">
        <f t="shared" si="5"/>
        <v>3</v>
      </c>
      <c r="DF58" s="18">
        <f t="shared" si="6"/>
        <v>4</v>
      </c>
      <c r="DG58">
        <f t="shared" si="7"/>
        <v>1.7320508075688772</v>
      </c>
      <c r="DH58">
        <v>0</v>
      </c>
      <c r="DI58">
        <f t="shared" si="8"/>
        <v>0</v>
      </c>
      <c r="DJ58">
        <f t="shared" si="9"/>
        <v>0</v>
      </c>
    </row>
    <row r="59" spans="1:114" x14ac:dyDescent="0.35">
      <c r="A59" t="s">
        <v>368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>
        <v>9.5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>
        <v>10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G59">
        <v>6</v>
      </c>
      <c r="DE59">
        <f t="shared" si="5"/>
        <v>3</v>
      </c>
      <c r="DF59" s="18">
        <f t="shared" si="6"/>
        <v>8.5</v>
      </c>
      <c r="DG59">
        <f t="shared" si="7"/>
        <v>2.179449471770337</v>
      </c>
      <c r="DH59">
        <v>0</v>
      </c>
      <c r="DI59">
        <f t="shared" si="8"/>
        <v>0</v>
      </c>
      <c r="DJ59">
        <f t="shared" si="9"/>
        <v>0</v>
      </c>
    </row>
    <row r="60" spans="1:114" x14ac:dyDescent="0.35">
      <c r="A60" t="s">
        <v>53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>
        <v>5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>
        <v>5.5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S60">
        <v>5.5</v>
      </c>
      <c r="DE60">
        <f t="shared" si="5"/>
        <v>3</v>
      </c>
      <c r="DF60" s="18">
        <f t="shared" si="6"/>
        <v>5.333333333333333</v>
      </c>
      <c r="DG60">
        <f t="shared" si="7"/>
        <v>0.28867513459481287</v>
      </c>
      <c r="DH60">
        <v>0</v>
      </c>
      <c r="DI60">
        <f t="shared" si="8"/>
        <v>0</v>
      </c>
      <c r="DJ60">
        <f t="shared" si="9"/>
        <v>0</v>
      </c>
    </row>
    <row r="61" spans="1:114" x14ac:dyDescent="0.35">
      <c r="A61" t="s">
        <v>387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G61">
        <v>7</v>
      </c>
      <c r="CH61">
        <v>6</v>
      </c>
      <c r="CJ61">
        <v>7</v>
      </c>
      <c r="DE61">
        <f t="shared" si="5"/>
        <v>3</v>
      </c>
      <c r="DF61" s="18">
        <f t="shared" si="6"/>
        <v>6.666666666666667</v>
      </c>
      <c r="DG61">
        <f t="shared" si="7"/>
        <v>0.57735026918962584</v>
      </c>
      <c r="DH61">
        <v>0</v>
      </c>
      <c r="DI61">
        <f t="shared" si="8"/>
        <v>0</v>
      </c>
      <c r="DJ61">
        <f t="shared" si="9"/>
        <v>0</v>
      </c>
    </row>
    <row r="62" spans="1:114" x14ac:dyDescent="0.35">
      <c r="A62" t="s">
        <v>362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>
        <v>5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D62">
        <v>5.5</v>
      </c>
      <c r="DE62">
        <f t="shared" si="5"/>
        <v>2</v>
      </c>
      <c r="DF62" s="18">
        <f t="shared" si="6"/>
        <v>5.25</v>
      </c>
      <c r="DG62">
        <f t="shared" si="7"/>
        <v>0.35355339059327379</v>
      </c>
      <c r="DH62">
        <v>0</v>
      </c>
      <c r="DI62">
        <f t="shared" si="8"/>
        <v>0</v>
      </c>
      <c r="DJ62">
        <f t="shared" si="9"/>
        <v>0</v>
      </c>
    </row>
    <row r="63" spans="1:114" x14ac:dyDescent="0.35">
      <c r="A63" t="s">
        <v>339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>
        <v>8.5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>
        <v>5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DE63">
        <f t="shared" si="5"/>
        <v>2</v>
      </c>
      <c r="DF63" s="18">
        <f t="shared" si="6"/>
        <v>6.75</v>
      </c>
      <c r="DG63">
        <f t="shared" si="7"/>
        <v>2.4748737341529163</v>
      </c>
      <c r="DH63">
        <v>0</v>
      </c>
      <c r="DI63">
        <f t="shared" si="8"/>
        <v>0</v>
      </c>
      <c r="DJ63">
        <f t="shared" si="9"/>
        <v>0</v>
      </c>
    </row>
    <row r="64" spans="1:114" x14ac:dyDescent="0.35">
      <c r="A64" t="s">
        <v>369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>
        <v>6.5</v>
      </c>
      <c r="BH64">
        <v>5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DE64">
        <f t="shared" si="5"/>
        <v>2</v>
      </c>
      <c r="DF64" s="18">
        <f t="shared" si="6"/>
        <v>5.75</v>
      </c>
      <c r="DG64">
        <f t="shared" si="7"/>
        <v>1.0606601717798212</v>
      </c>
      <c r="DH64">
        <v>0</v>
      </c>
      <c r="DI64">
        <f t="shared" si="8"/>
        <v>0</v>
      </c>
      <c r="DJ64">
        <f t="shared" si="9"/>
        <v>0</v>
      </c>
    </row>
    <row r="65" spans="1:114" x14ac:dyDescent="0.35">
      <c r="A65" t="s">
        <v>379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>
        <v>5.5</v>
      </c>
      <c r="BZ65">
        <v>5.5</v>
      </c>
      <c r="CA65" t="s">
        <v>26</v>
      </c>
      <c r="CB65" t="s">
        <v>26</v>
      </c>
      <c r="DE65">
        <f t="shared" si="5"/>
        <v>2</v>
      </c>
      <c r="DF65" s="18">
        <f t="shared" si="6"/>
        <v>5.5</v>
      </c>
      <c r="DG65">
        <f t="shared" si="7"/>
        <v>0</v>
      </c>
      <c r="DH65">
        <v>0</v>
      </c>
      <c r="DI65">
        <f t="shared" si="8"/>
        <v>0</v>
      </c>
      <c r="DJ65">
        <f t="shared" si="9"/>
        <v>0</v>
      </c>
    </row>
    <row r="66" spans="1:114" x14ac:dyDescent="0.35">
      <c r="A66" t="s">
        <v>388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DE66">
        <f t="shared" ref="DE66:DE91" si="10">COUNT(B66:CW66)</f>
        <v>2</v>
      </c>
      <c r="DF66" s="18">
        <f t="shared" ref="DF66:DF91" si="11">AVERAGE(B66:CW66)</f>
        <v>4.25</v>
      </c>
      <c r="DG66">
        <f t="shared" ref="DG66:DG91" si="12">IF(DE66&gt;1,_xlfn.STDEV.S(B66:CW66),"")</f>
        <v>1.0606601717798212</v>
      </c>
      <c r="DH66">
        <v>0</v>
      </c>
      <c r="DI66">
        <f t="shared" ref="DI66:DI91" si="13">COUNT(CX66:DA66)</f>
        <v>0</v>
      </c>
      <c r="DJ66">
        <f t="shared" ref="DJ66:DJ91" si="14">IF(DH66=0,DI66,0)</f>
        <v>0</v>
      </c>
    </row>
    <row r="67" spans="1:114" x14ac:dyDescent="0.35">
      <c r="A67" t="s">
        <v>396</v>
      </c>
      <c r="CU67">
        <v>7.5</v>
      </c>
      <c r="DA67">
        <v>7</v>
      </c>
      <c r="DE67">
        <f t="shared" si="10"/>
        <v>1</v>
      </c>
      <c r="DF67" s="18">
        <f t="shared" si="11"/>
        <v>7.5</v>
      </c>
      <c r="DG67" t="str">
        <f t="shared" si="12"/>
        <v/>
      </c>
      <c r="DH67">
        <v>0</v>
      </c>
      <c r="DI67">
        <f t="shared" si="13"/>
        <v>1</v>
      </c>
      <c r="DJ67">
        <f t="shared" si="14"/>
        <v>1</v>
      </c>
    </row>
    <row r="68" spans="1:114" x14ac:dyDescent="0.35">
      <c r="A68" t="s">
        <v>397</v>
      </c>
      <c r="CV68">
        <v>6</v>
      </c>
      <c r="DE68">
        <f t="shared" si="10"/>
        <v>1</v>
      </c>
      <c r="DF68" s="18">
        <f t="shared" si="11"/>
        <v>6</v>
      </c>
      <c r="DG68" t="str">
        <f t="shared" si="12"/>
        <v/>
      </c>
      <c r="DH68">
        <v>0</v>
      </c>
      <c r="DI68">
        <f t="shared" si="13"/>
        <v>0</v>
      </c>
      <c r="DJ68">
        <f t="shared" si="14"/>
        <v>0</v>
      </c>
    </row>
    <row r="69" spans="1:114" x14ac:dyDescent="0.35">
      <c r="A69" t="s">
        <v>86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>
        <v>10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DE69">
        <f t="shared" si="10"/>
        <v>1</v>
      </c>
      <c r="DF69" s="18">
        <f t="shared" si="11"/>
        <v>10</v>
      </c>
      <c r="DG69" t="str">
        <f t="shared" si="12"/>
        <v/>
      </c>
      <c r="DH69">
        <v>0</v>
      </c>
      <c r="DI69">
        <f t="shared" si="13"/>
        <v>0</v>
      </c>
      <c r="DJ69">
        <f t="shared" si="14"/>
        <v>0</v>
      </c>
    </row>
    <row r="70" spans="1:114" x14ac:dyDescent="0.35">
      <c r="A70" t="s">
        <v>77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>
        <v>7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DE70">
        <f t="shared" si="10"/>
        <v>1</v>
      </c>
      <c r="DF70" s="18">
        <f t="shared" si="11"/>
        <v>7</v>
      </c>
      <c r="DG70" t="str">
        <f t="shared" si="12"/>
        <v/>
      </c>
      <c r="DH70">
        <v>0</v>
      </c>
      <c r="DI70">
        <f t="shared" si="13"/>
        <v>0</v>
      </c>
      <c r="DJ70">
        <f t="shared" si="14"/>
        <v>0</v>
      </c>
    </row>
    <row r="71" spans="1:114" x14ac:dyDescent="0.35">
      <c r="A71" t="s">
        <v>353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>
        <v>7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DE71">
        <f t="shared" si="10"/>
        <v>1</v>
      </c>
      <c r="DF71" s="18">
        <f t="shared" si="11"/>
        <v>7</v>
      </c>
      <c r="DG71" t="str">
        <f t="shared" si="12"/>
        <v/>
      </c>
      <c r="DH71">
        <v>0</v>
      </c>
      <c r="DI71">
        <f t="shared" si="13"/>
        <v>0</v>
      </c>
      <c r="DJ71">
        <f t="shared" si="14"/>
        <v>0</v>
      </c>
    </row>
    <row r="72" spans="1:114" x14ac:dyDescent="0.35">
      <c r="A72" t="s">
        <v>80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>
        <v>7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 t="s">
        <v>26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DE72">
        <f t="shared" si="10"/>
        <v>1</v>
      </c>
      <c r="DF72" s="18">
        <f t="shared" si="11"/>
        <v>7</v>
      </c>
      <c r="DG72" t="str">
        <f t="shared" si="12"/>
        <v/>
      </c>
      <c r="DH72">
        <v>0</v>
      </c>
      <c r="DI72">
        <f t="shared" si="13"/>
        <v>0</v>
      </c>
      <c r="DJ72">
        <f t="shared" si="14"/>
        <v>0</v>
      </c>
    </row>
    <row r="73" spans="1:114" x14ac:dyDescent="0.35">
      <c r="A73" t="s">
        <v>47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>
        <v>3.5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DE73">
        <f t="shared" si="10"/>
        <v>1</v>
      </c>
      <c r="DF73" s="18">
        <f t="shared" si="11"/>
        <v>3.5</v>
      </c>
      <c r="DG73" t="str">
        <f t="shared" si="12"/>
        <v/>
      </c>
      <c r="DH73">
        <v>0</v>
      </c>
      <c r="DI73">
        <f t="shared" si="13"/>
        <v>0</v>
      </c>
      <c r="DJ73">
        <f t="shared" si="14"/>
        <v>0</v>
      </c>
    </row>
    <row r="74" spans="1:114" x14ac:dyDescent="0.35">
      <c r="A74" t="s">
        <v>83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>
        <v>3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DE74">
        <f t="shared" si="10"/>
        <v>1</v>
      </c>
      <c r="DF74" s="18">
        <f t="shared" si="11"/>
        <v>3</v>
      </c>
      <c r="DG74" t="str">
        <f t="shared" si="12"/>
        <v/>
      </c>
      <c r="DH74">
        <v>0</v>
      </c>
      <c r="DI74">
        <f t="shared" si="13"/>
        <v>0</v>
      </c>
      <c r="DJ74">
        <f t="shared" si="14"/>
        <v>0</v>
      </c>
    </row>
    <row r="75" spans="1:114" x14ac:dyDescent="0.35">
      <c r="A75" t="s">
        <v>347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>
        <v>6.5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DE75">
        <f t="shared" si="10"/>
        <v>1</v>
      </c>
      <c r="DF75" s="18">
        <f t="shared" si="11"/>
        <v>6.5</v>
      </c>
      <c r="DG75" t="str">
        <f t="shared" si="12"/>
        <v/>
      </c>
      <c r="DH75">
        <v>0</v>
      </c>
      <c r="DI75">
        <f t="shared" si="13"/>
        <v>0</v>
      </c>
      <c r="DJ75">
        <f t="shared" si="14"/>
        <v>0</v>
      </c>
    </row>
    <row r="76" spans="1:114" x14ac:dyDescent="0.35">
      <c r="A76" t="s">
        <v>350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>
        <v>4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DE76">
        <f t="shared" si="10"/>
        <v>1</v>
      </c>
      <c r="DF76" s="18">
        <f t="shared" si="11"/>
        <v>4</v>
      </c>
      <c r="DG76" t="str">
        <f t="shared" si="12"/>
        <v/>
      </c>
      <c r="DH76">
        <v>0</v>
      </c>
      <c r="DI76">
        <f t="shared" si="13"/>
        <v>0</v>
      </c>
      <c r="DJ76">
        <f t="shared" si="14"/>
        <v>0</v>
      </c>
    </row>
    <row r="77" spans="1:114" x14ac:dyDescent="0.35">
      <c r="A77" t="s">
        <v>351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>
        <v>6.5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 t="s">
        <v>26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DE77">
        <f t="shared" si="10"/>
        <v>1</v>
      </c>
      <c r="DF77" s="18">
        <f t="shared" si="11"/>
        <v>6.5</v>
      </c>
      <c r="DG77" t="str">
        <f t="shared" si="12"/>
        <v/>
      </c>
      <c r="DH77">
        <v>0</v>
      </c>
      <c r="DI77">
        <f t="shared" si="13"/>
        <v>0</v>
      </c>
      <c r="DJ77">
        <f t="shared" si="14"/>
        <v>0</v>
      </c>
    </row>
    <row r="78" spans="1:114" x14ac:dyDescent="0.35">
      <c r="A78" t="s">
        <v>352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>
        <v>5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DE78">
        <f t="shared" si="10"/>
        <v>1</v>
      </c>
      <c r="DF78" s="18">
        <f t="shared" si="11"/>
        <v>5</v>
      </c>
      <c r="DG78" t="str">
        <f t="shared" si="12"/>
        <v/>
      </c>
      <c r="DH78">
        <v>0</v>
      </c>
      <c r="DI78">
        <f t="shared" si="13"/>
        <v>0</v>
      </c>
      <c r="DJ78">
        <f t="shared" si="14"/>
        <v>0</v>
      </c>
    </row>
    <row r="79" spans="1:114" x14ac:dyDescent="0.35">
      <c r="A79" t="s">
        <v>354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>
        <v>5.5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DE79">
        <f t="shared" si="10"/>
        <v>1</v>
      </c>
      <c r="DF79" s="18">
        <f t="shared" si="11"/>
        <v>5.5</v>
      </c>
      <c r="DG79" t="str">
        <f t="shared" si="12"/>
        <v/>
      </c>
      <c r="DH79">
        <v>0</v>
      </c>
      <c r="DI79">
        <f t="shared" si="13"/>
        <v>0</v>
      </c>
      <c r="DJ79">
        <f t="shared" si="14"/>
        <v>0</v>
      </c>
    </row>
    <row r="80" spans="1:114" x14ac:dyDescent="0.35">
      <c r="A80" t="s">
        <v>365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>
        <v>2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 t="s">
        <v>26</v>
      </c>
      <c r="CA80" t="s">
        <v>26</v>
      </c>
      <c r="CB80" t="s">
        <v>26</v>
      </c>
      <c r="DE80">
        <f t="shared" si="10"/>
        <v>1</v>
      </c>
      <c r="DF80" s="18">
        <f t="shared" si="11"/>
        <v>2</v>
      </c>
      <c r="DG80" t="str">
        <f t="shared" si="12"/>
        <v/>
      </c>
      <c r="DH80">
        <v>0</v>
      </c>
      <c r="DI80">
        <f t="shared" si="13"/>
        <v>0</v>
      </c>
      <c r="DJ80">
        <f t="shared" si="14"/>
        <v>0</v>
      </c>
    </row>
    <row r="81" spans="1:114" x14ac:dyDescent="0.35">
      <c r="A81" t="s">
        <v>366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>
        <v>2.5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DE81">
        <f t="shared" si="10"/>
        <v>1</v>
      </c>
      <c r="DF81" s="18">
        <f t="shared" si="11"/>
        <v>2.5</v>
      </c>
      <c r="DG81" t="str">
        <f t="shared" si="12"/>
        <v/>
      </c>
      <c r="DH81">
        <v>0</v>
      </c>
      <c r="DI81">
        <f t="shared" si="13"/>
        <v>0</v>
      </c>
      <c r="DJ81">
        <f t="shared" si="14"/>
        <v>0</v>
      </c>
    </row>
    <row r="82" spans="1:114" x14ac:dyDescent="0.35">
      <c r="A82" t="s">
        <v>374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>
        <v>7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DE82">
        <f t="shared" si="10"/>
        <v>1</v>
      </c>
      <c r="DF82" s="18">
        <f t="shared" si="11"/>
        <v>7</v>
      </c>
      <c r="DG82" t="str">
        <f t="shared" si="12"/>
        <v/>
      </c>
      <c r="DH82">
        <v>0</v>
      </c>
      <c r="DI82">
        <f t="shared" si="13"/>
        <v>0</v>
      </c>
      <c r="DJ82">
        <f t="shared" si="14"/>
        <v>0</v>
      </c>
    </row>
    <row r="83" spans="1:114" x14ac:dyDescent="0.35">
      <c r="A83" t="s">
        <v>375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>
        <v>5.5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DE83">
        <f t="shared" si="10"/>
        <v>1</v>
      </c>
      <c r="DF83" s="18">
        <f t="shared" si="11"/>
        <v>5.5</v>
      </c>
      <c r="DG83" t="str">
        <f t="shared" si="12"/>
        <v/>
      </c>
      <c r="DH83">
        <v>0</v>
      </c>
      <c r="DI83">
        <f t="shared" si="13"/>
        <v>0</v>
      </c>
      <c r="DJ83">
        <f t="shared" si="14"/>
        <v>0</v>
      </c>
    </row>
    <row r="84" spans="1:114" x14ac:dyDescent="0.35">
      <c r="A84" t="s">
        <v>377</v>
      </c>
      <c r="B84" t="s">
        <v>26</v>
      </c>
      <c r="C84" t="s">
        <v>26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  <c r="I84" t="s">
        <v>26</v>
      </c>
      <c r="J84" t="s">
        <v>26</v>
      </c>
      <c r="K84" t="s">
        <v>26</v>
      </c>
      <c r="L84" t="s">
        <v>26</v>
      </c>
      <c r="M84" t="s">
        <v>26</v>
      </c>
      <c r="N84" t="s">
        <v>26</v>
      </c>
      <c r="O84" t="s">
        <v>26</v>
      </c>
      <c r="P84" t="s">
        <v>26</v>
      </c>
      <c r="Q84" t="s">
        <v>26</v>
      </c>
      <c r="R84" t="s">
        <v>26</v>
      </c>
      <c r="S84" t="s">
        <v>26</v>
      </c>
      <c r="T84" t="s">
        <v>26</v>
      </c>
      <c r="U84" t="s">
        <v>26</v>
      </c>
      <c r="V84" t="s">
        <v>26</v>
      </c>
      <c r="W84" t="s">
        <v>26</v>
      </c>
      <c r="X84" t="s">
        <v>26</v>
      </c>
      <c r="Y84" t="s">
        <v>26</v>
      </c>
      <c r="Z84" t="s">
        <v>26</v>
      </c>
      <c r="AA84" t="s">
        <v>26</v>
      </c>
      <c r="AB84" t="s">
        <v>26</v>
      </c>
      <c r="AC84" t="s">
        <v>26</v>
      </c>
      <c r="AD84" t="s">
        <v>26</v>
      </c>
      <c r="AE84" t="s">
        <v>26</v>
      </c>
      <c r="AF84" t="s">
        <v>26</v>
      </c>
      <c r="AG84" t="s">
        <v>26</v>
      </c>
      <c r="AH84" t="s">
        <v>26</v>
      </c>
      <c r="AI84" t="s">
        <v>26</v>
      </c>
      <c r="AJ84" t="s">
        <v>26</v>
      </c>
      <c r="AK84" t="s">
        <v>26</v>
      </c>
      <c r="AL84" t="s">
        <v>26</v>
      </c>
      <c r="AM84" t="s">
        <v>26</v>
      </c>
      <c r="AN84" t="s">
        <v>26</v>
      </c>
      <c r="AO84" t="s">
        <v>26</v>
      </c>
      <c r="AP84" t="s">
        <v>26</v>
      </c>
      <c r="AQ84" t="s">
        <v>26</v>
      </c>
      <c r="AR84" t="s">
        <v>26</v>
      </c>
      <c r="AS84" t="s">
        <v>26</v>
      </c>
      <c r="AT84" t="s">
        <v>26</v>
      </c>
      <c r="AU84" t="s">
        <v>26</v>
      </c>
      <c r="AV84" t="s">
        <v>26</v>
      </c>
      <c r="AW84" t="s">
        <v>26</v>
      </c>
      <c r="AX84" t="s">
        <v>26</v>
      </c>
      <c r="AY84" t="s">
        <v>26</v>
      </c>
      <c r="AZ84" t="s">
        <v>26</v>
      </c>
      <c r="BA84" t="s">
        <v>26</v>
      </c>
      <c r="BB84" t="s">
        <v>26</v>
      </c>
      <c r="BC84" t="s">
        <v>26</v>
      </c>
      <c r="BD84" t="s">
        <v>26</v>
      </c>
      <c r="BE84" t="s">
        <v>26</v>
      </c>
      <c r="BF84" t="s">
        <v>26</v>
      </c>
      <c r="BG84" t="s">
        <v>26</v>
      </c>
      <c r="BH84" t="s">
        <v>26</v>
      </c>
      <c r="BI84" t="s">
        <v>26</v>
      </c>
      <c r="BJ84" t="s">
        <v>26</v>
      </c>
      <c r="BK84" t="s">
        <v>26</v>
      </c>
      <c r="BL84" t="s">
        <v>26</v>
      </c>
      <c r="BM84" t="s">
        <v>26</v>
      </c>
      <c r="BN84" t="s">
        <v>26</v>
      </c>
      <c r="BO84" t="s">
        <v>26</v>
      </c>
      <c r="BP84" t="s">
        <v>26</v>
      </c>
      <c r="BQ84" t="s">
        <v>26</v>
      </c>
      <c r="BR84" t="s">
        <v>26</v>
      </c>
      <c r="BS84">
        <v>5</v>
      </c>
      <c r="BT84" t="s">
        <v>26</v>
      </c>
      <c r="BU84" t="s">
        <v>26</v>
      </c>
      <c r="BV84" t="s">
        <v>26</v>
      </c>
      <c r="BW84" t="s">
        <v>26</v>
      </c>
      <c r="BX84" t="s">
        <v>26</v>
      </c>
      <c r="BY84" t="s">
        <v>26</v>
      </c>
      <c r="BZ84" t="s">
        <v>26</v>
      </c>
      <c r="CA84" t="s">
        <v>26</v>
      </c>
      <c r="CB84" t="s">
        <v>26</v>
      </c>
      <c r="DE84">
        <f t="shared" si="10"/>
        <v>1</v>
      </c>
      <c r="DF84" s="18">
        <f t="shared" si="11"/>
        <v>5</v>
      </c>
      <c r="DG84" t="str">
        <f t="shared" si="12"/>
        <v/>
      </c>
      <c r="DH84">
        <v>0</v>
      </c>
      <c r="DI84">
        <f t="shared" si="13"/>
        <v>0</v>
      </c>
      <c r="DJ84">
        <f t="shared" si="14"/>
        <v>0</v>
      </c>
    </row>
    <row r="85" spans="1:114" x14ac:dyDescent="0.35">
      <c r="A85" t="s">
        <v>381</v>
      </c>
      <c r="B85" t="s">
        <v>26</v>
      </c>
      <c r="C85" t="s">
        <v>26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  <c r="I85" t="s">
        <v>26</v>
      </c>
      <c r="J85" t="s">
        <v>26</v>
      </c>
      <c r="K85" t="s">
        <v>26</v>
      </c>
      <c r="L85" t="s">
        <v>26</v>
      </c>
      <c r="M85" t="s">
        <v>26</v>
      </c>
      <c r="N85" t="s">
        <v>26</v>
      </c>
      <c r="O85" t="s">
        <v>26</v>
      </c>
      <c r="P85" t="s">
        <v>26</v>
      </c>
      <c r="Q85" t="s">
        <v>26</v>
      </c>
      <c r="R85" t="s">
        <v>26</v>
      </c>
      <c r="S85" t="s">
        <v>26</v>
      </c>
      <c r="T85" t="s">
        <v>26</v>
      </c>
      <c r="U85" t="s">
        <v>26</v>
      </c>
      <c r="V85" t="s">
        <v>26</v>
      </c>
      <c r="W85" t="s">
        <v>26</v>
      </c>
      <c r="X85" t="s">
        <v>26</v>
      </c>
      <c r="Y85" t="s">
        <v>26</v>
      </c>
      <c r="Z85" t="s">
        <v>26</v>
      </c>
      <c r="AA85" t="s">
        <v>26</v>
      </c>
      <c r="AB85" t="s">
        <v>26</v>
      </c>
      <c r="AC85" t="s">
        <v>26</v>
      </c>
      <c r="AD85" t="s">
        <v>26</v>
      </c>
      <c r="AE85" t="s">
        <v>26</v>
      </c>
      <c r="AF85" t="s">
        <v>26</v>
      </c>
      <c r="AG85" t="s">
        <v>26</v>
      </c>
      <c r="AH85" t="s">
        <v>26</v>
      </c>
      <c r="AI85" t="s">
        <v>26</v>
      </c>
      <c r="AJ85" t="s">
        <v>26</v>
      </c>
      <c r="AK85" t="s">
        <v>26</v>
      </c>
      <c r="AL85" t="s">
        <v>26</v>
      </c>
      <c r="AM85" t="s">
        <v>26</v>
      </c>
      <c r="AN85" t="s">
        <v>26</v>
      </c>
      <c r="AO85" t="s">
        <v>26</v>
      </c>
      <c r="AP85" t="s">
        <v>26</v>
      </c>
      <c r="AQ85" t="s">
        <v>26</v>
      </c>
      <c r="AR85" t="s">
        <v>26</v>
      </c>
      <c r="AS85" t="s">
        <v>26</v>
      </c>
      <c r="AT85" t="s">
        <v>26</v>
      </c>
      <c r="AU85" t="s">
        <v>26</v>
      </c>
      <c r="AV85" t="s">
        <v>26</v>
      </c>
      <c r="AW85" t="s">
        <v>26</v>
      </c>
      <c r="AX85" t="s">
        <v>26</v>
      </c>
      <c r="AY85" t="s">
        <v>26</v>
      </c>
      <c r="AZ85" t="s">
        <v>26</v>
      </c>
      <c r="BA85" t="s">
        <v>26</v>
      </c>
      <c r="BB85" t="s">
        <v>26</v>
      </c>
      <c r="BC85" t="s">
        <v>26</v>
      </c>
      <c r="BD85" t="s">
        <v>26</v>
      </c>
      <c r="BE85" t="s">
        <v>26</v>
      </c>
      <c r="BF85" t="s">
        <v>26</v>
      </c>
      <c r="BG85" t="s">
        <v>26</v>
      </c>
      <c r="BH85" t="s">
        <v>26</v>
      </c>
      <c r="BI85" t="s">
        <v>26</v>
      </c>
      <c r="BJ85" t="s">
        <v>26</v>
      </c>
      <c r="BK85" t="s">
        <v>26</v>
      </c>
      <c r="BL85" t="s">
        <v>26</v>
      </c>
      <c r="BM85" t="s">
        <v>26</v>
      </c>
      <c r="BN85" t="s">
        <v>26</v>
      </c>
      <c r="BO85" t="s">
        <v>26</v>
      </c>
      <c r="BP85" t="s">
        <v>26</v>
      </c>
      <c r="BQ85" t="s">
        <v>26</v>
      </c>
      <c r="BR85" t="s">
        <v>26</v>
      </c>
      <c r="BS85" t="s">
        <v>26</v>
      </c>
      <c r="BT85" t="s">
        <v>26</v>
      </c>
      <c r="BU85" t="s">
        <v>26</v>
      </c>
      <c r="BV85" t="s">
        <v>26</v>
      </c>
      <c r="BW85" t="s">
        <v>26</v>
      </c>
      <c r="BX85" t="s">
        <v>26</v>
      </c>
      <c r="BY85" t="s">
        <v>26</v>
      </c>
      <c r="BZ85">
        <v>5.5</v>
      </c>
      <c r="CA85" t="s">
        <v>26</v>
      </c>
      <c r="CB85" t="s">
        <v>26</v>
      </c>
      <c r="DE85">
        <f t="shared" si="10"/>
        <v>1</v>
      </c>
      <c r="DF85" s="18">
        <f t="shared" si="11"/>
        <v>5.5</v>
      </c>
      <c r="DG85" t="str">
        <f t="shared" si="12"/>
        <v/>
      </c>
      <c r="DH85">
        <v>0</v>
      </c>
      <c r="DI85">
        <f t="shared" si="13"/>
        <v>0</v>
      </c>
      <c r="DJ85">
        <f t="shared" si="14"/>
        <v>0</v>
      </c>
    </row>
    <row r="86" spans="1:114" x14ac:dyDescent="0.35">
      <c r="A86" t="s">
        <v>382</v>
      </c>
      <c r="B86" t="s">
        <v>26</v>
      </c>
      <c r="C86" t="s">
        <v>26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">
        <v>26</v>
      </c>
      <c r="J86" t="s">
        <v>26</v>
      </c>
      <c r="K86" t="s">
        <v>26</v>
      </c>
      <c r="L86" t="s">
        <v>26</v>
      </c>
      <c r="M86" t="s">
        <v>26</v>
      </c>
      <c r="N86" t="s">
        <v>26</v>
      </c>
      <c r="O86" t="s">
        <v>26</v>
      </c>
      <c r="P86" t="s">
        <v>26</v>
      </c>
      <c r="Q86" t="s">
        <v>26</v>
      </c>
      <c r="R86" t="s">
        <v>26</v>
      </c>
      <c r="S86" t="s">
        <v>26</v>
      </c>
      <c r="T86" t="s">
        <v>26</v>
      </c>
      <c r="U86" t="s">
        <v>26</v>
      </c>
      <c r="V86" t="s">
        <v>26</v>
      </c>
      <c r="W86" t="s">
        <v>26</v>
      </c>
      <c r="X86" t="s">
        <v>26</v>
      </c>
      <c r="Y86" t="s">
        <v>26</v>
      </c>
      <c r="Z86" t="s">
        <v>26</v>
      </c>
      <c r="AA86" t="s">
        <v>26</v>
      </c>
      <c r="AB86" t="s">
        <v>26</v>
      </c>
      <c r="AC86" t="s">
        <v>26</v>
      </c>
      <c r="AD86" t="s">
        <v>26</v>
      </c>
      <c r="AE86" t="s">
        <v>26</v>
      </c>
      <c r="AF86" t="s">
        <v>26</v>
      </c>
      <c r="AG86" t="s">
        <v>26</v>
      </c>
      <c r="AH86" t="s">
        <v>26</v>
      </c>
      <c r="AI86" t="s">
        <v>26</v>
      </c>
      <c r="AJ86" t="s">
        <v>26</v>
      </c>
      <c r="AK86" t="s">
        <v>26</v>
      </c>
      <c r="AL86" t="s">
        <v>26</v>
      </c>
      <c r="AM86" t="s">
        <v>26</v>
      </c>
      <c r="AN86" t="s">
        <v>26</v>
      </c>
      <c r="AO86" t="s">
        <v>26</v>
      </c>
      <c r="AP86" t="s">
        <v>26</v>
      </c>
      <c r="AQ86" t="s">
        <v>26</v>
      </c>
      <c r="AR86" t="s">
        <v>26</v>
      </c>
      <c r="AS86" t="s">
        <v>26</v>
      </c>
      <c r="AT86" t="s">
        <v>26</v>
      </c>
      <c r="AU86" t="s">
        <v>26</v>
      </c>
      <c r="AV86" t="s">
        <v>26</v>
      </c>
      <c r="AW86" t="s">
        <v>26</v>
      </c>
      <c r="AX86" t="s">
        <v>26</v>
      </c>
      <c r="AY86" t="s">
        <v>26</v>
      </c>
      <c r="AZ86" t="s">
        <v>26</v>
      </c>
      <c r="BA86" t="s">
        <v>26</v>
      </c>
      <c r="BB86" t="s">
        <v>26</v>
      </c>
      <c r="BC86" t="s">
        <v>26</v>
      </c>
      <c r="BD86" t="s">
        <v>26</v>
      </c>
      <c r="BE86" t="s">
        <v>26</v>
      </c>
      <c r="BF86" t="s">
        <v>26</v>
      </c>
      <c r="BG86" t="s">
        <v>26</v>
      </c>
      <c r="BH86" t="s">
        <v>26</v>
      </c>
      <c r="BI86" t="s">
        <v>26</v>
      </c>
      <c r="BJ86" t="s">
        <v>26</v>
      </c>
      <c r="BK86" t="s">
        <v>26</v>
      </c>
      <c r="BL86" t="s">
        <v>26</v>
      </c>
      <c r="BM86" t="s">
        <v>26</v>
      </c>
      <c r="BN86" t="s">
        <v>26</v>
      </c>
      <c r="BO86" t="s">
        <v>26</v>
      </c>
      <c r="BP86" t="s">
        <v>26</v>
      </c>
      <c r="BQ86" t="s">
        <v>26</v>
      </c>
      <c r="BR86" t="s">
        <v>26</v>
      </c>
      <c r="BS86" t="s">
        <v>26</v>
      </c>
      <c r="BT86" t="s">
        <v>26</v>
      </c>
      <c r="BU86" t="s">
        <v>26</v>
      </c>
      <c r="BV86" t="s">
        <v>26</v>
      </c>
      <c r="BW86" t="s">
        <v>26</v>
      </c>
      <c r="BX86" t="s">
        <v>26</v>
      </c>
      <c r="BY86" t="s">
        <v>26</v>
      </c>
      <c r="BZ86">
        <v>5.5</v>
      </c>
      <c r="CA86" t="s">
        <v>26</v>
      </c>
      <c r="CB86" t="s">
        <v>26</v>
      </c>
      <c r="DE86">
        <f t="shared" si="10"/>
        <v>1</v>
      </c>
      <c r="DF86" s="18">
        <f t="shared" si="11"/>
        <v>5.5</v>
      </c>
      <c r="DG86" t="str">
        <f t="shared" si="12"/>
        <v/>
      </c>
      <c r="DH86">
        <v>0</v>
      </c>
      <c r="DI86">
        <f t="shared" si="13"/>
        <v>0</v>
      </c>
      <c r="DJ86">
        <f t="shared" si="14"/>
        <v>0</v>
      </c>
    </row>
    <row r="87" spans="1:114" x14ac:dyDescent="0.35">
      <c r="A87" t="s">
        <v>389</v>
      </c>
      <c r="B87" t="s">
        <v>26</v>
      </c>
      <c r="C87" t="s">
        <v>26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">
        <v>26</v>
      </c>
      <c r="J87" t="s">
        <v>26</v>
      </c>
      <c r="K87" t="s">
        <v>26</v>
      </c>
      <c r="L87" t="s">
        <v>26</v>
      </c>
      <c r="M87" t="s">
        <v>26</v>
      </c>
      <c r="N87" t="s">
        <v>26</v>
      </c>
      <c r="O87" t="s">
        <v>26</v>
      </c>
      <c r="P87" t="s">
        <v>26</v>
      </c>
      <c r="Q87" t="s">
        <v>26</v>
      </c>
      <c r="R87" t="s">
        <v>26</v>
      </c>
      <c r="S87" t="s">
        <v>26</v>
      </c>
      <c r="T87" t="s">
        <v>26</v>
      </c>
      <c r="U87" t="s">
        <v>26</v>
      </c>
      <c r="V87" t="s">
        <v>26</v>
      </c>
      <c r="W87" t="s">
        <v>26</v>
      </c>
      <c r="X87" t="s">
        <v>26</v>
      </c>
      <c r="Y87" t="s">
        <v>26</v>
      </c>
      <c r="Z87" t="s">
        <v>26</v>
      </c>
      <c r="AA87" t="s">
        <v>26</v>
      </c>
      <c r="AB87" t="s">
        <v>26</v>
      </c>
      <c r="AC87" t="s">
        <v>26</v>
      </c>
      <c r="AD87" t="s">
        <v>26</v>
      </c>
      <c r="AE87" t="s">
        <v>26</v>
      </c>
      <c r="AF87" t="s">
        <v>26</v>
      </c>
      <c r="AG87" t="s">
        <v>26</v>
      </c>
      <c r="AH87" t="s">
        <v>26</v>
      </c>
      <c r="AI87" t="s">
        <v>26</v>
      </c>
      <c r="AJ87" t="s">
        <v>26</v>
      </c>
      <c r="AK87" t="s">
        <v>26</v>
      </c>
      <c r="AL87" t="s">
        <v>26</v>
      </c>
      <c r="AM87" t="s">
        <v>26</v>
      </c>
      <c r="AN87" t="s">
        <v>26</v>
      </c>
      <c r="AO87" t="s">
        <v>26</v>
      </c>
      <c r="AP87" t="s">
        <v>26</v>
      </c>
      <c r="AQ87" t="s">
        <v>26</v>
      </c>
      <c r="AR87" t="s">
        <v>26</v>
      </c>
      <c r="AS87" t="s">
        <v>26</v>
      </c>
      <c r="AT87" t="s">
        <v>26</v>
      </c>
      <c r="AU87" t="s">
        <v>26</v>
      </c>
      <c r="AV87" t="s">
        <v>26</v>
      </c>
      <c r="AW87" t="s">
        <v>26</v>
      </c>
      <c r="AX87" t="s">
        <v>26</v>
      </c>
      <c r="AY87" t="s">
        <v>26</v>
      </c>
      <c r="AZ87" t="s">
        <v>26</v>
      </c>
      <c r="BA87" t="s">
        <v>26</v>
      </c>
      <c r="BB87" t="s">
        <v>26</v>
      </c>
      <c r="BC87" t="s">
        <v>26</v>
      </c>
      <c r="BD87" t="s">
        <v>26</v>
      </c>
      <c r="BE87" t="s">
        <v>26</v>
      </c>
      <c r="BF87" t="s">
        <v>26</v>
      </c>
      <c r="BG87" t="s">
        <v>26</v>
      </c>
      <c r="BH87" t="s">
        <v>26</v>
      </c>
      <c r="BI87" t="s">
        <v>26</v>
      </c>
      <c r="BJ87" t="s">
        <v>26</v>
      </c>
      <c r="BK87" t="s">
        <v>26</v>
      </c>
      <c r="BL87" t="s">
        <v>26</v>
      </c>
      <c r="BM87" t="s">
        <v>26</v>
      </c>
      <c r="BN87" t="s">
        <v>26</v>
      </c>
      <c r="BO87" t="s">
        <v>26</v>
      </c>
      <c r="BP87" t="s">
        <v>26</v>
      </c>
      <c r="BQ87" t="s">
        <v>26</v>
      </c>
      <c r="BR87" t="s">
        <v>26</v>
      </c>
      <c r="BS87" t="s">
        <v>26</v>
      </c>
      <c r="BT87" t="s">
        <v>26</v>
      </c>
      <c r="BU87" t="s">
        <v>26</v>
      </c>
      <c r="BV87" t="s">
        <v>26</v>
      </c>
      <c r="BW87" t="s">
        <v>26</v>
      </c>
      <c r="BX87" t="s">
        <v>26</v>
      </c>
      <c r="BY87" t="s">
        <v>26</v>
      </c>
      <c r="BZ87" t="s">
        <v>26</v>
      </c>
      <c r="CA87" t="s">
        <v>26</v>
      </c>
      <c r="CB87" t="s">
        <v>26</v>
      </c>
      <c r="CH87">
        <v>7.5</v>
      </c>
      <c r="DE87">
        <f t="shared" si="10"/>
        <v>1</v>
      </c>
      <c r="DF87" s="18">
        <f t="shared" si="11"/>
        <v>7.5</v>
      </c>
      <c r="DG87" t="str">
        <f t="shared" si="12"/>
        <v/>
      </c>
      <c r="DH87">
        <v>0</v>
      </c>
      <c r="DI87">
        <f t="shared" si="13"/>
        <v>0</v>
      </c>
      <c r="DJ87">
        <f t="shared" si="14"/>
        <v>0</v>
      </c>
    </row>
    <row r="88" spans="1:114" x14ac:dyDescent="0.35">
      <c r="A88" t="s">
        <v>391</v>
      </c>
      <c r="B88" t="s">
        <v>26</v>
      </c>
      <c r="C88" t="s">
        <v>26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t="s">
        <v>26</v>
      </c>
      <c r="L88" t="s">
        <v>26</v>
      </c>
      <c r="M88" t="s">
        <v>26</v>
      </c>
      <c r="N88" t="s">
        <v>26</v>
      </c>
      <c r="O88" t="s">
        <v>26</v>
      </c>
      <c r="P88" t="s">
        <v>26</v>
      </c>
      <c r="Q88" t="s">
        <v>26</v>
      </c>
      <c r="R88" t="s">
        <v>26</v>
      </c>
      <c r="S88" t="s">
        <v>26</v>
      </c>
      <c r="T88" t="s">
        <v>26</v>
      </c>
      <c r="U88" t="s">
        <v>26</v>
      </c>
      <c r="V88" t="s">
        <v>26</v>
      </c>
      <c r="W88" t="s">
        <v>26</v>
      </c>
      <c r="X88" t="s">
        <v>26</v>
      </c>
      <c r="Y88" t="s">
        <v>26</v>
      </c>
      <c r="Z88" t="s">
        <v>26</v>
      </c>
      <c r="AA88" t="s">
        <v>26</v>
      </c>
      <c r="AB88" t="s">
        <v>26</v>
      </c>
      <c r="AC88" t="s">
        <v>26</v>
      </c>
      <c r="AD88" t="s">
        <v>26</v>
      </c>
      <c r="AE88" t="s">
        <v>26</v>
      </c>
      <c r="AF88" t="s">
        <v>26</v>
      </c>
      <c r="AG88" t="s">
        <v>26</v>
      </c>
      <c r="AH88" t="s">
        <v>26</v>
      </c>
      <c r="AI88" t="s">
        <v>26</v>
      </c>
      <c r="AJ88" t="s">
        <v>26</v>
      </c>
      <c r="AK88" t="s">
        <v>26</v>
      </c>
      <c r="AL88" t="s">
        <v>26</v>
      </c>
      <c r="AM88" t="s">
        <v>26</v>
      </c>
      <c r="AN88" t="s">
        <v>26</v>
      </c>
      <c r="AO88" t="s">
        <v>26</v>
      </c>
      <c r="AP88" t="s">
        <v>26</v>
      </c>
      <c r="AQ88" t="s">
        <v>26</v>
      </c>
      <c r="AR88" t="s">
        <v>26</v>
      </c>
      <c r="AS88" t="s">
        <v>26</v>
      </c>
      <c r="AT88" t="s">
        <v>26</v>
      </c>
      <c r="AU88" t="s">
        <v>26</v>
      </c>
      <c r="AV88" t="s">
        <v>26</v>
      </c>
      <c r="AW88" t="s">
        <v>26</v>
      </c>
      <c r="AX88" t="s">
        <v>26</v>
      </c>
      <c r="AY88" t="s">
        <v>26</v>
      </c>
      <c r="AZ88" t="s">
        <v>26</v>
      </c>
      <c r="BA88" t="s">
        <v>26</v>
      </c>
      <c r="BB88" t="s">
        <v>26</v>
      </c>
      <c r="BC88" t="s">
        <v>26</v>
      </c>
      <c r="BD88" t="s">
        <v>26</v>
      </c>
      <c r="BE88" t="s">
        <v>26</v>
      </c>
      <c r="BF88" t="s">
        <v>26</v>
      </c>
      <c r="BG88" t="s">
        <v>26</v>
      </c>
      <c r="BH88" t="s">
        <v>26</v>
      </c>
      <c r="BI88" t="s">
        <v>26</v>
      </c>
      <c r="BJ88" t="s">
        <v>26</v>
      </c>
      <c r="BK88" t="s">
        <v>26</v>
      </c>
      <c r="BL88" t="s">
        <v>26</v>
      </c>
      <c r="BM88" t="s">
        <v>26</v>
      </c>
      <c r="BN88" t="s">
        <v>26</v>
      </c>
      <c r="BO88" t="s">
        <v>26</v>
      </c>
      <c r="BP88" t="s">
        <v>26</v>
      </c>
      <c r="BQ88" t="s">
        <v>26</v>
      </c>
      <c r="BR88" t="s">
        <v>26</v>
      </c>
      <c r="BS88" t="s">
        <v>26</v>
      </c>
      <c r="BT88" t="s">
        <v>26</v>
      </c>
      <c r="BU88" t="s">
        <v>26</v>
      </c>
      <c r="BV88" t="s">
        <v>26</v>
      </c>
      <c r="BW88" t="s">
        <v>26</v>
      </c>
      <c r="BX88" t="s">
        <v>26</v>
      </c>
      <c r="BY88" t="s">
        <v>26</v>
      </c>
      <c r="BZ88" t="s">
        <v>26</v>
      </c>
      <c r="CA88" t="s">
        <v>26</v>
      </c>
      <c r="CB88" t="s">
        <v>26</v>
      </c>
      <c r="CI88">
        <v>7</v>
      </c>
      <c r="DE88">
        <f t="shared" si="10"/>
        <v>1</v>
      </c>
      <c r="DF88" s="18">
        <f t="shared" si="11"/>
        <v>7</v>
      </c>
      <c r="DG88" t="str">
        <f t="shared" si="12"/>
        <v/>
      </c>
      <c r="DH88">
        <v>0</v>
      </c>
      <c r="DI88">
        <f t="shared" si="13"/>
        <v>0</v>
      </c>
      <c r="DJ88">
        <f t="shared" si="14"/>
        <v>0</v>
      </c>
    </row>
    <row r="89" spans="1:114" x14ac:dyDescent="0.35">
      <c r="A89" t="s">
        <v>394</v>
      </c>
      <c r="CP89">
        <v>6.5</v>
      </c>
      <c r="DE89">
        <f t="shared" si="10"/>
        <v>1</v>
      </c>
      <c r="DF89" s="18">
        <f t="shared" si="11"/>
        <v>6.5</v>
      </c>
      <c r="DG89" t="str">
        <f t="shared" si="12"/>
        <v/>
      </c>
      <c r="DH89">
        <v>0</v>
      </c>
      <c r="DI89">
        <f t="shared" si="13"/>
        <v>0</v>
      </c>
      <c r="DJ89">
        <f t="shared" si="14"/>
        <v>0</v>
      </c>
    </row>
    <row r="90" spans="1:114" x14ac:dyDescent="0.35">
      <c r="A90" t="s">
        <v>395</v>
      </c>
      <c r="CQ90">
        <v>6.5</v>
      </c>
      <c r="DE90">
        <f t="shared" si="10"/>
        <v>1</v>
      </c>
      <c r="DF90" s="18">
        <f t="shared" si="11"/>
        <v>6.5</v>
      </c>
      <c r="DG90" t="str">
        <f t="shared" si="12"/>
        <v/>
      </c>
      <c r="DH90">
        <v>0</v>
      </c>
      <c r="DI90">
        <f t="shared" si="13"/>
        <v>0</v>
      </c>
      <c r="DJ90">
        <f t="shared" si="14"/>
        <v>0</v>
      </c>
    </row>
    <row r="91" spans="1:114" x14ac:dyDescent="0.35">
      <c r="A91" t="s">
        <v>399</v>
      </c>
      <c r="CY91">
        <v>6.5</v>
      </c>
      <c r="CZ91">
        <v>6.5</v>
      </c>
      <c r="DB91">
        <v>6</v>
      </c>
      <c r="DC91">
        <v>8</v>
      </c>
      <c r="DE91">
        <f t="shared" si="10"/>
        <v>0</v>
      </c>
      <c r="DF91" s="18" t="e">
        <f t="shared" si="11"/>
        <v>#DIV/0!</v>
      </c>
      <c r="DG91" t="str">
        <f t="shared" si="12"/>
        <v/>
      </c>
      <c r="DH91">
        <v>0</v>
      </c>
      <c r="DI91">
        <f t="shared" si="13"/>
        <v>2</v>
      </c>
      <c r="DJ91">
        <f t="shared" si="14"/>
        <v>2</v>
      </c>
    </row>
    <row r="92" spans="1:114" x14ac:dyDescent="0.35">
      <c r="A92" t="s">
        <v>402</v>
      </c>
      <c r="DB92">
        <v>6</v>
      </c>
      <c r="DE92">
        <f t="shared" ref="DE92:DE95" si="15">COUNT(B92:CW92)</f>
        <v>0</v>
      </c>
      <c r="DF92" s="18" t="e">
        <f t="shared" ref="DF92:DF95" si="16">AVERAGE(B92:CW92)</f>
        <v>#DIV/0!</v>
      </c>
      <c r="DG92" t="str">
        <f t="shared" ref="DG92:DG95" si="17">IF(DE92&gt;1,_xlfn.STDEV.S(B92:CW92),"")</f>
        <v/>
      </c>
      <c r="DH92">
        <v>0</v>
      </c>
      <c r="DI92">
        <f t="shared" ref="DI92:DI95" si="18">COUNT(CX92:DA92)</f>
        <v>0</v>
      </c>
      <c r="DJ92">
        <f t="shared" ref="DJ92:DJ94" si="19">IF(DH92=0,DI92,0)</f>
        <v>0</v>
      </c>
    </row>
    <row r="93" spans="1:114" x14ac:dyDescent="0.35">
      <c r="A93" t="s">
        <v>403</v>
      </c>
      <c r="DB93">
        <v>5.5</v>
      </c>
      <c r="DE93">
        <f t="shared" si="15"/>
        <v>0</v>
      </c>
      <c r="DF93" s="18" t="e">
        <f t="shared" si="16"/>
        <v>#DIV/0!</v>
      </c>
      <c r="DG93" t="str">
        <f t="shared" si="17"/>
        <v/>
      </c>
      <c r="DH93">
        <v>0</v>
      </c>
      <c r="DI93">
        <f t="shared" si="18"/>
        <v>0</v>
      </c>
      <c r="DJ93">
        <f t="shared" si="19"/>
        <v>0</v>
      </c>
    </row>
    <row r="94" spans="1:114" x14ac:dyDescent="0.35">
      <c r="A94" t="s">
        <v>404</v>
      </c>
      <c r="DB94">
        <v>5.5</v>
      </c>
      <c r="DE94">
        <f t="shared" si="15"/>
        <v>0</v>
      </c>
      <c r="DF94" s="18" t="e">
        <f t="shared" si="16"/>
        <v>#DIV/0!</v>
      </c>
      <c r="DG94" t="str">
        <f t="shared" si="17"/>
        <v/>
      </c>
      <c r="DH94">
        <v>0</v>
      </c>
      <c r="DI94">
        <f t="shared" si="18"/>
        <v>0</v>
      </c>
      <c r="DJ94">
        <f t="shared" si="19"/>
        <v>0</v>
      </c>
    </row>
    <row r="95" spans="1:114" x14ac:dyDescent="0.35">
      <c r="A95" t="s">
        <v>405</v>
      </c>
      <c r="DC95">
        <v>6</v>
      </c>
      <c r="DE95">
        <f t="shared" si="15"/>
        <v>0</v>
      </c>
      <c r="DF95" s="18" t="e">
        <f t="shared" si="16"/>
        <v>#DIV/0!</v>
      </c>
      <c r="DG95" t="str">
        <f t="shared" si="17"/>
        <v/>
      </c>
      <c r="DH95">
        <v>0</v>
      </c>
      <c r="DI95">
        <f t="shared" si="18"/>
        <v>0</v>
      </c>
    </row>
  </sheetData>
  <autoFilter ref="A1:DJ83" xr:uid="{B9A4D56B-02EF-476F-9B0E-F093A198C591}">
    <sortState ref="A2:DJ91">
      <sortCondition descending="1" ref="DE1:DE83"/>
    </sortState>
  </autoFilter>
  <conditionalFormatting sqref="DE2:DE95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5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E2:DE9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9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C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S34" sqref="S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D96"/>
  <sheetViews>
    <sheetView topLeftCell="A64" zoomScale="85" zoomScaleNormal="85" workbookViewId="0">
      <pane xSplit="1" topLeftCell="U1" activePane="topRight" state="frozen"/>
      <selection activeCell="A31" sqref="A31"/>
      <selection pane="topRight" activeCell="A85" sqref="A85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6" width="12.26953125" bestFit="1" customWidth="1"/>
    <col min="27" max="28" width="9.6328125" customWidth="1"/>
    <col min="30" max="30" width="16.6328125" bestFit="1" customWidth="1"/>
  </cols>
  <sheetData>
    <row r="1" spans="1:30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Y1" s="22" t="s">
        <v>358</v>
      </c>
      <c r="Z1" s="22" t="s">
        <v>69</v>
      </c>
      <c r="AD1" t="s">
        <v>349</v>
      </c>
    </row>
    <row r="2" spans="1:30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D2" s="1">
        <v>46209</v>
      </c>
    </row>
    <row r="3" spans="1:30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</row>
    <row r="4" spans="1:30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0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/>
      <c r="AB5" s="19"/>
      <c r="AC5" t="s">
        <v>370</v>
      </c>
      <c r="AD5">
        <v>12</v>
      </c>
    </row>
    <row r="6" spans="1:30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C6" t="s">
        <v>371</v>
      </c>
      <c r="AD6">
        <f>27*AD5</f>
        <v>324</v>
      </c>
    </row>
    <row r="7" spans="1:30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t="s">
        <v>372</v>
      </c>
      <c r="AD7">
        <f>1950-AD6</f>
        <v>1626</v>
      </c>
    </row>
    <row r="8" spans="1:30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C8" t="s">
        <v>373</v>
      </c>
      <c r="AD8">
        <f>AD7/17</f>
        <v>95.647058823529406</v>
      </c>
    </row>
    <row r="9" spans="1:30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30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</row>
    <row r="11" spans="1:30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</row>
    <row r="12" spans="1:30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</row>
    <row r="13" spans="1:30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</row>
    <row r="14" spans="1:30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0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</row>
    <row r="16" spans="1:30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C16" s="60"/>
    </row>
    <row r="17" spans="1:2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C17" s="60"/>
    </row>
    <row r="18" spans="1:2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</row>
    <row r="19" spans="1:2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</row>
    <row r="20" spans="1:2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</row>
    <row r="21" spans="1:2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</row>
    <row r="25" spans="1:2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/>
      <c r="AB26" s="19"/>
    </row>
    <row r="27" spans="1:2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</row>
    <row r="28" spans="1:2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</row>
    <row r="29" spans="1:2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2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</row>
    <row r="33" spans="1:26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6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</row>
    <row r="35" spans="1:26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6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6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6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6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</row>
    <row r="40" spans="1:26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6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6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</row>
    <row r="43" spans="1:26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6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6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6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6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6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6" x14ac:dyDescent="0.35">
      <c r="A49" t="s">
        <v>80</v>
      </c>
      <c r="G49" s="19">
        <v>25</v>
      </c>
      <c r="H49" s="19"/>
      <c r="I49" s="19"/>
    </row>
    <row r="50" spans="1:26" x14ac:dyDescent="0.35">
      <c r="A50" t="s">
        <v>83</v>
      </c>
      <c r="G50" s="19"/>
      <c r="H50" s="19">
        <v>25</v>
      </c>
      <c r="I50" s="19"/>
    </row>
    <row r="51" spans="1:26" x14ac:dyDescent="0.35">
      <c r="A51" t="s">
        <v>86</v>
      </c>
      <c r="G51" s="19"/>
      <c r="H51" s="19">
        <v>25</v>
      </c>
      <c r="I51" s="19"/>
    </row>
    <row r="52" spans="1:26" x14ac:dyDescent="0.35">
      <c r="A52" t="s">
        <v>85</v>
      </c>
      <c r="G52" s="19"/>
      <c r="H52" s="19">
        <v>25</v>
      </c>
      <c r="I52" s="19">
        <v>50</v>
      </c>
    </row>
    <row r="53" spans="1:26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</row>
    <row r="54" spans="1:26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6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6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6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6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6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6" x14ac:dyDescent="0.35">
      <c r="A60" t="s">
        <v>347</v>
      </c>
      <c r="G60"/>
      <c r="H60"/>
      <c r="I60"/>
      <c r="K60" s="19">
        <v>25</v>
      </c>
      <c r="L60" s="19"/>
    </row>
    <row r="61" spans="1:26" x14ac:dyDescent="0.35">
      <c r="A61" t="s">
        <v>354</v>
      </c>
      <c r="G61"/>
      <c r="H61"/>
      <c r="I61"/>
      <c r="K61" s="19"/>
      <c r="L61" s="19">
        <v>25</v>
      </c>
    </row>
    <row r="62" spans="1:26" x14ac:dyDescent="0.35">
      <c r="A62" t="s">
        <v>356</v>
      </c>
      <c r="L62" s="19">
        <v>25</v>
      </c>
    </row>
    <row r="63" spans="1:26" x14ac:dyDescent="0.35">
      <c r="A63" t="s">
        <v>352</v>
      </c>
      <c r="L63" s="19">
        <v>25</v>
      </c>
    </row>
    <row r="64" spans="1:26" x14ac:dyDescent="0.35">
      <c r="A64" t="s">
        <v>350</v>
      </c>
      <c r="L64" s="19">
        <v>25</v>
      </c>
    </row>
    <row r="65" spans="1:26" x14ac:dyDescent="0.35">
      <c r="A65" t="s">
        <v>363</v>
      </c>
      <c r="L65" s="19"/>
      <c r="M65" s="19">
        <v>25</v>
      </c>
      <c r="U65" s="19">
        <v>27</v>
      </c>
    </row>
    <row r="66" spans="1:26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6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6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6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6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6" x14ac:dyDescent="0.35">
      <c r="A71" t="s">
        <v>369</v>
      </c>
      <c r="O71" s="19">
        <v>54</v>
      </c>
      <c r="P71" s="19"/>
      <c r="Q71" s="19"/>
    </row>
    <row r="72" spans="1:26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</row>
    <row r="73" spans="1:26" x14ac:dyDescent="0.35">
      <c r="A73" t="s">
        <v>374</v>
      </c>
      <c r="O73" s="19"/>
      <c r="P73" s="19"/>
      <c r="Q73" s="19">
        <v>27</v>
      </c>
    </row>
    <row r="74" spans="1:26" x14ac:dyDescent="0.35">
      <c r="A74" t="s">
        <v>375</v>
      </c>
      <c r="O74" s="19"/>
      <c r="P74" s="19"/>
      <c r="Q74" s="19">
        <v>27</v>
      </c>
    </row>
    <row r="75" spans="1:26" x14ac:dyDescent="0.35">
      <c r="A75" t="s">
        <v>377</v>
      </c>
      <c r="O75" s="19"/>
      <c r="P75" s="19"/>
      <c r="Q75" s="19"/>
      <c r="R75" s="19">
        <v>27</v>
      </c>
      <c r="S75" s="19"/>
    </row>
    <row r="76" spans="1:26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6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6" x14ac:dyDescent="0.35">
      <c r="A78" t="s">
        <v>381</v>
      </c>
      <c r="O78" s="19"/>
      <c r="P78" s="19"/>
      <c r="Q78" s="19"/>
      <c r="R78" s="19"/>
      <c r="S78" s="19"/>
      <c r="T78" s="19">
        <v>27</v>
      </c>
      <c r="Y78"/>
    </row>
    <row r="79" spans="1:26" x14ac:dyDescent="0.35">
      <c r="A79" t="s">
        <v>382</v>
      </c>
      <c r="O79" s="19"/>
      <c r="P79" s="19"/>
      <c r="Q79" s="19"/>
      <c r="R79" s="19"/>
      <c r="S79" s="19"/>
      <c r="T79" s="19">
        <v>27</v>
      </c>
      <c r="Y79"/>
    </row>
    <row r="80" spans="1:26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6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6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6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6" x14ac:dyDescent="0.35">
      <c r="A84" t="s">
        <v>401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</row>
    <row r="85" spans="1:26" x14ac:dyDescent="0.35">
      <c r="A85" t="s">
        <v>393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21">
        <v>27</v>
      </c>
    </row>
    <row r="86" spans="1:26" x14ac:dyDescent="0.35">
      <c r="A86" t="s">
        <v>392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6" x14ac:dyDescent="0.35">
      <c r="A87" t="s">
        <v>394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6" x14ac:dyDescent="0.35">
      <c r="A88" t="s">
        <v>395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6" x14ac:dyDescent="0.35">
      <c r="A89" t="s">
        <v>396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6" x14ac:dyDescent="0.35">
      <c r="A90" t="s">
        <v>397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6" x14ac:dyDescent="0.35">
      <c r="A91" t="s">
        <v>399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</row>
    <row r="92" spans="1:26" x14ac:dyDescent="0.35">
      <c r="U92" s="22"/>
      <c r="Y92"/>
    </row>
    <row r="93" spans="1:26" x14ac:dyDescent="0.35">
      <c r="A93" t="s">
        <v>386</v>
      </c>
      <c r="B93" s="20">
        <f t="shared" ref="B93:U93" si="1">SUM(B2:B80)</f>
        <v>1799.9999999999998</v>
      </c>
      <c r="C93" s="20">
        <f t="shared" si="1"/>
        <v>1800.1200000000001</v>
      </c>
      <c r="D93" s="20">
        <f t="shared" si="1"/>
        <v>1825.1200000000001</v>
      </c>
      <c r="E93" s="20">
        <f t="shared" si="1"/>
        <v>1775.04</v>
      </c>
      <c r="F93" s="20">
        <f t="shared" si="1"/>
        <v>1850.04</v>
      </c>
      <c r="G93" s="20">
        <f t="shared" si="1"/>
        <v>1800.0399999999997</v>
      </c>
      <c r="H93" s="20">
        <f t="shared" si="1"/>
        <v>1800.14</v>
      </c>
      <c r="I93" s="20">
        <f t="shared" si="1"/>
        <v>1800.0399999999997</v>
      </c>
      <c r="J93" s="20">
        <f t="shared" si="1"/>
        <v>1800.1599999999994</v>
      </c>
      <c r="K93" s="20">
        <f t="shared" si="1"/>
        <v>1825.0066666666664</v>
      </c>
      <c r="L93" s="20">
        <f t="shared" si="1"/>
        <v>1800.0600000000004</v>
      </c>
      <c r="M93" s="20">
        <f t="shared" si="1"/>
        <v>1800.0200000000004</v>
      </c>
      <c r="N93" s="20">
        <f t="shared" si="1"/>
        <v>1950.1199999999997</v>
      </c>
      <c r="O93" s="20">
        <f t="shared" si="1"/>
        <v>1950.1199999999997</v>
      </c>
      <c r="P93" s="20">
        <f t="shared" si="1"/>
        <v>1950.1199999999997</v>
      </c>
      <c r="Q93" s="20">
        <f t="shared" si="1"/>
        <v>1951.9399999999998</v>
      </c>
      <c r="R93" s="20">
        <f t="shared" si="1"/>
        <v>1952.1199999999997</v>
      </c>
      <c r="S93" s="20">
        <f t="shared" si="1"/>
        <v>1950.1199999999997</v>
      </c>
      <c r="T93" s="20">
        <f t="shared" si="1"/>
        <v>1950.1199999999997</v>
      </c>
      <c r="U93" s="20">
        <f t="shared" si="1"/>
        <v>1950.1199999999997</v>
      </c>
      <c r="V93" s="20">
        <f>SUM(V2:V83)</f>
        <v>1950.12</v>
      </c>
      <c r="W93" s="20">
        <f>SUM(W2:W83)</f>
        <v>1950.1299999999994</v>
      </c>
      <c r="X93" s="20">
        <f>SUM(X2:X88)</f>
        <v>1950.1199999999997</v>
      </c>
      <c r="Y93" s="20">
        <f>SUM(Y2:Y90)</f>
        <v>1950.1199999999994</v>
      </c>
      <c r="Z93" s="20">
        <f>SUM(Z2:Z91)</f>
        <v>1950.0500000000006</v>
      </c>
    </row>
    <row r="94" spans="1:26" x14ac:dyDescent="0.35">
      <c r="A94" t="s">
        <v>74</v>
      </c>
      <c r="B94" s="20">
        <f>SUM(B3:B28)</f>
        <v>1716.6666666666665</v>
      </c>
      <c r="C94" s="20">
        <f>SUM(C3:C35)</f>
        <v>1729.2800000000002</v>
      </c>
      <c r="D94" s="20">
        <f>SUM(D3:D38)</f>
        <v>1754.2800000000002</v>
      </c>
      <c r="E94" s="20">
        <f>SUM(E3:E41)</f>
        <v>1697.26</v>
      </c>
      <c r="F94" s="20">
        <f>SUM(F3:F44)</f>
        <v>1772.26</v>
      </c>
      <c r="G94" s="20">
        <f>SUM(G3:G49)</f>
        <v>1722.2599999999998</v>
      </c>
      <c r="H94" s="20">
        <f>SUM(H3:H53)</f>
        <v>1715.41</v>
      </c>
      <c r="I94" s="20">
        <f>SUM(I3:I53)</f>
        <v>1722.2599999999998</v>
      </c>
      <c r="J94" s="20">
        <f>SUM(J3:J56)</f>
        <v>1714.0399999999995</v>
      </c>
      <c r="K94" s="20">
        <f>SUM(K3:K59)</f>
        <v>1716.6733333333332</v>
      </c>
      <c r="L94" s="20">
        <f>SUM(L3:L59)</f>
        <v>1620.8900000000003</v>
      </c>
      <c r="M94" s="20">
        <f>SUM(M3:M69)</f>
        <v>1723.6300000000003</v>
      </c>
      <c r="N94" s="20">
        <f>SUM(N3:N69)</f>
        <v>1861.2799999999997</v>
      </c>
      <c r="O94" s="20">
        <f>SUM(O3:O71)</f>
        <v>1865.7799999999997</v>
      </c>
      <c r="P94" s="20">
        <f>SUM(P3:P71)</f>
        <v>1864.2799999999997</v>
      </c>
      <c r="Q94" s="20">
        <f>SUM(Q3:Q74)</f>
        <v>1869.11</v>
      </c>
      <c r="R94" s="20">
        <f>SUM(R3:R75)</f>
        <v>1870.7799999999997</v>
      </c>
      <c r="S94" s="20">
        <f>SUM(S3:S77)</f>
        <v>1864.2799999999997</v>
      </c>
      <c r="T94" s="20">
        <f>SUM(T3:T79)</f>
        <v>1859.7799999999997</v>
      </c>
      <c r="U94" s="20">
        <f>SUM(U3:U80)</f>
        <v>1856.7799999999997</v>
      </c>
      <c r="V94" s="20">
        <f>SUM(V3:V80)</f>
        <v>1736.78</v>
      </c>
      <c r="W94" s="20">
        <f>SUM(W3:W80)</f>
        <v>1853.7899999999993</v>
      </c>
      <c r="X94" s="20">
        <f>X93-X2</f>
        <v>1868.7799999999997</v>
      </c>
      <c r="Y94" s="20">
        <f>Y93-Y2</f>
        <v>1867.0499999999995</v>
      </c>
      <c r="Z94" s="20">
        <f>Z93-Z2</f>
        <v>1854.4000000000005</v>
      </c>
    </row>
    <row r="95" spans="1:26" x14ac:dyDescent="0.35">
      <c r="A95" t="s">
        <v>75</v>
      </c>
      <c r="B95" s="20">
        <f>25*12+83.34*17</f>
        <v>1716.78</v>
      </c>
      <c r="C95" s="20">
        <f>22*25+70.84*17</f>
        <v>1754.28</v>
      </c>
      <c r="D95" s="20">
        <f>20*25+70.84*17</f>
        <v>1704.28</v>
      </c>
      <c r="E95" s="20">
        <f>15*25+77.78*17</f>
        <v>1697.26</v>
      </c>
      <c r="F95" s="20">
        <f>18*25+77.78*17</f>
        <v>1772.26</v>
      </c>
      <c r="G95" s="23">
        <f>17*77.78+25*16</f>
        <v>1722.26</v>
      </c>
      <c r="H95" s="23">
        <f>11*25+84.73*17</f>
        <v>1715.41</v>
      </c>
      <c r="I95" s="23">
        <f>17*25+77.78*17</f>
        <v>1747.26</v>
      </c>
      <c r="J95" s="23">
        <f>10*25+86.12*17</f>
        <v>1714.04</v>
      </c>
      <c r="K95" s="23">
        <f>14*25+83.33*17</f>
        <v>1766.61</v>
      </c>
      <c r="L95" s="23">
        <f>15*25+79.17*17</f>
        <v>1720.89</v>
      </c>
      <c r="M95" s="23">
        <f>17*25+76.39*17</f>
        <v>1723.63</v>
      </c>
      <c r="N95" s="23">
        <f>14*27+88.84*17</f>
        <v>1888.28</v>
      </c>
      <c r="O95" s="23">
        <f>16*27+84.34*17</f>
        <v>1865.78</v>
      </c>
      <c r="P95" s="23">
        <f>15*27+85.84*17</f>
        <v>1864.28</v>
      </c>
      <c r="Q95" s="23">
        <f>17*27+82.83*17</f>
        <v>1867.11</v>
      </c>
      <c r="R95" s="23">
        <f>18*27+82.83*17</f>
        <v>1894.11</v>
      </c>
      <c r="S95" s="23">
        <f>15*27+85.84*17</f>
        <v>1864.28</v>
      </c>
      <c r="T95" s="23">
        <f>12*27+85.84*17</f>
        <v>1783.28</v>
      </c>
      <c r="U95" s="23">
        <f>9*27+85.84*17</f>
        <v>1702.28</v>
      </c>
      <c r="V95" s="23">
        <f>19*27+85.84*17</f>
        <v>1972.28</v>
      </c>
      <c r="W95" s="23">
        <f>7*28+85.84*17.25</f>
        <v>1676.74</v>
      </c>
      <c r="X95" s="23">
        <f>18*27+81.34*17</f>
        <v>1868.78</v>
      </c>
      <c r="Y95" s="23">
        <f>22*27+83.07*15</f>
        <v>1840.05</v>
      </c>
      <c r="Z95" s="23">
        <f>9*27+95.65*17</f>
        <v>1869.0500000000002</v>
      </c>
    </row>
    <row r="96" spans="1:26" x14ac:dyDescent="0.35">
      <c r="B96" s="24">
        <f t="shared" ref="B96:G96" si="2">B95/B94</f>
        <v>1.0000660194174757</v>
      </c>
      <c r="C96" s="24">
        <f t="shared" si="2"/>
        <v>1.0144568837897852</v>
      </c>
      <c r="D96" s="24">
        <f t="shared" si="2"/>
        <v>0.97149827849602099</v>
      </c>
      <c r="E96" s="24">
        <f t="shared" si="2"/>
        <v>1</v>
      </c>
      <c r="F96" s="24">
        <f t="shared" si="2"/>
        <v>1</v>
      </c>
      <c r="G96" s="24">
        <f t="shared" si="2"/>
        <v>1.0000000000000002</v>
      </c>
      <c r="H96" s="24">
        <f t="shared" ref="H96:I96" si="3">H95/H94</f>
        <v>1</v>
      </c>
      <c r="I96" s="24">
        <f t="shared" si="3"/>
        <v>1.0145158106209284</v>
      </c>
      <c r="J96" s="24">
        <f t="shared" ref="J96:K96" si="4">J95/J94</f>
        <v>1.0000000000000002</v>
      </c>
      <c r="K96" s="24">
        <f t="shared" si="4"/>
        <v>1.0290892074205538</v>
      </c>
      <c r="L96" s="24">
        <f t="shared" ref="L96:M96" si="5">L95/L94</f>
        <v>1.0616945011691106</v>
      </c>
      <c r="M96" s="24">
        <f t="shared" si="5"/>
        <v>0.99999999999999989</v>
      </c>
      <c r="N96" s="24">
        <f t="shared" ref="N96:O96" si="6">N95/N94</f>
        <v>1.0145061463079172</v>
      </c>
      <c r="O96" s="24">
        <f t="shared" si="6"/>
        <v>1.0000000000000002</v>
      </c>
      <c r="P96" s="24">
        <f t="shared" ref="P96" si="7">P95/P94</f>
        <v>1.0000000000000002</v>
      </c>
      <c r="Q96" s="24">
        <f t="shared" ref="Q96:V96" si="8">Q95/Q94</f>
        <v>0.99892997201876832</v>
      </c>
      <c r="R96" s="24">
        <f t="shared" si="8"/>
        <v>1.0124707341322872</v>
      </c>
      <c r="S96" s="24">
        <f t="shared" si="8"/>
        <v>1.0000000000000002</v>
      </c>
      <c r="T96" s="24">
        <f t="shared" si="8"/>
        <v>0.95886610244222448</v>
      </c>
      <c r="U96" s="24">
        <f>U95/U94</f>
        <v>0.91679143463415169</v>
      </c>
      <c r="V96" s="24">
        <f t="shared" si="8"/>
        <v>1.1355957576664863</v>
      </c>
      <c r="W96" s="24">
        <f t="shared" ref="W96:X96" si="9">W95/W94</f>
        <v>0.90449295767050242</v>
      </c>
      <c r="X96" s="24">
        <f t="shared" si="9"/>
        <v>1.0000000000000002</v>
      </c>
      <c r="Y96" s="24">
        <f t="shared" ref="Y96:Z96" si="10">Y95/Y94</f>
        <v>0.98553868402024614</v>
      </c>
      <c r="Z96" s="24">
        <f t="shared" si="10"/>
        <v>1.0079001294219152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0"/>
  <sheetViews>
    <sheetView topLeftCell="A266" workbookViewId="0">
      <selection activeCell="I286" sqref="I286:J288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401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401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394</v>
      </c>
      <c r="G271" s="8" t="s">
        <v>401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392</v>
      </c>
      <c r="O272" s="61" t="s">
        <v>398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392</v>
      </c>
      <c r="G273" s="61" t="s">
        <v>398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394</v>
      </c>
      <c r="O273" s="8" t="s">
        <v>401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395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401</v>
      </c>
      <c r="N275" s="2" t="s">
        <v>376</v>
      </c>
      <c r="O275" s="61" t="s">
        <v>392</v>
      </c>
      <c r="P275" s="2" t="s">
        <v>398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401</v>
      </c>
      <c r="F276" s="2" t="s">
        <v>376</v>
      </c>
      <c r="G276" s="61" t="s">
        <v>392</v>
      </c>
      <c r="H276" s="2" t="s">
        <v>398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395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401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401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401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392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392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398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398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401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401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392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392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401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392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392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396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396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398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397</v>
      </c>
      <c r="N289" s="10" t="s">
        <v>392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397</v>
      </c>
      <c r="F290" s="10" t="s">
        <v>392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398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398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398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401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401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  <row r="295" spans="1:16" x14ac:dyDescent="0.35">
      <c r="A295" s="1">
        <v>46176</v>
      </c>
      <c r="B295" s="6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401</v>
      </c>
      <c r="H295" s="8" t="s">
        <v>46</v>
      </c>
      <c r="I295" s="9">
        <v>0</v>
      </c>
      <c r="J295" s="10">
        <v>0</v>
      </c>
      <c r="K295" s="10" t="s">
        <v>16</v>
      </c>
      <c r="L295" s="10" t="s">
        <v>2</v>
      </c>
      <c r="M295" s="10" t="s">
        <v>82</v>
      </c>
      <c r="N295" s="10" t="s">
        <v>84</v>
      </c>
      <c r="O295" s="10" t="s">
        <v>343</v>
      </c>
      <c r="P295" s="10" t="s">
        <v>376</v>
      </c>
    </row>
    <row r="296" spans="1:16" x14ac:dyDescent="0.35">
      <c r="A296" s="1">
        <v>46183</v>
      </c>
      <c r="B296" s="62">
        <v>2</v>
      </c>
      <c r="C296" s="8" t="s">
        <v>9</v>
      </c>
      <c r="D296" s="8" t="s">
        <v>46</v>
      </c>
      <c r="E296" s="8" t="s">
        <v>2</v>
      </c>
      <c r="F296" s="8" t="s">
        <v>19</v>
      </c>
      <c r="G296" s="8" t="s">
        <v>401</v>
      </c>
      <c r="H296" s="8" t="s">
        <v>376</v>
      </c>
      <c r="I296" s="9">
        <v>1</v>
      </c>
      <c r="J296" s="10">
        <v>1</v>
      </c>
      <c r="K296" s="10" t="s">
        <v>10</v>
      </c>
      <c r="L296" s="10" t="s">
        <v>56</v>
      </c>
      <c r="M296" s="10" t="s">
        <v>82</v>
      </c>
      <c r="N296" s="10" t="s">
        <v>343</v>
      </c>
      <c r="O296" s="10" t="s">
        <v>54</v>
      </c>
      <c r="P296" s="10" t="s">
        <v>392</v>
      </c>
    </row>
    <row r="297" spans="1:16" x14ac:dyDescent="0.35">
      <c r="A297" s="1">
        <v>46183</v>
      </c>
      <c r="B297" s="62">
        <v>4</v>
      </c>
      <c r="C297" s="10" t="s">
        <v>10</v>
      </c>
      <c r="D297" s="10" t="s">
        <v>56</v>
      </c>
      <c r="E297" s="10" t="s">
        <v>82</v>
      </c>
      <c r="F297" s="10" t="s">
        <v>343</v>
      </c>
      <c r="G297" s="10" t="s">
        <v>54</v>
      </c>
      <c r="H297" s="10" t="s">
        <v>392</v>
      </c>
      <c r="I297" s="11">
        <v>1</v>
      </c>
      <c r="J297" s="2">
        <v>5</v>
      </c>
      <c r="K297" s="2" t="s">
        <v>1</v>
      </c>
      <c r="L297" s="2" t="s">
        <v>44</v>
      </c>
      <c r="M297" s="2" t="s">
        <v>5</v>
      </c>
      <c r="N297" s="61" t="s">
        <v>22</v>
      </c>
      <c r="O297" s="61" t="s">
        <v>84</v>
      </c>
      <c r="P297" s="2" t="s">
        <v>399</v>
      </c>
    </row>
    <row r="298" spans="1:16" x14ac:dyDescent="0.35">
      <c r="A298" s="1">
        <v>46183</v>
      </c>
      <c r="B298" s="62">
        <v>5</v>
      </c>
      <c r="C298" s="2" t="s">
        <v>1</v>
      </c>
      <c r="D298" s="2" t="s">
        <v>44</v>
      </c>
      <c r="E298" s="2" t="s">
        <v>5</v>
      </c>
      <c r="F298" s="61" t="s">
        <v>22</v>
      </c>
      <c r="G298" s="61" t="s">
        <v>84</v>
      </c>
      <c r="H298" s="2" t="s">
        <v>399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62">
        <v>6</v>
      </c>
      <c r="C299" s="8" t="s">
        <v>84</v>
      </c>
      <c r="D299" s="8" t="s">
        <v>9</v>
      </c>
      <c r="E299" s="8" t="s">
        <v>82</v>
      </c>
      <c r="F299" s="8" t="s">
        <v>44</v>
      </c>
      <c r="G299" s="8" t="s">
        <v>2</v>
      </c>
      <c r="H299" s="8" t="s">
        <v>399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16</v>
      </c>
      <c r="N299" s="10" t="s">
        <v>46</v>
      </c>
      <c r="O299" s="10" t="s">
        <v>56</v>
      </c>
      <c r="P299" s="10" t="s">
        <v>11</v>
      </c>
    </row>
    <row r="300" spans="1:16" x14ac:dyDescent="0.35">
      <c r="A300" s="1">
        <v>46190</v>
      </c>
      <c r="B300" s="62">
        <v>3</v>
      </c>
      <c r="C300" s="10" t="s">
        <v>5</v>
      </c>
      <c r="D300" s="10" t="s">
        <v>10</v>
      </c>
      <c r="E300" s="10" t="s">
        <v>16</v>
      </c>
      <c r="F300" s="10" t="s">
        <v>46</v>
      </c>
      <c r="G300" s="10" t="s">
        <v>56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376</v>
      </c>
      <c r="M300" s="2" t="s">
        <v>22</v>
      </c>
      <c r="N300" s="61" t="s">
        <v>19</v>
      </c>
      <c r="O300" s="61" t="s">
        <v>401</v>
      </c>
      <c r="P300" s="2" t="s">
        <v>68</v>
      </c>
    </row>
    <row r="301" spans="1:16" x14ac:dyDescent="0.35">
      <c r="A301" s="1">
        <v>46190</v>
      </c>
      <c r="B301" s="62">
        <v>5</v>
      </c>
      <c r="C301" s="2" t="s">
        <v>1</v>
      </c>
      <c r="D301" s="2" t="s">
        <v>376</v>
      </c>
      <c r="E301" s="2" t="s">
        <v>22</v>
      </c>
      <c r="F301" s="61" t="s">
        <v>19</v>
      </c>
      <c r="G301" s="61" t="s">
        <v>401</v>
      </c>
      <c r="H301" s="2" t="s">
        <v>68</v>
      </c>
      <c r="I301" s="5">
        <v>3</v>
      </c>
      <c r="J301" s="8">
        <v>4</v>
      </c>
      <c r="K301" s="8" t="s">
        <v>84</v>
      </c>
      <c r="L301" s="8" t="s">
        <v>9</v>
      </c>
      <c r="M301" s="8" t="s">
        <v>82</v>
      </c>
      <c r="N301" s="8" t="s">
        <v>44</v>
      </c>
      <c r="O301" s="8" t="s">
        <v>2</v>
      </c>
      <c r="P301" s="8" t="s">
        <v>399</v>
      </c>
    </row>
    <row r="302" spans="1:16" x14ac:dyDescent="0.35">
      <c r="A302" s="1">
        <v>46204</v>
      </c>
      <c r="B302" s="62">
        <v>4</v>
      </c>
      <c r="C302" s="8" t="s">
        <v>9</v>
      </c>
      <c r="D302" s="8" t="s">
        <v>56</v>
      </c>
      <c r="E302" s="8" t="s">
        <v>10</v>
      </c>
      <c r="F302" s="8" t="s">
        <v>19</v>
      </c>
      <c r="G302" s="8" t="s">
        <v>84</v>
      </c>
      <c r="H302" s="8" t="s">
        <v>401</v>
      </c>
      <c r="I302" s="9">
        <v>4</v>
      </c>
      <c r="J302" s="10">
        <v>6</v>
      </c>
      <c r="K302" s="10" t="s">
        <v>44</v>
      </c>
      <c r="L302" s="10" t="s">
        <v>376</v>
      </c>
      <c r="M302" s="10" t="s">
        <v>82</v>
      </c>
      <c r="N302" s="10" t="s">
        <v>2</v>
      </c>
      <c r="O302" s="10" t="s">
        <v>12</v>
      </c>
      <c r="P302" s="10" t="s">
        <v>396</v>
      </c>
    </row>
    <row r="303" spans="1:16" x14ac:dyDescent="0.35">
      <c r="A303" s="1">
        <v>46204</v>
      </c>
      <c r="B303" s="62">
        <v>7</v>
      </c>
      <c r="C303" s="10" t="s">
        <v>44</v>
      </c>
      <c r="D303" s="10" t="s">
        <v>376</v>
      </c>
      <c r="E303" s="10" t="s">
        <v>82</v>
      </c>
      <c r="F303" s="10" t="s">
        <v>2</v>
      </c>
      <c r="G303" s="10" t="s">
        <v>12</v>
      </c>
      <c r="H303" s="10" t="s">
        <v>396</v>
      </c>
      <c r="I303" s="11">
        <v>6</v>
      </c>
      <c r="J303" s="2">
        <v>10</v>
      </c>
      <c r="K303" s="2" t="s">
        <v>1</v>
      </c>
      <c r="L303" s="2" t="s">
        <v>16</v>
      </c>
      <c r="M303" s="2" t="s">
        <v>5</v>
      </c>
      <c r="N303" s="61" t="s">
        <v>11</v>
      </c>
      <c r="O303" s="61" t="s">
        <v>68</v>
      </c>
      <c r="P303" s="2" t="s">
        <v>398</v>
      </c>
    </row>
    <row r="304" spans="1:16" x14ac:dyDescent="0.35">
      <c r="A304" s="1">
        <v>46204</v>
      </c>
      <c r="B304" s="62">
        <v>4</v>
      </c>
      <c r="C304" s="2" t="s">
        <v>1</v>
      </c>
      <c r="D304" s="2" t="s">
        <v>16</v>
      </c>
      <c r="E304" s="2" t="s">
        <v>5</v>
      </c>
      <c r="F304" s="61" t="s">
        <v>11</v>
      </c>
      <c r="G304" s="61" t="s">
        <v>68</v>
      </c>
      <c r="H304" s="2" t="s">
        <v>398</v>
      </c>
      <c r="I304" s="5">
        <v>3</v>
      </c>
      <c r="J304" s="8">
        <v>4</v>
      </c>
      <c r="K304" s="8" t="s">
        <v>9</v>
      </c>
      <c r="L304" s="8" t="s">
        <v>56</v>
      </c>
      <c r="M304" s="8" t="s">
        <v>10</v>
      </c>
      <c r="N304" s="8" t="s">
        <v>19</v>
      </c>
      <c r="O304" s="8" t="s">
        <v>84</v>
      </c>
      <c r="P304" s="8" t="s">
        <v>401</v>
      </c>
    </row>
    <row r="305" spans="1:16" x14ac:dyDescent="0.35">
      <c r="A305" s="1">
        <v>46211</v>
      </c>
      <c r="B305" s="62">
        <v>4</v>
      </c>
      <c r="C305" s="8" t="s">
        <v>16</v>
      </c>
      <c r="D305" s="8" t="s">
        <v>5</v>
      </c>
      <c r="E305" s="8" t="s">
        <v>367</v>
      </c>
      <c r="F305" s="8" t="s">
        <v>84</v>
      </c>
      <c r="G305" s="8" t="s">
        <v>19</v>
      </c>
      <c r="H305" s="8" t="s">
        <v>48</v>
      </c>
      <c r="I305" s="9">
        <v>3</v>
      </c>
      <c r="J305" s="10">
        <v>1</v>
      </c>
      <c r="K305" s="10" t="s">
        <v>44</v>
      </c>
      <c r="L305" s="10" t="s">
        <v>401</v>
      </c>
      <c r="M305" s="10" t="s">
        <v>399</v>
      </c>
      <c r="N305" s="10" t="s">
        <v>404</v>
      </c>
      <c r="O305" s="10" t="s">
        <v>403</v>
      </c>
      <c r="P305" s="10" t="s">
        <v>402</v>
      </c>
    </row>
    <row r="306" spans="1:16" x14ac:dyDescent="0.35">
      <c r="A306" s="1">
        <v>46211</v>
      </c>
      <c r="B306" s="62">
        <v>4</v>
      </c>
      <c r="C306" s="10" t="s">
        <v>44</v>
      </c>
      <c r="D306" s="10" t="s">
        <v>401</v>
      </c>
      <c r="E306" s="10" t="s">
        <v>399</v>
      </c>
      <c r="F306" s="10" t="s">
        <v>404</v>
      </c>
      <c r="G306" s="10" t="s">
        <v>403</v>
      </c>
      <c r="H306" s="10" t="s">
        <v>402</v>
      </c>
      <c r="I306" s="11">
        <v>4</v>
      </c>
      <c r="J306" s="2">
        <v>2</v>
      </c>
      <c r="K306" s="2" t="s">
        <v>1</v>
      </c>
      <c r="L306" s="2" t="s">
        <v>56</v>
      </c>
      <c r="M306" s="2" t="s">
        <v>22</v>
      </c>
      <c r="N306" s="61" t="s">
        <v>12</v>
      </c>
      <c r="O306" s="61" t="s">
        <v>376</v>
      </c>
      <c r="P306" s="2" t="s">
        <v>398</v>
      </c>
    </row>
    <row r="307" spans="1:16" x14ac:dyDescent="0.35">
      <c r="A307" s="1">
        <v>46211</v>
      </c>
      <c r="B307" s="62">
        <v>5</v>
      </c>
      <c r="C307" s="2" t="s">
        <v>1</v>
      </c>
      <c r="D307" s="2" t="s">
        <v>56</v>
      </c>
      <c r="E307" s="2" t="s">
        <v>22</v>
      </c>
      <c r="F307" s="61" t="s">
        <v>12</v>
      </c>
      <c r="G307" s="61" t="s">
        <v>376</v>
      </c>
      <c r="H307" s="2" t="s">
        <v>398</v>
      </c>
      <c r="I307" s="5">
        <v>5</v>
      </c>
      <c r="J307" s="8">
        <v>5</v>
      </c>
      <c r="K307" s="8" t="s">
        <v>16</v>
      </c>
      <c r="L307" s="8" t="s">
        <v>5</v>
      </c>
      <c r="M307" s="8" t="s">
        <v>367</v>
      </c>
      <c r="N307" s="8" t="s">
        <v>84</v>
      </c>
      <c r="O307" s="8" t="s">
        <v>19</v>
      </c>
      <c r="P307" s="8" t="s">
        <v>48</v>
      </c>
    </row>
    <row r="308" spans="1:16" x14ac:dyDescent="0.35">
      <c r="A308" s="1">
        <v>46218</v>
      </c>
      <c r="B308" s="62">
        <v>5</v>
      </c>
      <c r="C308" s="8" t="s">
        <v>10</v>
      </c>
      <c r="D308" s="8" t="s">
        <v>19</v>
      </c>
      <c r="E308" s="8" t="s">
        <v>2</v>
      </c>
      <c r="F308" s="8" t="s">
        <v>16</v>
      </c>
      <c r="G308" s="8" t="s">
        <v>343</v>
      </c>
      <c r="H308" s="8" t="s">
        <v>398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56</v>
      </c>
      <c r="N308" s="10" t="s">
        <v>11</v>
      </c>
      <c r="O308" s="10" t="s">
        <v>399</v>
      </c>
      <c r="P308" s="10" t="s">
        <v>405</v>
      </c>
    </row>
    <row r="309" spans="1:16" x14ac:dyDescent="0.35">
      <c r="A309" s="1">
        <v>46218</v>
      </c>
      <c r="B309" s="62">
        <v>6</v>
      </c>
      <c r="C309" s="10" t="s">
        <v>1</v>
      </c>
      <c r="D309" s="10" t="s">
        <v>9</v>
      </c>
      <c r="E309" s="10" t="s">
        <v>56</v>
      </c>
      <c r="F309" s="10" t="s">
        <v>11</v>
      </c>
      <c r="G309" s="10" t="s">
        <v>399</v>
      </c>
      <c r="H309" s="10" t="s">
        <v>405</v>
      </c>
      <c r="I309" s="11">
        <v>9</v>
      </c>
      <c r="J309" s="2">
        <v>4</v>
      </c>
      <c r="K309" s="2" t="s">
        <v>5</v>
      </c>
      <c r="L309" s="2" t="s">
        <v>44</v>
      </c>
      <c r="M309" s="2" t="s">
        <v>20</v>
      </c>
      <c r="N309" s="61" t="s">
        <v>66</v>
      </c>
      <c r="O309" s="61" t="s">
        <v>401</v>
      </c>
      <c r="P309" s="2" t="s">
        <v>376</v>
      </c>
    </row>
    <row r="310" spans="1:16" x14ac:dyDescent="0.35">
      <c r="A310" s="1">
        <v>46218</v>
      </c>
      <c r="B310" s="62">
        <v>3</v>
      </c>
      <c r="C310" s="2" t="s">
        <v>5</v>
      </c>
      <c r="D310" s="2" t="s">
        <v>44</v>
      </c>
      <c r="E310" s="2" t="s">
        <v>20</v>
      </c>
      <c r="F310" s="61" t="s">
        <v>66</v>
      </c>
      <c r="G310" s="61" t="s">
        <v>401</v>
      </c>
      <c r="H310" s="2" t="s">
        <v>376</v>
      </c>
      <c r="I310" s="5">
        <v>6</v>
      </c>
      <c r="J310" s="8">
        <v>0</v>
      </c>
      <c r="K310" s="8" t="s">
        <v>10</v>
      </c>
      <c r="L310" s="8" t="s">
        <v>19</v>
      </c>
      <c r="M310" s="8" t="s">
        <v>2</v>
      </c>
      <c r="N310" s="8" t="s">
        <v>16</v>
      </c>
      <c r="O310" s="8" t="s">
        <v>343</v>
      </c>
      <c r="P310" s="8" t="s">
        <v>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J95"/>
  <sheetViews>
    <sheetView tabSelected="1" zoomScaleNormal="100" workbookViewId="0">
      <pane xSplit="1" topLeftCell="BW1" activePane="topRight" state="frozen"/>
      <selection pane="topRight" activeCell="CG33" sqref="CG33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8" width="10.453125" bestFit="1" customWidth="1"/>
  </cols>
  <sheetData>
    <row r="1" spans="1:8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</row>
    <row r="2" spans="1:8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88" x14ac:dyDescent="0.35">
      <c r="A3" t="s">
        <v>24</v>
      </c>
      <c r="BO3">
        <v>2</v>
      </c>
    </row>
    <row r="4" spans="1:8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8" x14ac:dyDescent="0.35">
      <c r="A5" t="s">
        <v>399</v>
      </c>
      <c r="CF5">
        <v>4</v>
      </c>
      <c r="CG5">
        <v>4</v>
      </c>
      <c r="CI5">
        <v>1</v>
      </c>
      <c r="CJ5">
        <v>6</v>
      </c>
    </row>
    <row r="6" spans="1:88" hidden="1" x14ac:dyDescent="0.35">
      <c r="A6" t="s">
        <v>365</v>
      </c>
    </row>
    <row r="7" spans="1:88" x14ac:dyDescent="0.35">
      <c r="A7" t="s">
        <v>77</v>
      </c>
      <c r="G7">
        <v>3</v>
      </c>
    </row>
    <row r="8" spans="1:88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8" x14ac:dyDescent="0.35">
      <c r="A9" t="s">
        <v>401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</row>
    <row r="10" spans="1:88" x14ac:dyDescent="0.35">
      <c r="A10" t="s">
        <v>7</v>
      </c>
      <c r="K10">
        <v>1</v>
      </c>
    </row>
    <row r="11" spans="1:88" x14ac:dyDescent="0.35">
      <c r="A11" t="s">
        <v>353</v>
      </c>
      <c r="G11">
        <v>1</v>
      </c>
    </row>
    <row r="12" spans="1:88" hidden="1" x14ac:dyDescent="0.35">
      <c r="A12" t="s">
        <v>347</v>
      </c>
    </row>
    <row r="13" spans="1:88" x14ac:dyDescent="0.35">
      <c r="A13" t="s">
        <v>48</v>
      </c>
    </row>
    <row r="14" spans="1:88" x14ac:dyDescent="0.35">
      <c r="A14" t="s">
        <v>395</v>
      </c>
      <c r="BX14">
        <v>2</v>
      </c>
    </row>
    <row r="15" spans="1:88" x14ac:dyDescent="0.35">
      <c r="A15" t="s">
        <v>398</v>
      </c>
      <c r="BW15">
        <v>1</v>
      </c>
      <c r="CC15">
        <v>3</v>
      </c>
      <c r="CD15">
        <v>1</v>
      </c>
      <c r="CI15">
        <v>2</v>
      </c>
    </row>
    <row r="16" spans="1:88" x14ac:dyDescent="0.35">
      <c r="A16" t="s">
        <v>382</v>
      </c>
    </row>
    <row r="17" spans="1:87" x14ac:dyDescent="0.35">
      <c r="A17" t="s">
        <v>362</v>
      </c>
      <c r="BK17">
        <v>1</v>
      </c>
    </row>
    <row r="18" spans="1:87" hidden="1" x14ac:dyDescent="0.35">
      <c r="A18" t="s">
        <v>18</v>
      </c>
    </row>
    <row r="19" spans="1:87" x14ac:dyDescent="0.35">
      <c r="A19" t="s">
        <v>25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87" x14ac:dyDescent="0.35">
      <c r="A20" t="s">
        <v>14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87" x14ac:dyDescent="0.35">
      <c r="A21" t="s">
        <v>378</v>
      </c>
      <c r="BL21">
        <v>1</v>
      </c>
      <c r="BR21">
        <v>1</v>
      </c>
      <c r="BX21">
        <v>2</v>
      </c>
    </row>
    <row r="22" spans="1:87" x14ac:dyDescent="0.35">
      <c r="A22" t="s">
        <v>54</v>
      </c>
      <c r="C22">
        <v>2</v>
      </c>
      <c r="D22">
        <v>3</v>
      </c>
      <c r="V22">
        <v>2</v>
      </c>
      <c r="CF22">
        <v>1</v>
      </c>
    </row>
    <row r="23" spans="1:87" x14ac:dyDescent="0.35">
      <c r="A23" t="s">
        <v>66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</row>
    <row r="24" spans="1:87" x14ac:dyDescent="0.35">
      <c r="A24" t="s">
        <v>84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</row>
    <row r="25" spans="1:87" x14ac:dyDescent="0.35">
      <c r="A25" t="s">
        <v>391</v>
      </c>
      <c r="BP25">
        <v>2</v>
      </c>
    </row>
    <row r="26" spans="1:87" x14ac:dyDescent="0.35">
      <c r="A26" t="s">
        <v>15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</row>
    <row r="27" spans="1:87" x14ac:dyDescent="0.35">
      <c r="A27" t="s">
        <v>375</v>
      </c>
      <c r="AW27">
        <v>1</v>
      </c>
    </row>
    <row r="28" spans="1:87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87" x14ac:dyDescent="0.35">
      <c r="A29" t="s">
        <v>342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87" x14ac:dyDescent="0.35">
      <c r="A30" t="s">
        <v>404</v>
      </c>
    </row>
    <row r="31" spans="1:87" x14ac:dyDescent="0.35">
      <c r="A31" t="s">
        <v>52</v>
      </c>
      <c r="CC31">
        <v>1</v>
      </c>
    </row>
    <row r="32" spans="1:87" x14ac:dyDescent="0.35">
      <c r="A32" t="s">
        <v>388</v>
      </c>
    </row>
    <row r="33" spans="1:88" x14ac:dyDescent="0.35">
      <c r="A33" t="s">
        <v>397</v>
      </c>
      <c r="CC33">
        <v>1</v>
      </c>
    </row>
    <row r="34" spans="1:88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88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88" x14ac:dyDescent="0.35">
      <c r="A36" t="s">
        <v>361</v>
      </c>
      <c r="AD36">
        <v>2</v>
      </c>
      <c r="AM36">
        <v>1</v>
      </c>
      <c r="AU36">
        <v>1</v>
      </c>
      <c r="BF36">
        <v>3</v>
      </c>
    </row>
    <row r="37" spans="1:88" x14ac:dyDescent="0.35">
      <c r="A37" t="s">
        <v>389</v>
      </c>
      <c r="BO37">
        <v>3</v>
      </c>
    </row>
    <row r="38" spans="1:88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</row>
    <row r="39" spans="1:88" hidden="1" x14ac:dyDescent="0.35">
      <c r="A39" t="s">
        <v>351</v>
      </c>
      <c r="Z39">
        <v>1</v>
      </c>
    </row>
    <row r="40" spans="1:88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</row>
    <row r="41" spans="1:88" x14ac:dyDescent="0.35">
      <c r="A41" t="s">
        <v>392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88" x14ac:dyDescent="0.35">
      <c r="A42" t="s">
        <v>381</v>
      </c>
      <c r="BG42">
        <v>2</v>
      </c>
    </row>
    <row r="43" spans="1:88" x14ac:dyDescent="0.35">
      <c r="A43" t="s">
        <v>20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88" x14ac:dyDescent="0.35">
      <c r="A44" t="s">
        <v>394</v>
      </c>
    </row>
    <row r="45" spans="1:88" x14ac:dyDescent="0.35">
      <c r="A45" t="s">
        <v>80</v>
      </c>
      <c r="F45">
        <v>1</v>
      </c>
    </row>
    <row r="46" spans="1:88" hidden="1" x14ac:dyDescent="0.35">
      <c r="A46" t="s">
        <v>61</v>
      </c>
      <c r="D46">
        <v>1</v>
      </c>
    </row>
    <row r="47" spans="1:88" x14ac:dyDescent="0.35">
      <c r="A47" t="s">
        <v>374</v>
      </c>
      <c r="AW47">
        <v>2</v>
      </c>
    </row>
    <row r="48" spans="1:88" x14ac:dyDescent="0.35">
      <c r="A48" t="s">
        <v>19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</row>
    <row r="49" spans="1:88" x14ac:dyDescent="0.35">
      <c r="A49" t="s">
        <v>43</v>
      </c>
      <c r="AQ49">
        <v>2</v>
      </c>
    </row>
    <row r="50" spans="1:88" x14ac:dyDescent="0.35">
      <c r="A50" t="s">
        <v>68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88" x14ac:dyDescent="0.35">
      <c r="A51" t="s">
        <v>53</v>
      </c>
      <c r="N51">
        <v>1</v>
      </c>
      <c r="BZ51">
        <v>2</v>
      </c>
    </row>
    <row r="52" spans="1:88" x14ac:dyDescent="0.35">
      <c r="A52" t="s">
        <v>368</v>
      </c>
      <c r="AM52">
        <v>5</v>
      </c>
      <c r="BB52">
        <v>9</v>
      </c>
      <c r="BN52">
        <v>2</v>
      </c>
    </row>
    <row r="53" spans="1:88" x14ac:dyDescent="0.35">
      <c r="A53" t="s">
        <v>345</v>
      </c>
      <c r="U53">
        <v>1</v>
      </c>
      <c r="BR53">
        <v>1</v>
      </c>
      <c r="BS53">
        <v>1</v>
      </c>
      <c r="BT53">
        <v>1</v>
      </c>
    </row>
    <row r="54" spans="1:88" x14ac:dyDescent="0.35">
      <c r="A54" t="s">
        <v>343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88" x14ac:dyDescent="0.35">
      <c r="A55" t="s">
        <v>344</v>
      </c>
      <c r="X55">
        <v>1</v>
      </c>
      <c r="Y55">
        <v>2</v>
      </c>
      <c r="AF55">
        <v>2</v>
      </c>
    </row>
    <row r="56" spans="1:88" x14ac:dyDescent="0.35">
      <c r="A56" t="s">
        <v>396</v>
      </c>
      <c r="CB56">
        <v>5</v>
      </c>
      <c r="CH56">
        <v>5</v>
      </c>
    </row>
    <row r="57" spans="1:88" x14ac:dyDescent="0.35">
      <c r="A57" t="s">
        <v>10</v>
      </c>
      <c r="B57">
        <v>2</v>
      </c>
      <c r="C57">
        <v>3</v>
      </c>
      <c r="F57">
        <v>2</v>
      </c>
      <c r="I57">
        <v>2</v>
      </c>
      <c r="J57">
        <v>2</v>
      </c>
      <c r="K57">
        <v>1</v>
      </c>
      <c r="L57">
        <v>1</v>
      </c>
      <c r="M57">
        <v>1</v>
      </c>
      <c r="O57">
        <v>2</v>
      </c>
      <c r="R57">
        <v>3</v>
      </c>
      <c r="S57">
        <v>1</v>
      </c>
      <c r="T57">
        <v>1</v>
      </c>
      <c r="V57">
        <v>1</v>
      </c>
      <c r="W57">
        <v>3</v>
      </c>
      <c r="X57">
        <v>1</v>
      </c>
      <c r="Y57">
        <v>1</v>
      </c>
      <c r="Z57">
        <v>1.5</v>
      </c>
      <c r="AC57">
        <v>1</v>
      </c>
      <c r="AD57">
        <v>2</v>
      </c>
      <c r="AE57">
        <v>1</v>
      </c>
      <c r="AF57">
        <v>2</v>
      </c>
      <c r="AH57">
        <v>2</v>
      </c>
      <c r="AL57">
        <v>3</v>
      </c>
      <c r="AP57">
        <v>2</v>
      </c>
      <c r="AQ57">
        <v>4</v>
      </c>
      <c r="AR57">
        <v>3</v>
      </c>
      <c r="AS57">
        <v>0.5</v>
      </c>
      <c r="AU57">
        <v>2</v>
      </c>
      <c r="AV57">
        <v>1</v>
      </c>
      <c r="BC57">
        <v>1</v>
      </c>
      <c r="BD57">
        <v>1</v>
      </c>
      <c r="BE57">
        <v>7</v>
      </c>
      <c r="BH57">
        <v>1</v>
      </c>
      <c r="BI57">
        <v>1</v>
      </c>
      <c r="BJ57">
        <v>3</v>
      </c>
      <c r="BK57">
        <v>3</v>
      </c>
      <c r="BL57">
        <v>1</v>
      </c>
      <c r="BM57">
        <v>1</v>
      </c>
      <c r="BN57">
        <v>4</v>
      </c>
      <c r="BP57">
        <v>1</v>
      </c>
      <c r="BQ57">
        <v>3</v>
      </c>
      <c r="BR57">
        <v>1</v>
      </c>
      <c r="BT57">
        <v>1</v>
      </c>
      <c r="BV57">
        <v>1</v>
      </c>
      <c r="BW57">
        <v>2</v>
      </c>
      <c r="BX57">
        <v>2</v>
      </c>
      <c r="BZ57">
        <v>2</v>
      </c>
      <c r="CC57">
        <v>4</v>
      </c>
      <c r="CD57">
        <v>1</v>
      </c>
      <c r="CJ57">
        <v>1</v>
      </c>
    </row>
    <row r="58" spans="1:88" x14ac:dyDescent="0.35">
      <c r="A58" t="s">
        <v>46</v>
      </c>
      <c r="B58">
        <v>1</v>
      </c>
      <c r="O58">
        <v>3</v>
      </c>
      <c r="P58">
        <v>1</v>
      </c>
      <c r="Q58">
        <v>2</v>
      </c>
      <c r="AM58">
        <v>1</v>
      </c>
      <c r="AN58">
        <v>1</v>
      </c>
      <c r="AP58">
        <v>1</v>
      </c>
      <c r="AS58">
        <v>1</v>
      </c>
      <c r="AV58">
        <v>1</v>
      </c>
      <c r="AX58">
        <v>5</v>
      </c>
      <c r="AY58">
        <v>1</v>
      </c>
      <c r="BA58">
        <v>2</v>
      </c>
      <c r="BB58">
        <v>4</v>
      </c>
      <c r="BE58">
        <v>3</v>
      </c>
      <c r="BF58">
        <v>2</v>
      </c>
      <c r="BH58">
        <v>3</v>
      </c>
      <c r="BK58">
        <v>1</v>
      </c>
      <c r="BT58">
        <v>3</v>
      </c>
      <c r="BZ58">
        <v>1</v>
      </c>
      <c r="CB58">
        <v>2</v>
      </c>
      <c r="CC58">
        <v>1</v>
      </c>
      <c r="CD58">
        <v>1</v>
      </c>
      <c r="CF58">
        <v>1</v>
      </c>
    </row>
    <row r="59" spans="1:88" x14ac:dyDescent="0.35">
      <c r="A59" t="s">
        <v>402</v>
      </c>
    </row>
    <row r="60" spans="1:88" x14ac:dyDescent="0.35">
      <c r="A60" t="s">
        <v>377</v>
      </c>
    </row>
    <row r="61" spans="1:88" x14ac:dyDescent="0.35">
      <c r="A61" t="s">
        <v>3</v>
      </c>
      <c r="F61">
        <v>3</v>
      </c>
      <c r="L61">
        <v>1</v>
      </c>
      <c r="S61">
        <v>3</v>
      </c>
      <c r="AH61">
        <v>1</v>
      </c>
    </row>
    <row r="62" spans="1:88" hidden="1" x14ac:dyDescent="0.35">
      <c r="A62" t="s">
        <v>350</v>
      </c>
    </row>
    <row r="63" spans="1:88" x14ac:dyDescent="0.35">
      <c r="A63" t="s">
        <v>56</v>
      </c>
      <c r="C63">
        <v>3</v>
      </c>
      <c r="E63">
        <v>2</v>
      </c>
      <c r="F63">
        <v>1</v>
      </c>
      <c r="G63">
        <v>2</v>
      </c>
      <c r="I63">
        <v>1</v>
      </c>
      <c r="J63">
        <v>1</v>
      </c>
      <c r="K63">
        <v>1</v>
      </c>
      <c r="L63">
        <v>1</v>
      </c>
      <c r="M63">
        <v>1</v>
      </c>
      <c r="P63">
        <v>1</v>
      </c>
      <c r="R63">
        <v>1</v>
      </c>
      <c r="S63">
        <v>4</v>
      </c>
      <c r="T63">
        <v>1</v>
      </c>
      <c r="V63">
        <v>1</v>
      </c>
      <c r="W63">
        <v>2</v>
      </c>
      <c r="Z63">
        <v>2</v>
      </c>
      <c r="AA63">
        <v>1</v>
      </c>
      <c r="AB63">
        <v>4</v>
      </c>
      <c r="AC63">
        <v>1</v>
      </c>
      <c r="AD63">
        <v>1</v>
      </c>
      <c r="AX63">
        <v>1</v>
      </c>
      <c r="AY63">
        <v>1</v>
      </c>
      <c r="AZ63">
        <v>2</v>
      </c>
      <c r="BD63">
        <v>1</v>
      </c>
      <c r="BF63">
        <v>1</v>
      </c>
      <c r="BH63">
        <v>1</v>
      </c>
      <c r="BI63">
        <v>1</v>
      </c>
      <c r="BJ63">
        <v>2</v>
      </c>
      <c r="BK63">
        <v>1</v>
      </c>
      <c r="BL63">
        <v>2</v>
      </c>
      <c r="BM63">
        <v>2</v>
      </c>
      <c r="BN63">
        <v>2</v>
      </c>
      <c r="BO63">
        <v>1</v>
      </c>
      <c r="BP63">
        <v>1</v>
      </c>
      <c r="BR63">
        <v>1</v>
      </c>
      <c r="BS63">
        <v>2</v>
      </c>
      <c r="BU63">
        <v>2</v>
      </c>
      <c r="BV63">
        <v>1</v>
      </c>
      <c r="BX63">
        <v>1</v>
      </c>
      <c r="BY63">
        <v>2</v>
      </c>
      <c r="BZ63">
        <v>2</v>
      </c>
      <c r="CA63">
        <v>2</v>
      </c>
      <c r="CB63">
        <v>2</v>
      </c>
      <c r="CC63">
        <v>4</v>
      </c>
      <c r="CD63">
        <v>5</v>
      </c>
      <c r="CG63">
        <v>1</v>
      </c>
      <c r="CH63">
        <v>1</v>
      </c>
      <c r="CI63">
        <v>2</v>
      </c>
      <c r="CJ63">
        <v>5</v>
      </c>
    </row>
    <row r="64" spans="1:88" x14ac:dyDescent="0.35">
      <c r="A64" t="s">
        <v>369</v>
      </c>
      <c r="AN64">
        <v>3</v>
      </c>
    </row>
    <row r="65" spans="1:88" x14ac:dyDescent="0.35">
      <c r="A65" t="s">
        <v>387</v>
      </c>
      <c r="BN65">
        <v>3</v>
      </c>
      <c r="BO65">
        <v>2</v>
      </c>
      <c r="BQ65">
        <v>2</v>
      </c>
    </row>
    <row r="66" spans="1:88" x14ac:dyDescent="0.35">
      <c r="A66" t="s">
        <v>60</v>
      </c>
      <c r="B66">
        <v>2</v>
      </c>
      <c r="BF66">
        <v>1</v>
      </c>
      <c r="BT66">
        <v>2</v>
      </c>
    </row>
    <row r="67" spans="1:88" x14ac:dyDescent="0.35">
      <c r="A67" t="s">
        <v>340</v>
      </c>
      <c r="Q67">
        <v>1</v>
      </c>
      <c r="U67">
        <v>1</v>
      </c>
      <c r="W67">
        <v>1</v>
      </c>
      <c r="X67">
        <v>3</v>
      </c>
      <c r="Y67">
        <v>1</v>
      </c>
      <c r="Z67">
        <v>1</v>
      </c>
    </row>
    <row r="68" spans="1:88" x14ac:dyDescent="0.35">
      <c r="A68" t="s">
        <v>339</v>
      </c>
    </row>
    <row r="69" spans="1:88" x14ac:dyDescent="0.35">
      <c r="A69" t="s">
        <v>11</v>
      </c>
    </row>
    <row r="70" spans="1:88" x14ac:dyDescent="0.35">
      <c r="A70" t="s">
        <v>55</v>
      </c>
      <c r="B70">
        <v>2</v>
      </c>
      <c r="C70">
        <v>1</v>
      </c>
      <c r="D70">
        <v>1</v>
      </c>
      <c r="E70">
        <v>1</v>
      </c>
      <c r="F70">
        <v>3</v>
      </c>
      <c r="G70">
        <v>2</v>
      </c>
      <c r="H70">
        <v>3</v>
      </c>
      <c r="J70">
        <v>1</v>
      </c>
      <c r="K70">
        <v>1</v>
      </c>
      <c r="M70">
        <v>3</v>
      </c>
      <c r="N70">
        <v>4</v>
      </c>
      <c r="X70">
        <v>6</v>
      </c>
      <c r="Y70">
        <v>5</v>
      </c>
      <c r="Z70">
        <v>1</v>
      </c>
      <c r="AD70">
        <v>2</v>
      </c>
      <c r="AG70">
        <v>3</v>
      </c>
      <c r="AJ70">
        <v>2</v>
      </c>
      <c r="AM70">
        <v>2</v>
      </c>
      <c r="AO70">
        <v>3</v>
      </c>
      <c r="AQ70">
        <v>2</v>
      </c>
      <c r="AT70">
        <v>1</v>
      </c>
      <c r="AU70">
        <v>4</v>
      </c>
      <c r="AV70">
        <v>2</v>
      </c>
      <c r="AX70">
        <v>1</v>
      </c>
      <c r="AY70">
        <v>2</v>
      </c>
      <c r="AZ70">
        <v>1</v>
      </c>
      <c r="BA70">
        <v>4</v>
      </c>
      <c r="BB70">
        <v>2</v>
      </c>
      <c r="BH70">
        <v>1</v>
      </c>
      <c r="BR70">
        <v>2</v>
      </c>
    </row>
    <row r="71" spans="1:88" x14ac:dyDescent="0.35">
      <c r="A71" t="s">
        <v>21</v>
      </c>
    </row>
    <row r="72" spans="1:88" x14ac:dyDescent="0.35">
      <c r="A72" t="s">
        <v>81</v>
      </c>
      <c r="G72">
        <v>3</v>
      </c>
      <c r="K72">
        <v>1</v>
      </c>
      <c r="BG72">
        <v>2</v>
      </c>
      <c r="BN72">
        <v>4</v>
      </c>
      <c r="BP72">
        <v>1</v>
      </c>
      <c r="BR72">
        <v>2</v>
      </c>
      <c r="BS72">
        <v>3</v>
      </c>
      <c r="BU72">
        <v>3</v>
      </c>
      <c r="BV72">
        <v>2</v>
      </c>
      <c r="BW72">
        <v>2</v>
      </c>
      <c r="BX72">
        <v>2</v>
      </c>
      <c r="BY72">
        <v>2</v>
      </c>
    </row>
    <row r="73" spans="1:88" x14ac:dyDescent="0.35">
      <c r="A73" t="s">
        <v>63</v>
      </c>
      <c r="B73">
        <v>2</v>
      </c>
      <c r="D73">
        <v>1</v>
      </c>
      <c r="AF73">
        <v>2</v>
      </c>
      <c r="AQ73">
        <v>3</v>
      </c>
      <c r="BF73">
        <v>1</v>
      </c>
      <c r="BM73">
        <v>1</v>
      </c>
      <c r="BW73">
        <v>1</v>
      </c>
      <c r="CB73">
        <v>1</v>
      </c>
      <c r="CD73">
        <v>2</v>
      </c>
    </row>
    <row r="74" spans="1:88" x14ac:dyDescent="0.35">
      <c r="A74" t="s">
        <v>83</v>
      </c>
    </row>
    <row r="75" spans="1:88" x14ac:dyDescent="0.35">
      <c r="A75" t="s">
        <v>403</v>
      </c>
    </row>
    <row r="76" spans="1:88" x14ac:dyDescent="0.35">
      <c r="A76" t="s">
        <v>22</v>
      </c>
      <c r="Y76">
        <v>1</v>
      </c>
      <c r="AB76">
        <v>2</v>
      </c>
      <c r="AD76">
        <v>3</v>
      </c>
      <c r="AI76">
        <v>1</v>
      </c>
      <c r="AR76">
        <v>4</v>
      </c>
      <c r="AV76">
        <v>3</v>
      </c>
      <c r="BA76">
        <v>2</v>
      </c>
      <c r="BB76">
        <v>5</v>
      </c>
      <c r="BE76">
        <v>6</v>
      </c>
      <c r="BS76">
        <v>1</v>
      </c>
      <c r="BT76">
        <v>1</v>
      </c>
      <c r="BU76">
        <v>2</v>
      </c>
      <c r="BV76">
        <v>3</v>
      </c>
      <c r="BX76">
        <v>2</v>
      </c>
      <c r="CC76">
        <v>2</v>
      </c>
      <c r="CG76">
        <v>1</v>
      </c>
      <c r="CI76">
        <v>1</v>
      </c>
    </row>
    <row r="77" spans="1:88" x14ac:dyDescent="0.35">
      <c r="A77" t="s">
        <v>376</v>
      </c>
      <c r="AU77">
        <v>1</v>
      </c>
      <c r="AV77">
        <v>1</v>
      </c>
      <c r="AW77">
        <v>3</v>
      </c>
      <c r="AX77">
        <v>1</v>
      </c>
      <c r="AZ77">
        <v>1</v>
      </c>
      <c r="BC77">
        <v>2</v>
      </c>
      <c r="BX77">
        <v>1</v>
      </c>
    </row>
    <row r="78" spans="1:88" x14ac:dyDescent="0.35">
      <c r="A78" t="s">
        <v>44</v>
      </c>
      <c r="N78">
        <v>3</v>
      </c>
      <c r="S78">
        <v>2</v>
      </c>
      <c r="AG78">
        <v>2</v>
      </c>
      <c r="AI78">
        <v>1</v>
      </c>
      <c r="AP78">
        <v>2</v>
      </c>
      <c r="AQ78">
        <v>1</v>
      </c>
      <c r="AR78">
        <v>3</v>
      </c>
      <c r="AW78">
        <v>1</v>
      </c>
      <c r="BA78">
        <v>1</v>
      </c>
      <c r="BE78">
        <v>1</v>
      </c>
      <c r="BI78">
        <v>2</v>
      </c>
      <c r="BL78">
        <v>2</v>
      </c>
      <c r="BN78">
        <v>2</v>
      </c>
      <c r="BO78">
        <v>1</v>
      </c>
      <c r="BP78">
        <v>1</v>
      </c>
      <c r="BR78">
        <v>1</v>
      </c>
      <c r="CH78">
        <v>1</v>
      </c>
      <c r="CJ78">
        <v>1</v>
      </c>
    </row>
    <row r="79" spans="1:88" x14ac:dyDescent="0.35">
      <c r="A79" t="s">
        <v>379</v>
      </c>
      <c r="BF79">
        <v>1</v>
      </c>
      <c r="BG79">
        <v>1</v>
      </c>
    </row>
    <row r="80" spans="1:88" x14ac:dyDescent="0.35">
      <c r="A80" t="s">
        <v>8</v>
      </c>
      <c r="B80">
        <v>1</v>
      </c>
      <c r="H80">
        <v>1</v>
      </c>
      <c r="J80">
        <v>2</v>
      </c>
      <c r="Q80">
        <v>2</v>
      </c>
    </row>
    <row r="81" spans="1:88" hidden="1" x14ac:dyDescent="0.35">
      <c r="A81" t="s">
        <v>354</v>
      </c>
    </row>
    <row r="82" spans="1:88" x14ac:dyDescent="0.35">
      <c r="A82" t="s">
        <v>82</v>
      </c>
      <c r="B82">
        <v>2</v>
      </c>
      <c r="C82">
        <v>2</v>
      </c>
      <c r="D82">
        <v>1</v>
      </c>
      <c r="E82">
        <v>2</v>
      </c>
      <c r="F82">
        <v>1</v>
      </c>
      <c r="G82">
        <v>2</v>
      </c>
      <c r="H82">
        <v>2</v>
      </c>
      <c r="I82">
        <v>3</v>
      </c>
      <c r="J82">
        <v>4</v>
      </c>
      <c r="L82">
        <v>4</v>
      </c>
      <c r="M82">
        <v>1</v>
      </c>
      <c r="N82">
        <v>2</v>
      </c>
      <c r="O82">
        <v>1</v>
      </c>
      <c r="P82">
        <v>1</v>
      </c>
      <c r="Q82">
        <v>1</v>
      </c>
      <c r="R82">
        <v>3</v>
      </c>
      <c r="S82">
        <v>3</v>
      </c>
      <c r="U82">
        <v>3</v>
      </c>
      <c r="V82">
        <v>1</v>
      </c>
      <c r="W82">
        <v>3</v>
      </c>
      <c r="AC82">
        <v>1</v>
      </c>
      <c r="AF82">
        <v>1</v>
      </c>
      <c r="AH82">
        <v>2</v>
      </c>
      <c r="AI82">
        <v>3</v>
      </c>
      <c r="AJ82">
        <v>1</v>
      </c>
      <c r="AK82">
        <v>4</v>
      </c>
      <c r="AL82">
        <v>3</v>
      </c>
      <c r="AN82">
        <v>1</v>
      </c>
      <c r="AP82">
        <v>2</v>
      </c>
      <c r="AT82">
        <v>2</v>
      </c>
      <c r="AU82">
        <v>3</v>
      </c>
      <c r="AV82">
        <v>1</v>
      </c>
      <c r="AW82">
        <v>1</v>
      </c>
      <c r="AX82">
        <v>1</v>
      </c>
      <c r="AY82">
        <v>1</v>
      </c>
      <c r="AZ82">
        <v>2</v>
      </c>
      <c r="BC82">
        <v>2</v>
      </c>
      <c r="BD82">
        <v>1</v>
      </c>
      <c r="BF82">
        <v>2</v>
      </c>
      <c r="BH82">
        <v>3</v>
      </c>
      <c r="BI82">
        <v>1</v>
      </c>
      <c r="BJ82">
        <v>2</v>
      </c>
      <c r="BK82">
        <v>3</v>
      </c>
      <c r="BM82">
        <v>2</v>
      </c>
      <c r="BN82">
        <v>3</v>
      </c>
      <c r="BU82">
        <v>1</v>
      </c>
      <c r="BV82">
        <v>3</v>
      </c>
      <c r="BX82">
        <v>2</v>
      </c>
      <c r="BY82">
        <v>1</v>
      </c>
      <c r="BZ82">
        <v>1</v>
      </c>
      <c r="CA82">
        <v>1</v>
      </c>
      <c r="CB82">
        <v>1</v>
      </c>
      <c r="CD82">
        <v>3</v>
      </c>
      <c r="CG82">
        <v>1</v>
      </c>
      <c r="CH82">
        <v>2</v>
      </c>
    </row>
    <row r="83" spans="1:88" x14ac:dyDescent="0.35">
      <c r="A83" t="s">
        <v>49</v>
      </c>
      <c r="G83">
        <v>2</v>
      </c>
    </row>
    <row r="84" spans="1:88" x14ac:dyDescent="0.35">
      <c r="A84" t="s">
        <v>405</v>
      </c>
    </row>
    <row r="85" spans="1:88" x14ac:dyDescent="0.35">
      <c r="A85" t="s">
        <v>390</v>
      </c>
      <c r="BZ85">
        <v>5</v>
      </c>
      <c r="CA85">
        <v>2</v>
      </c>
      <c r="CB85">
        <v>1</v>
      </c>
      <c r="CJ85">
        <v>3</v>
      </c>
    </row>
    <row r="86" spans="1:88" x14ac:dyDescent="0.35">
      <c r="A86" t="s">
        <v>85</v>
      </c>
      <c r="K86">
        <v>4</v>
      </c>
      <c r="L86">
        <v>2</v>
      </c>
      <c r="M86">
        <v>5</v>
      </c>
    </row>
    <row r="87" spans="1:88" x14ac:dyDescent="0.35">
      <c r="A87" t="s">
        <v>5</v>
      </c>
      <c r="B87">
        <v>1</v>
      </c>
      <c r="C87">
        <v>2</v>
      </c>
      <c r="D87">
        <v>2</v>
      </c>
      <c r="E87">
        <v>3</v>
      </c>
      <c r="F87">
        <v>2</v>
      </c>
      <c r="G87">
        <v>3</v>
      </c>
      <c r="H87">
        <v>1</v>
      </c>
      <c r="M87">
        <v>4</v>
      </c>
      <c r="N87">
        <v>6</v>
      </c>
      <c r="P87">
        <v>2</v>
      </c>
      <c r="Q87">
        <v>1</v>
      </c>
      <c r="R87">
        <v>2</v>
      </c>
      <c r="S87">
        <v>3</v>
      </c>
      <c r="V87">
        <v>2</v>
      </c>
      <c r="W87">
        <v>1</v>
      </c>
      <c r="X87">
        <v>1</v>
      </c>
      <c r="Y87">
        <v>4</v>
      </c>
      <c r="Z87">
        <v>5</v>
      </c>
      <c r="AA87">
        <v>1</v>
      </c>
      <c r="AB87">
        <v>3</v>
      </c>
      <c r="AC87">
        <v>4</v>
      </c>
      <c r="AD87">
        <v>3</v>
      </c>
      <c r="AE87">
        <v>3</v>
      </c>
      <c r="AF87">
        <v>2</v>
      </c>
      <c r="AG87">
        <v>5</v>
      </c>
      <c r="AH87">
        <v>7</v>
      </c>
      <c r="AI87">
        <v>3</v>
      </c>
      <c r="AJ87">
        <v>1</v>
      </c>
      <c r="AK87">
        <v>1</v>
      </c>
      <c r="AL87">
        <v>6</v>
      </c>
      <c r="AR87">
        <v>3</v>
      </c>
      <c r="AS87">
        <v>2</v>
      </c>
      <c r="AV87">
        <v>2</v>
      </c>
      <c r="AW87">
        <v>1</v>
      </c>
      <c r="AX87">
        <v>4</v>
      </c>
      <c r="AY87">
        <v>3</v>
      </c>
      <c r="AZ87">
        <v>4</v>
      </c>
      <c r="BA87">
        <v>5</v>
      </c>
      <c r="BB87">
        <v>6</v>
      </c>
      <c r="BC87">
        <v>2</v>
      </c>
      <c r="BD87">
        <v>2</v>
      </c>
      <c r="BE87">
        <v>7</v>
      </c>
      <c r="BG87">
        <v>4</v>
      </c>
      <c r="BH87">
        <v>3</v>
      </c>
      <c r="BI87">
        <v>4</v>
      </c>
      <c r="BK87">
        <v>1</v>
      </c>
      <c r="BL87">
        <v>8</v>
      </c>
      <c r="BM87">
        <v>4</v>
      </c>
      <c r="BN87">
        <v>5</v>
      </c>
      <c r="BO87">
        <v>3</v>
      </c>
      <c r="BP87">
        <v>1</v>
      </c>
      <c r="BQ87">
        <v>1</v>
      </c>
      <c r="BR87">
        <v>3</v>
      </c>
      <c r="BS87">
        <v>1</v>
      </c>
      <c r="CF87">
        <v>4</v>
      </c>
      <c r="CG87">
        <v>4</v>
      </c>
      <c r="CH87">
        <v>6</v>
      </c>
      <c r="CI87">
        <v>2</v>
      </c>
      <c r="CJ87">
        <v>7</v>
      </c>
    </row>
    <row r="88" spans="1:88" x14ac:dyDescent="0.35">
      <c r="A88" t="s">
        <v>45</v>
      </c>
      <c r="K88">
        <v>1</v>
      </c>
      <c r="BJ88">
        <v>1</v>
      </c>
    </row>
    <row r="89" spans="1:88" x14ac:dyDescent="0.35">
      <c r="A89" t="s">
        <v>367</v>
      </c>
      <c r="B89">
        <v>1</v>
      </c>
      <c r="D89">
        <v>1</v>
      </c>
      <c r="E89">
        <v>3</v>
      </c>
      <c r="O89">
        <v>2</v>
      </c>
      <c r="P89">
        <v>2</v>
      </c>
      <c r="Q89">
        <v>1</v>
      </c>
      <c r="R89">
        <v>1</v>
      </c>
      <c r="AD89">
        <v>1</v>
      </c>
      <c r="AE89">
        <v>1</v>
      </c>
      <c r="AG89">
        <v>1</v>
      </c>
      <c r="AH89">
        <v>2</v>
      </c>
      <c r="AL89">
        <v>3</v>
      </c>
      <c r="AM89">
        <v>2</v>
      </c>
      <c r="AN89">
        <v>1</v>
      </c>
      <c r="AO89">
        <v>1</v>
      </c>
      <c r="AR89">
        <v>1</v>
      </c>
      <c r="AS89">
        <v>1</v>
      </c>
      <c r="AT89">
        <v>1</v>
      </c>
      <c r="AV89">
        <v>1</v>
      </c>
      <c r="AW89">
        <v>2</v>
      </c>
      <c r="BD89">
        <v>1</v>
      </c>
      <c r="BF89">
        <v>1</v>
      </c>
      <c r="BI89">
        <v>1</v>
      </c>
      <c r="BU89">
        <v>2</v>
      </c>
      <c r="BW89">
        <v>2</v>
      </c>
      <c r="CB89">
        <v>1</v>
      </c>
    </row>
    <row r="90" spans="1:88" hidden="1" x14ac:dyDescent="0.35">
      <c r="A90" t="s">
        <v>352</v>
      </c>
      <c r="Z90">
        <v>1</v>
      </c>
    </row>
    <row r="91" spans="1:88" hidden="1" x14ac:dyDescent="0.35">
      <c r="A91" t="s">
        <v>366</v>
      </c>
    </row>
    <row r="92" spans="1:88" x14ac:dyDescent="0.35">
      <c r="A92" t="s">
        <v>17</v>
      </c>
      <c r="F92">
        <v>2</v>
      </c>
      <c r="J92">
        <v>1</v>
      </c>
      <c r="K92">
        <v>1</v>
      </c>
    </row>
    <row r="93" spans="1:88" hidden="1" x14ac:dyDescent="0.35">
      <c r="A93" t="s">
        <v>86</v>
      </c>
      <c r="K93">
        <v>5</v>
      </c>
    </row>
    <row r="94" spans="1:88" x14ac:dyDescent="0.35">
      <c r="A94" t="s">
        <v>16</v>
      </c>
      <c r="C94">
        <v>4</v>
      </c>
      <c r="D94">
        <v>3</v>
      </c>
      <c r="F94">
        <v>2</v>
      </c>
      <c r="G94">
        <v>5</v>
      </c>
      <c r="H94">
        <v>3</v>
      </c>
      <c r="I94">
        <v>2</v>
      </c>
      <c r="J94">
        <v>5</v>
      </c>
      <c r="K94">
        <v>3</v>
      </c>
      <c r="L94">
        <v>2</v>
      </c>
      <c r="M94">
        <v>3</v>
      </c>
      <c r="O94">
        <v>5</v>
      </c>
      <c r="P94">
        <v>5</v>
      </c>
      <c r="Q94">
        <v>3</v>
      </c>
      <c r="R94">
        <v>2</v>
      </c>
      <c r="S94">
        <v>3</v>
      </c>
      <c r="T94">
        <v>1</v>
      </c>
      <c r="U94">
        <v>1</v>
      </c>
      <c r="V94">
        <v>3</v>
      </c>
      <c r="W94">
        <v>3</v>
      </c>
      <c r="X94">
        <v>5</v>
      </c>
      <c r="Y94">
        <v>4</v>
      </c>
      <c r="Z94">
        <v>1</v>
      </c>
      <c r="AA94">
        <v>3</v>
      </c>
      <c r="AC94">
        <v>1</v>
      </c>
      <c r="AE94">
        <v>4</v>
      </c>
      <c r="AF94">
        <v>2</v>
      </c>
      <c r="AG94">
        <v>3</v>
      </c>
      <c r="AH94">
        <v>2</v>
      </c>
      <c r="AI94">
        <v>2</v>
      </c>
      <c r="AJ94">
        <v>7</v>
      </c>
      <c r="AK94">
        <v>3</v>
      </c>
      <c r="AL94">
        <v>5</v>
      </c>
      <c r="AM94">
        <v>1</v>
      </c>
      <c r="AN94">
        <v>4</v>
      </c>
      <c r="AO94">
        <v>3</v>
      </c>
      <c r="AP94">
        <v>6</v>
      </c>
      <c r="AQ94">
        <v>4</v>
      </c>
      <c r="AR94">
        <v>5</v>
      </c>
      <c r="AS94">
        <v>3</v>
      </c>
      <c r="AT94">
        <v>2</v>
      </c>
      <c r="AU94">
        <v>2</v>
      </c>
      <c r="AW94">
        <v>3</v>
      </c>
      <c r="AY94">
        <v>1</v>
      </c>
      <c r="AZ94">
        <v>3</v>
      </c>
      <c r="BB94">
        <v>4</v>
      </c>
      <c r="BC94">
        <v>4</v>
      </c>
      <c r="BD94">
        <v>3</v>
      </c>
      <c r="BF94">
        <v>2</v>
      </c>
      <c r="BG94">
        <v>4</v>
      </c>
      <c r="BH94">
        <v>5</v>
      </c>
      <c r="BJ94">
        <v>4</v>
      </c>
      <c r="BK94">
        <v>2</v>
      </c>
      <c r="BL94">
        <v>4</v>
      </c>
      <c r="BM94">
        <v>1</v>
      </c>
      <c r="BN94">
        <v>2</v>
      </c>
      <c r="BO94">
        <v>3</v>
      </c>
      <c r="BS94">
        <v>3</v>
      </c>
      <c r="BT94">
        <v>4</v>
      </c>
      <c r="BU94">
        <v>4</v>
      </c>
      <c r="BV94">
        <v>3</v>
      </c>
      <c r="BX94">
        <v>5</v>
      </c>
      <c r="BY94">
        <v>2</v>
      </c>
      <c r="BZ94">
        <v>3</v>
      </c>
      <c r="CA94">
        <v>1</v>
      </c>
      <c r="CG94">
        <v>3</v>
      </c>
      <c r="CH94">
        <v>6</v>
      </c>
      <c r="CI94">
        <v>3</v>
      </c>
      <c r="CJ94">
        <v>3</v>
      </c>
    </row>
    <row r="95" spans="1:88" hidden="1" x14ac:dyDescent="0.35">
      <c r="A95" t="s">
        <v>47</v>
      </c>
    </row>
  </sheetData>
  <autoFilter ref="A1:AB95" xr:uid="{130C2564-D265-4C41-A3E0-02A62EDAC91D}">
    <sortState ref="A2:AB95">
      <sortCondition ref="A1:A95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2026-07-16T14:16:50Z</dcterms:modified>
</cp:coreProperties>
</file>