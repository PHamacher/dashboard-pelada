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0" documentId="13_ncr:1_{7693C63B-FAB0-481D-91F3-4A00E592738F}" xr6:coauthVersionLast="36" xr6:coauthVersionMax="36" xr10:uidLastSave="{00000000-0000-0000-0000-000000000000}"/>
  <bookViews>
    <workbookView xWindow="0" yWindow="0" windowWidth="13800" windowHeight="3780" activeTab="2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artilharia!$A$1:$AB$77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notas!$CA$1:$CE$77</definedName>
  </definedNames>
  <calcPr calcId="191029"/>
</workbook>
</file>

<file path=xl/calcChain.xml><?xml version="1.0" encoding="utf-8"?>
<calcChain xmlns="http://schemas.openxmlformats.org/spreadsheetml/2006/main">
  <c r="S81" i="4" l="1"/>
  <c r="CF77" i="1"/>
  <c r="CF76" i="1"/>
  <c r="CF49" i="1"/>
  <c r="CF45" i="1"/>
  <c r="CF42" i="1"/>
  <c r="CF33" i="1"/>
  <c r="CF29" i="1"/>
  <c r="CF28" i="1"/>
  <c r="CF26" i="1"/>
  <c r="CF21" i="1"/>
  <c r="R81" i="4"/>
  <c r="Q81" i="4"/>
  <c r="CE3" i="1"/>
  <c r="CE4" i="1"/>
  <c r="CE5" i="1"/>
  <c r="CE6" i="1"/>
  <c r="CE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E37" i="1"/>
  <c r="CE38" i="1"/>
  <c r="CE39" i="1"/>
  <c r="CE40" i="1"/>
  <c r="CE41" i="1"/>
  <c r="CE42" i="1"/>
  <c r="CE43" i="1"/>
  <c r="CE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8" i="1"/>
  <c r="CE59" i="1"/>
  <c r="CE60" i="1"/>
  <c r="CE61" i="1"/>
  <c r="CE62" i="1"/>
  <c r="CE63" i="1"/>
  <c r="CE64" i="1"/>
  <c r="CE65" i="1"/>
  <c r="CE66" i="1"/>
  <c r="CE67" i="1"/>
  <c r="CE68" i="1"/>
  <c r="CE69" i="1"/>
  <c r="CE70" i="1"/>
  <c r="CE71" i="1"/>
  <c r="CE72" i="1"/>
  <c r="CE73" i="1"/>
  <c r="CE74" i="1"/>
  <c r="CE75" i="1"/>
  <c r="CE76" i="1"/>
  <c r="CE77" i="1"/>
  <c r="CE2" i="1"/>
  <c r="S80" i="4"/>
  <c r="S82" i="4" s="1"/>
  <c r="CA76" i="1"/>
  <c r="CC76" i="1" s="1"/>
  <c r="CB76" i="1"/>
  <c r="CA77" i="1"/>
  <c r="CC77" i="1" s="1"/>
  <c r="CB77" i="1"/>
  <c r="P81" i="4" l="1"/>
  <c r="R80" i="4" l="1"/>
  <c r="R32" i="4"/>
  <c r="R73" i="4"/>
  <c r="R26" i="4"/>
  <c r="R54" i="4"/>
  <c r="R17" i="4"/>
  <c r="R82" i="4" l="1"/>
  <c r="CB3" i="1" l="1"/>
  <c r="CB20" i="1"/>
  <c r="CB4" i="1"/>
  <c r="CB5" i="1"/>
  <c r="CB6" i="1"/>
  <c r="CB7" i="1"/>
  <c r="CB8" i="1"/>
  <c r="CB22" i="1"/>
  <c r="CB9" i="1"/>
  <c r="CB10" i="1"/>
  <c r="CB11" i="1"/>
  <c r="CB18" i="1"/>
  <c r="CB12" i="1"/>
  <c r="CB13" i="1"/>
  <c r="CB21" i="1"/>
  <c r="CB19" i="1"/>
  <c r="CB14" i="1"/>
  <c r="CB15" i="1"/>
  <c r="CB16" i="1"/>
  <c r="CB17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2" i="1"/>
  <c r="CA3" i="1"/>
  <c r="CC3" i="1" s="1"/>
  <c r="CA20" i="1"/>
  <c r="CC20" i="1" s="1"/>
  <c r="CA4" i="1"/>
  <c r="CC4" i="1" s="1"/>
  <c r="CA5" i="1"/>
  <c r="CC5" i="1" s="1"/>
  <c r="CA6" i="1"/>
  <c r="CC6" i="1" s="1"/>
  <c r="CA7" i="1"/>
  <c r="CC7" i="1" s="1"/>
  <c r="CA8" i="1"/>
  <c r="CC8" i="1" s="1"/>
  <c r="CA22" i="1"/>
  <c r="CC22" i="1" s="1"/>
  <c r="CA9" i="1"/>
  <c r="CC9" i="1" s="1"/>
  <c r="CA10" i="1"/>
  <c r="CC10" i="1" s="1"/>
  <c r="CA11" i="1"/>
  <c r="CC11" i="1" s="1"/>
  <c r="CA18" i="1"/>
  <c r="CC18" i="1" s="1"/>
  <c r="CA12" i="1"/>
  <c r="CC12" i="1" s="1"/>
  <c r="CA13" i="1"/>
  <c r="CC13" i="1" s="1"/>
  <c r="CA21" i="1"/>
  <c r="CC21" i="1" s="1"/>
  <c r="CA19" i="1"/>
  <c r="CC19" i="1" s="1"/>
  <c r="CA14" i="1"/>
  <c r="CC14" i="1" s="1"/>
  <c r="CA15" i="1"/>
  <c r="CC15" i="1" s="1"/>
  <c r="CA16" i="1"/>
  <c r="CC16" i="1" s="1"/>
  <c r="CA17" i="1"/>
  <c r="CC17" i="1" s="1"/>
  <c r="CA23" i="1"/>
  <c r="CC23" i="1" s="1"/>
  <c r="CA24" i="1"/>
  <c r="CC24" i="1" s="1"/>
  <c r="CA25" i="1"/>
  <c r="CC25" i="1" s="1"/>
  <c r="CA26" i="1"/>
  <c r="CC26" i="1" s="1"/>
  <c r="CA27" i="1"/>
  <c r="CC27" i="1" s="1"/>
  <c r="CA28" i="1"/>
  <c r="CC28" i="1" s="1"/>
  <c r="CA29" i="1"/>
  <c r="CC29" i="1" s="1"/>
  <c r="CA30" i="1"/>
  <c r="CC30" i="1" s="1"/>
  <c r="CA31" i="1"/>
  <c r="CC31" i="1" s="1"/>
  <c r="CA32" i="1"/>
  <c r="CC32" i="1" s="1"/>
  <c r="CA33" i="1"/>
  <c r="CC33" i="1" s="1"/>
  <c r="CA34" i="1"/>
  <c r="CC34" i="1" s="1"/>
  <c r="CA35" i="1"/>
  <c r="CC35" i="1" s="1"/>
  <c r="CA36" i="1"/>
  <c r="CC36" i="1" s="1"/>
  <c r="CA37" i="1"/>
  <c r="CC37" i="1" s="1"/>
  <c r="CA38" i="1"/>
  <c r="CC38" i="1" s="1"/>
  <c r="CA39" i="1"/>
  <c r="CC39" i="1" s="1"/>
  <c r="CA40" i="1"/>
  <c r="CC40" i="1" s="1"/>
  <c r="CA41" i="1"/>
  <c r="CC41" i="1" s="1"/>
  <c r="CA42" i="1"/>
  <c r="CC42" i="1" s="1"/>
  <c r="CA43" i="1"/>
  <c r="CC43" i="1" s="1"/>
  <c r="CA44" i="1"/>
  <c r="CC44" i="1" s="1"/>
  <c r="CA45" i="1"/>
  <c r="CC45" i="1" s="1"/>
  <c r="CA46" i="1"/>
  <c r="CC46" i="1" s="1"/>
  <c r="CA47" i="1"/>
  <c r="CC47" i="1" s="1"/>
  <c r="CA48" i="1"/>
  <c r="CC48" i="1" s="1"/>
  <c r="CA49" i="1"/>
  <c r="CC49" i="1" s="1"/>
  <c r="CA50" i="1"/>
  <c r="CC50" i="1" s="1"/>
  <c r="CA51" i="1"/>
  <c r="CC51" i="1" s="1"/>
  <c r="CA52" i="1"/>
  <c r="CC52" i="1" s="1"/>
  <c r="CA53" i="1"/>
  <c r="CC53" i="1" s="1"/>
  <c r="CA54" i="1"/>
  <c r="CC54" i="1" s="1"/>
  <c r="CA55" i="1"/>
  <c r="CC55" i="1" s="1"/>
  <c r="CA56" i="1"/>
  <c r="CC56" i="1" s="1"/>
  <c r="CA57" i="1"/>
  <c r="CC57" i="1" s="1"/>
  <c r="CA58" i="1"/>
  <c r="CC58" i="1" s="1"/>
  <c r="CA59" i="1"/>
  <c r="CC59" i="1" s="1"/>
  <c r="CA60" i="1"/>
  <c r="CC60" i="1" s="1"/>
  <c r="CA61" i="1"/>
  <c r="CC61" i="1" s="1"/>
  <c r="CA62" i="1"/>
  <c r="CC62" i="1" s="1"/>
  <c r="CA63" i="1"/>
  <c r="CC63" i="1" s="1"/>
  <c r="CA64" i="1"/>
  <c r="CC64" i="1" s="1"/>
  <c r="CA65" i="1"/>
  <c r="CC65" i="1" s="1"/>
  <c r="CA66" i="1"/>
  <c r="CC66" i="1" s="1"/>
  <c r="CA67" i="1"/>
  <c r="CC67" i="1" s="1"/>
  <c r="CA68" i="1"/>
  <c r="CC68" i="1" s="1"/>
  <c r="CA69" i="1"/>
  <c r="CC69" i="1" s="1"/>
  <c r="CA70" i="1"/>
  <c r="CC70" i="1" s="1"/>
  <c r="CA71" i="1"/>
  <c r="CC71" i="1" s="1"/>
  <c r="CA72" i="1"/>
  <c r="CC72" i="1" s="1"/>
  <c r="CA73" i="1"/>
  <c r="CC73" i="1" s="1"/>
  <c r="CA74" i="1"/>
  <c r="CC74" i="1" s="1"/>
  <c r="CA75" i="1"/>
  <c r="CC75" i="1" s="1"/>
  <c r="CA2" i="1"/>
  <c r="CC2" i="1" l="1"/>
  <c r="Q82" i="4" l="1"/>
  <c r="Q80" i="4" l="1"/>
  <c r="O81" i="4" l="1"/>
  <c r="P43" i="4" l="1"/>
  <c r="P80" i="4" s="1"/>
  <c r="P82" i="4" s="1"/>
  <c r="N81" i="4" l="1"/>
  <c r="K81" i="4"/>
  <c r="O30" i="4" l="1"/>
  <c r="O60" i="4"/>
  <c r="O80" i="4"/>
  <c r="W6" i="4"/>
  <c r="O82" i="4" l="1"/>
  <c r="M81" i="4" l="1"/>
  <c r="L81" i="4" l="1"/>
  <c r="W7" i="4"/>
  <c r="W8" i="4" s="1"/>
  <c r="M80" i="4"/>
  <c r="N80" i="4"/>
  <c r="N82" i="4" l="1"/>
  <c r="M82" i="4" l="1"/>
  <c r="L80" i="4" l="1"/>
  <c r="L82" i="4" l="1"/>
  <c r="J81" i="4" l="1"/>
  <c r="I81" i="4"/>
  <c r="K54" i="4" l="1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0" i="4" s="1"/>
  <c r="K2" i="4"/>
  <c r="K82" i="4" l="1"/>
  <c r="J80" i="4" l="1"/>
  <c r="J82" i="4" l="1"/>
  <c r="E81" i="4" l="1"/>
  <c r="G81" i="4" l="1"/>
  <c r="H81" i="4"/>
  <c r="I80" i="4" l="1"/>
  <c r="I82" i="4" s="1"/>
  <c r="D81" i="4" l="1"/>
  <c r="C81" i="4"/>
  <c r="B10" i="6" l="1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E33" i="6" l="1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I5" i="6" l="1"/>
  <c r="J5" i="6" s="1"/>
  <c r="H6" i="6"/>
  <c r="F81" i="4"/>
  <c r="H80" i="4"/>
  <c r="H7" i="6" l="1"/>
  <c r="I6" i="6"/>
  <c r="J6" i="6" s="1"/>
  <c r="H82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I7" i="6" l="1"/>
  <c r="J7" i="6" s="1"/>
  <c r="H8" i="6"/>
  <c r="AH12" i="3"/>
  <c r="AI12" i="3"/>
  <c r="AH40" i="3"/>
  <c r="AI40" i="3"/>
  <c r="H9" i="6" l="1"/>
  <c r="I8" i="6"/>
  <c r="J8" i="6" s="1"/>
  <c r="AH52" i="3"/>
  <c r="AI52" i="3"/>
  <c r="AH53" i="3"/>
  <c r="AI53" i="3"/>
  <c r="H10" i="6" l="1"/>
  <c r="I9" i="6"/>
  <c r="J9" i="6" s="1"/>
  <c r="G80" i="4"/>
  <c r="I10" i="6" l="1"/>
  <c r="J10" i="6" s="1"/>
  <c r="H11" i="6"/>
  <c r="G82" i="4"/>
  <c r="B81" i="4"/>
  <c r="E80" i="4"/>
  <c r="D80" i="4"/>
  <c r="C80" i="4"/>
  <c r="F20" i="4"/>
  <c r="F19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E82" i="4" l="1"/>
  <c r="F80" i="4"/>
  <c r="H12" i="6"/>
  <c r="I11" i="6"/>
  <c r="J11" i="6" s="1"/>
  <c r="C82" i="4"/>
  <c r="D82" i="4"/>
  <c r="B80" i="4"/>
  <c r="B82" i="4" s="1"/>
  <c r="F82" i="4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<sst xmlns="http://schemas.openxmlformats.org/spreadsheetml/2006/main" count="4564" uniqueCount="382">
  <si>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</si>
  <si>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</si>
  <si>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</si>
  <si>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</si>
  <si>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</si>
  <si>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</si>
  <si>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</si>
  <si>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</si>
  <si>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</si>
  <si>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</si>
  <si>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</si>
  <si>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</si>
  <si>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</si>
  <si>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</si>
  <si>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</si>
  <si>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</si>
  <si>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</si>
  <si>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</si>
  <si>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</si>
  <si>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</si>
  <si>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</si>
  <si>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</si>
  <si>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</si>
  <si>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</si>
  <si>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</si>
  <si>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</si>
  <si>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</si>
  <si>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</si>
  <si>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</si>
  <si>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</si>
  <si>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</si>
  <si>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</si>
  <si>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</si>
  <si>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</si>
  <si>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</si>
  <si>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</si>
  <si>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</si>
  <si>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</si>
  <si>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</si>
  <si>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</si>
  <si>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</si>
  <si>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</si>
  <si>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</si>
  <si>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</si>
  <si>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</si>
  <si>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</si>
  <si>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</si>
  <si>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</si>
  <si>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</si>
  <si>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</si>
  <si>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</si>
  <si>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</si>
  <si>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</si>
  <si>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</si>
  <si>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</si>
  <si>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</si>
  <si>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</si>
  <si>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</si>
  <si>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</si>
  <si>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</si>
  <si>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</si>
  <si>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</si>
  <si>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</si>
  <si>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</si>
  <si>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</si>
  <si>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</si>
  <si>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</si>
  <si>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</si>
  <si>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</si>
  <si>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</si>
  <si>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</si>
  <si>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</si>
  <si>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</si>
  <si>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</si>
  <si>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</si>
  <si>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</si>
  <si>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</si>
  <si>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</si>
  <si>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</si>
  <si>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</si>
  <si>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</si>
  <si>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</si>
  <si>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</si>
  <si>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</si>
  <si>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</si>
  <si>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</si>
  <si>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</si>
  <si>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</si>
  <si>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</si>
  <si>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</si>
  <si>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</si>
  <si>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</si>
  <si>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</si>
  <si>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</si>
  <si>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</si>
  <si>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</si>
  <si>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</si>
  <si>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</si>
  <si>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</si>
  <si>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</si>
  <si>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</si>
  <si>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</si>
  <si>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</si>
  <si>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</si>
  <si>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</si>
  <si>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</si>
  <si>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</si>
  <si>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</si>
  <si>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</si>
  <si>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</si>
  <si>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</si>
  <si>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</si>
  <si>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</si>
  <si>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</si>
  <si>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</si>
  <si>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</si>
  <si>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</si>
  <si>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</si>
  <si>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</si>
  <si>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</si>
  <si>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</si>
  <si>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</si>
  <si>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</si>
  <si>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</si>
  <si>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</si>
  <si>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</si>
  <si>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</si>
  <si>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</si>
  <si>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</si>
  <si>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</si>
  <si>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</si>
  <si>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</si>
  <si>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</si>
  <si>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</si>
  <si>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</si>
  <si>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</si>
  <si>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</si>
  <si>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</si>
  <si>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</si>
  <si>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</si>
  <si>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</si>
  <si>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</si>
  <si>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</si>
  <si>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</si>
  <si>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</si>
  <si>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</si>
  <si>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</si>
  <si>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</si>
  <si>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</si>
  <si>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</si>
  <si>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</si>
  <si>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</si>
  <si>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</si>
  <si>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</si>
  <si>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</si>
  <si>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</si>
  <si>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</si>
  <si>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</si>
  <si>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</si>
  <si>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</si>
  <si>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</si>
  <si>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</si>
  <si>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</si>
  <si>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</si>
  <si>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</si>
  <si>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</si>
  <si>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</si>
  <si>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</si>
  <si>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</si>
  <si>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</si>
  <si>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</si>
  <si>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</si>
  <si>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</si>
  <si>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</si>
  <si>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</si>
  <si>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</si>
  <si>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</si>
  <si>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</si>
  <si>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</si>
  <si>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</si>
  <si>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</si>
  <si>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</si>
  <si>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</si>
  <si>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</si>
  <si>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</si>
  <si>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</si>
  <si>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</si>
  <si>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</si>
  <si>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</si>
  <si>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</si>
  <si>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</si>
  <si>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</si>
  <si>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</si>
  <si>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</si>
  <si>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</si>
  <si>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</si>
  <si>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</si>
  <si>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</si>
  <si>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</si>
  <si>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</si>
  <si>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</si>
  <si>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</si>
  <si>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</si>
  <si>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</si>
  <si>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</si>
  <si>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</si>
  <si>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</si>
  <si>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</si>
  <si>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</si>
  <si>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</si>
  <si>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</si>
  <si>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</si>
  <si>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</si>
  <si>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</si>
  <si>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</si>
  <si>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</si>
  <si>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</si>
  <si>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</si>
  <si>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</si>
  <si>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</si>
  <si>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</si>
  <si>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</si>
  <si>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</si>
  <si>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</si>
  <si>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</si>
  <si>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</si>
  <si>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</si>
  <si>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</si>
  <si>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</si>
  <si>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</si>
  <si>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</si>
  <si>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</si>
  <si>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</si>
  <si>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</si>
  <si>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</si>
  <si>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</si>
  <si>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</si>
  <si>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</si>
  <si>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</si>
  <si>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</si>
  <si>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</si>
  <si>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</si>
  <si>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</si>
  <si>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</si>
  <si>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</si>
  <si>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</si>
  <si>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</si>
  <si>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</si>
  <si>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</si>
  <si>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</si>
  <si>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</si>
  <si>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</si>
  <si>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</si>
  <si>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</si>
  <si>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</si>
  <si>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</si>
  <si>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</si>
  <si>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</si>
  <si>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</si>
  <si>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</si>
  <si>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</si>
  <si>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</si>
  <si>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</si>
  <si>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</si>
  <si>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</si>
  <si>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</si>
  <si>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</si>
  <si>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</si>
  <si>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</si>
  <si>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</si>
  <si>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</si>
  <si>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</si>
  <si>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</si>
  <si>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</si>
  <si>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</si>
  <si>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</si>
  <si>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</si>
  <si>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</si>
  <si>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</si>
  <si>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</si>
  <si>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</si>
  <si>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</si>
  <si>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</si>
  <si>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</si>
  <si>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</si>
  <si>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</si>
  <si>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</si>
  <si>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</si>
  <si>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</si>
  <si>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</si>
  <si>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</si>
  <si>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</si>
  <si>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</si>
  <si>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</si>
  <si>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</si>
  <si>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</si>
  <si>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</si>
  <si>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</si>
  <si>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</si>
  <si>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</si>
  <si>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</si>
  <si>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</si>
  <si>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</si>
  <si>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</si>
  <si>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</si>
  <si>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</si>
  <si>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</si>
  <si>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</si>
  <si>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</si>
  <si>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</si>
  <si>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</si>
  <si>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</si>
  <si>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</si>
  <si>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</si>
  <si>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</si>
  <si>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</si>
  <si>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</si>
  <si>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</si>
  <si>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</si>
  <si>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</si>
  <si>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</si>
  <si>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</si>
  <si>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</si>
  <si>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</si>
  <si>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</si>
  <si>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</si>
  <si>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</si>
  <si>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</si>
  <si>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</si>
  <si>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</si>
  <si>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</si>
  <si>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</si>
  <si>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</si>
  <si>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</si>
  <si>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</si>
  <si>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</si>
  <si>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</si>
  <si>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</si>
  <si>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</si>
  <si>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</si>
  <si>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</si>
  <si>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</si>
  <si>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</si>
  <si>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</si>
  <si>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</si>
  <si>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</si>
  <si>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</si>
  <si>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</si>
  <si>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</si>
  <si>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</si>
  <si>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</si>
  <si>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</si>
  <si>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</si>
  <si>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</si>
  <si>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</si>
  <si>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</si>
  <si>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</si>
  <si>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</si>
  <si>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</si>
  <si>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</si>
  <si>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</si>
  <si>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</si>
  <si>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</si>
  <si>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</si>
  <si>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</si>
  <si>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</si>
  <si>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</si>
  <si>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</si>
  <si>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</si>
  <si>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</si>
  <si>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</si>
  <si>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</si>
  <si>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</si>
  <si>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</si>
  <si>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</si>
  <si>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</si>
  <si>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</si>
  <si>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</si>
  <si>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</si>
  <si>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</si>
  <si>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</si>
  <si>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nov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</si>
</sst>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0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F77"/>
  <sheetViews>
    <sheetView zoomScale="85" zoomScaleNormal="85" workbookViewId="0">
      <pane xSplit="1" topLeftCell="BH1" activePane="topRight" state="frozen"/>
      <selection pane="topRight" activeCell="CF76" sqref="CF76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78" width="11" customWidth="1"/>
  </cols>
  <sheetData>
    <row r="1" spans="1:83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/>
      <c r="CA1" t="s">
        <v>57</v>
      </c>
      <c r="CB1" t="s">
        <v>58</v>
      </c>
      <c r="CC1" t="s">
        <v>59</v>
      </c>
      <c r="CD1" t="s">
        <v>62</v>
      </c>
      <c r="CE1" t="s">
        <v>381</v>
      </c>
    </row>
    <row r="2" spans="1:83" hidden="1" x14ac:dyDescent="0.35">
      <c r="A2" t="s">
        <v>1</v>
      </c>
      <c r="B2">
        <v>8.5</v>
      </c>
      <c r="C2">
        <v>3</v>
      </c>
      <c r="D2">
        <v>7.5</v>
      </c>
      <c r="E2">
        <v>6</v>
      </c>
      <c r="F2">
        <v>7</v>
      </c>
      <c r="G2">
        <v>7</v>
      </c>
      <c r="H2">
        <v>5.5</v>
      </c>
      <c r="I2">
        <v>7.5</v>
      </c>
      <c r="J2">
        <v>5.5</v>
      </c>
      <c r="K2">
        <v>7</v>
      </c>
      <c r="L2">
        <v>7.5</v>
      </c>
      <c r="M2">
        <v>5.5</v>
      </c>
      <c r="N2">
        <v>6</v>
      </c>
      <c r="O2">
        <v>5.5</v>
      </c>
      <c r="P2">
        <v>7</v>
      </c>
      <c r="Q2">
        <v>7</v>
      </c>
      <c r="R2">
        <v>7</v>
      </c>
      <c r="S2">
        <v>7.5</v>
      </c>
      <c r="T2">
        <v>6</v>
      </c>
      <c r="U2">
        <v>5.5</v>
      </c>
      <c r="V2">
        <v>6</v>
      </c>
      <c r="W2">
        <v>6</v>
      </c>
      <c r="X2">
        <v>6</v>
      </c>
      <c r="Y2">
        <v>7</v>
      </c>
      <c r="Z2" t="s">
        <v>26</v>
      </c>
      <c r="AA2">
        <v>6</v>
      </c>
      <c r="AB2">
        <v>6</v>
      </c>
      <c r="AC2">
        <v>7.5</v>
      </c>
      <c r="AD2">
        <v>7</v>
      </c>
      <c r="AE2">
        <v>6</v>
      </c>
      <c r="AF2">
        <v>6</v>
      </c>
      <c r="AG2">
        <v>6</v>
      </c>
      <c r="AH2">
        <v>6.5</v>
      </c>
      <c r="AI2">
        <v>6.5</v>
      </c>
      <c r="AJ2">
        <v>4.5</v>
      </c>
      <c r="AK2">
        <v>5</v>
      </c>
      <c r="AL2">
        <v>4</v>
      </c>
      <c r="AM2">
        <v>4</v>
      </c>
      <c r="AN2">
        <v>5.5</v>
      </c>
      <c r="AO2">
        <v>5</v>
      </c>
      <c r="AP2">
        <v>5.5</v>
      </c>
      <c r="AQ2">
        <v>5</v>
      </c>
      <c r="AR2">
        <v>5.5</v>
      </c>
      <c r="AS2">
        <v>4.5</v>
      </c>
      <c r="AT2">
        <v>5.5</v>
      </c>
      <c r="AU2">
        <v>5</v>
      </c>
      <c r="AV2">
        <v>4</v>
      </c>
      <c r="AW2">
        <v>5.5</v>
      </c>
      <c r="AX2">
        <v>5.5</v>
      </c>
      <c r="BA2">
        <v>5</v>
      </c>
      <c r="BB2">
        <v>5.5</v>
      </c>
      <c r="BC2">
        <v>4</v>
      </c>
      <c r="BD2">
        <v>4.5</v>
      </c>
      <c r="BF2">
        <v>5</v>
      </c>
      <c r="BG2">
        <v>5</v>
      </c>
      <c r="BH2">
        <v>5.5</v>
      </c>
      <c r="BI2">
        <v>5.5</v>
      </c>
      <c r="BJ2">
        <v>5</v>
      </c>
      <c r="BK2">
        <v>5.5</v>
      </c>
      <c r="BL2">
        <v>6.5</v>
      </c>
      <c r="BM2">
        <v>5</v>
      </c>
      <c r="BO2">
        <v>5</v>
      </c>
      <c r="BP2">
        <v>4.5</v>
      </c>
      <c r="BQ2">
        <v>5</v>
      </c>
      <c r="BR2">
        <v>6.5</v>
      </c>
      <c r="BS2">
        <v>5.5</v>
      </c>
      <c r="BT2">
        <v>5</v>
      </c>
      <c r="BU2">
        <v>5.5</v>
      </c>
      <c r="BV2">
        <v>6</v>
      </c>
      <c r="BW2">
        <v>5.5</v>
      </c>
      <c r="BX2">
        <v>5</v>
      </c>
      <c r="BY2">
        <v>4</v>
      </c>
      <c r="CA2">
        <f>COUNT(B2:BZ2)</f>
        <v>71</v>
      </c>
      <c r="CB2" s="18">
        <f>AVERAGE(B2:BZ2)</f>
        <v>5.704225352112676</v>
      </c>
      <c r="CC2">
        <f>IF(CA2&gt;1,_xlfn.STDEV.S(B2:BZ2),"")</f>
        <v>1.0405268747429695</v>
      </c>
      <c r="CD2">
        <v>1</v>
      </c>
      <c r="CE2">
        <f t="shared" ref="CE2:CE65" si="0">COUNT(BV2:BY2)</f>
        <v>4</v>
      </c>
    </row>
    <row r="3" spans="1:83" hidden="1" x14ac:dyDescent="0.35">
      <c r="A3" t="s">
        <v>10</v>
      </c>
      <c r="B3">
        <v>4</v>
      </c>
      <c r="C3">
        <v>5.5</v>
      </c>
      <c r="D3">
        <v>7</v>
      </c>
      <c r="E3">
        <v>5.5</v>
      </c>
      <c r="F3">
        <v>5.5</v>
      </c>
      <c r="G3">
        <v>5.5</v>
      </c>
      <c r="H3">
        <v>6</v>
      </c>
      <c r="I3">
        <v>5.5</v>
      </c>
      <c r="J3">
        <v>6</v>
      </c>
      <c r="K3">
        <v>6</v>
      </c>
      <c r="L3">
        <v>5.5</v>
      </c>
      <c r="M3">
        <v>7</v>
      </c>
      <c r="N3">
        <v>7</v>
      </c>
      <c r="O3">
        <v>7</v>
      </c>
      <c r="P3">
        <v>4.5</v>
      </c>
      <c r="Q3">
        <v>5.5</v>
      </c>
      <c r="R3">
        <v>5.5</v>
      </c>
      <c r="S3">
        <v>7</v>
      </c>
      <c r="T3">
        <v>5.5</v>
      </c>
      <c r="U3">
        <v>7</v>
      </c>
      <c r="V3">
        <v>7</v>
      </c>
      <c r="W3" t="s">
        <v>26</v>
      </c>
      <c r="X3">
        <v>6</v>
      </c>
      <c r="Y3">
        <v>7</v>
      </c>
      <c r="Z3" t="s">
        <v>26</v>
      </c>
      <c r="AA3">
        <v>6</v>
      </c>
      <c r="AB3">
        <v>6</v>
      </c>
      <c r="AC3">
        <v>5.5</v>
      </c>
      <c r="AD3">
        <v>6</v>
      </c>
      <c r="AE3">
        <v>6.5</v>
      </c>
      <c r="AF3">
        <v>5</v>
      </c>
      <c r="AH3">
        <v>6.5</v>
      </c>
      <c r="AI3">
        <v>5</v>
      </c>
      <c r="AJ3">
        <v>5</v>
      </c>
      <c r="AK3">
        <v>5</v>
      </c>
      <c r="AL3">
        <v>5.5</v>
      </c>
      <c r="AM3">
        <v>4.5</v>
      </c>
      <c r="AN3">
        <v>5</v>
      </c>
      <c r="AO3">
        <v>5.5</v>
      </c>
      <c r="AP3">
        <v>5.5</v>
      </c>
      <c r="AQ3">
        <v>5</v>
      </c>
      <c r="AR3">
        <v>4.5</v>
      </c>
      <c r="AS3">
        <v>5.5</v>
      </c>
      <c r="AT3">
        <v>4.5</v>
      </c>
      <c r="AU3">
        <v>4.5</v>
      </c>
      <c r="AV3">
        <v>4.5</v>
      </c>
      <c r="AW3">
        <v>4</v>
      </c>
      <c r="AX3">
        <v>3.5</v>
      </c>
      <c r="AY3">
        <v>6</v>
      </c>
      <c r="AZ3">
        <v>4.5</v>
      </c>
      <c r="BA3">
        <v>5</v>
      </c>
      <c r="BB3">
        <v>4.5</v>
      </c>
      <c r="BC3">
        <v>4</v>
      </c>
      <c r="BD3">
        <v>5.5</v>
      </c>
      <c r="BE3">
        <v>7</v>
      </c>
      <c r="BI3">
        <v>5.5</v>
      </c>
      <c r="BJ3">
        <v>5.5</v>
      </c>
      <c r="BK3">
        <v>5.5</v>
      </c>
      <c r="BL3">
        <v>5</v>
      </c>
      <c r="BM3">
        <v>4</v>
      </c>
      <c r="BN3">
        <v>5</v>
      </c>
      <c r="BO3">
        <v>5</v>
      </c>
      <c r="BP3">
        <v>4.5</v>
      </c>
      <c r="BQ3">
        <v>4.5</v>
      </c>
      <c r="BR3">
        <v>4.5</v>
      </c>
      <c r="BS3">
        <v>5</v>
      </c>
      <c r="BV3">
        <v>4.5</v>
      </c>
      <c r="BW3">
        <v>5</v>
      </c>
      <c r="BX3">
        <v>6</v>
      </c>
      <c r="CA3">
        <f>COUNT(B3:BZ3)</f>
        <v>67</v>
      </c>
      <c r="CB3" s="18">
        <f>AVERAGE(B3:BZ3)</f>
        <v>5.41044776119403</v>
      </c>
      <c r="CC3">
        <f>IF(CA3&gt;1,_xlfn.STDEV.S(B3:BZ3),"")</f>
        <v>0.88730684254987047</v>
      </c>
      <c r="CD3">
        <v>1</v>
      </c>
      <c r="CE3">
        <f t="shared" si="0"/>
        <v>3</v>
      </c>
    </row>
    <row r="4" spans="1:83" hidden="1" x14ac:dyDescent="0.35">
      <c r="A4" t="s">
        <v>82</v>
      </c>
      <c r="B4">
        <v>9</v>
      </c>
      <c r="C4" t="s">
        <v>26</v>
      </c>
      <c r="D4">
        <v>7.5</v>
      </c>
      <c r="E4">
        <v>7</v>
      </c>
      <c r="F4">
        <v>6</v>
      </c>
      <c r="G4">
        <v>7</v>
      </c>
      <c r="H4">
        <v>6</v>
      </c>
      <c r="I4">
        <v>7</v>
      </c>
      <c r="J4">
        <v>7</v>
      </c>
      <c r="K4">
        <v>7</v>
      </c>
      <c r="L4">
        <v>6</v>
      </c>
      <c r="M4">
        <v>6</v>
      </c>
      <c r="N4">
        <v>7</v>
      </c>
      <c r="O4">
        <v>7</v>
      </c>
      <c r="P4">
        <v>7</v>
      </c>
      <c r="Q4">
        <v>7</v>
      </c>
      <c r="R4">
        <v>7.5</v>
      </c>
      <c r="S4">
        <v>7</v>
      </c>
      <c r="T4">
        <v>7.5</v>
      </c>
      <c r="U4">
        <v>7</v>
      </c>
      <c r="V4">
        <v>7</v>
      </c>
      <c r="W4">
        <v>7</v>
      </c>
      <c r="X4">
        <v>6</v>
      </c>
      <c r="Y4">
        <v>6</v>
      </c>
      <c r="Z4">
        <v>6</v>
      </c>
      <c r="AA4">
        <v>7</v>
      </c>
      <c r="AB4">
        <v>7</v>
      </c>
      <c r="AC4">
        <v>7</v>
      </c>
      <c r="AD4" t="s">
        <v>26</v>
      </c>
      <c r="AE4">
        <v>7</v>
      </c>
      <c r="AF4">
        <v>6</v>
      </c>
      <c r="AG4">
        <v>6</v>
      </c>
      <c r="AH4">
        <v>5</v>
      </c>
      <c r="AI4">
        <v>6.5</v>
      </c>
      <c r="AJ4">
        <v>5.5</v>
      </c>
      <c r="AK4">
        <v>6.5</v>
      </c>
      <c r="AL4">
        <v>5.5</v>
      </c>
      <c r="AN4">
        <v>6.5</v>
      </c>
      <c r="AO4">
        <v>5.5</v>
      </c>
      <c r="AP4">
        <v>6</v>
      </c>
      <c r="AV4">
        <v>5</v>
      </c>
      <c r="AY4">
        <v>6</v>
      </c>
      <c r="BA4">
        <v>5</v>
      </c>
      <c r="BB4">
        <v>6</v>
      </c>
      <c r="BC4">
        <v>5</v>
      </c>
      <c r="BD4">
        <v>6.5</v>
      </c>
      <c r="BE4">
        <v>6</v>
      </c>
      <c r="BF4">
        <v>5</v>
      </c>
      <c r="BG4">
        <v>5.5</v>
      </c>
      <c r="BH4">
        <v>5.5</v>
      </c>
      <c r="BI4">
        <v>5</v>
      </c>
      <c r="BL4">
        <v>5</v>
      </c>
      <c r="BM4">
        <v>5.5</v>
      </c>
      <c r="BN4">
        <v>6.5</v>
      </c>
      <c r="BO4">
        <v>6</v>
      </c>
      <c r="BP4">
        <v>5</v>
      </c>
      <c r="BQ4">
        <v>5</v>
      </c>
      <c r="BR4">
        <v>5.5</v>
      </c>
      <c r="BS4">
        <v>5.5</v>
      </c>
      <c r="BV4">
        <v>5.5</v>
      </c>
      <c r="BW4">
        <v>5</v>
      </c>
      <c r="BY4">
        <v>5.5</v>
      </c>
      <c r="CA4">
        <f>COUNT(B4:BZ4)</f>
        <v>60</v>
      </c>
      <c r="CB4" s="18">
        <f>AVERAGE(B4:BZ4)</f>
        <v>6.2</v>
      </c>
      <c r="CC4">
        <f>IF(CA4&gt;1,_xlfn.STDEV.S(B4:BZ4),"")</f>
        <v>0.86455631807224831</v>
      </c>
      <c r="CD4">
        <v>1</v>
      </c>
      <c r="CE4">
        <f t="shared" si="0"/>
        <v>3</v>
      </c>
    </row>
    <row r="5" spans="1:83" hidden="1" x14ac:dyDescent="0.35">
      <c r="A5" t="s">
        <v>6</v>
      </c>
      <c r="B5">
        <v>7.5</v>
      </c>
      <c r="C5">
        <v>7</v>
      </c>
      <c r="D5">
        <v>7</v>
      </c>
      <c r="E5">
        <v>7.5</v>
      </c>
      <c r="F5">
        <v>6</v>
      </c>
      <c r="G5">
        <v>6</v>
      </c>
      <c r="H5" t="s">
        <v>26</v>
      </c>
      <c r="I5">
        <v>7.5</v>
      </c>
      <c r="J5" t="s">
        <v>26</v>
      </c>
      <c r="K5">
        <v>7.5</v>
      </c>
      <c r="L5" t="s">
        <v>26</v>
      </c>
      <c r="M5" t="s">
        <v>26</v>
      </c>
      <c r="N5">
        <v>6</v>
      </c>
      <c r="O5">
        <v>7</v>
      </c>
      <c r="P5">
        <v>6</v>
      </c>
      <c r="Q5" t="s">
        <v>26</v>
      </c>
      <c r="R5" t="s">
        <v>26</v>
      </c>
      <c r="S5">
        <v>6</v>
      </c>
      <c r="T5">
        <v>7</v>
      </c>
      <c r="U5">
        <v>7</v>
      </c>
      <c r="V5" t="s">
        <v>26</v>
      </c>
      <c r="W5">
        <v>6</v>
      </c>
      <c r="X5">
        <v>6</v>
      </c>
      <c r="Y5" t="s">
        <v>26</v>
      </c>
      <c r="Z5" t="s">
        <v>26</v>
      </c>
      <c r="AA5">
        <v>6</v>
      </c>
      <c r="AB5" t="s">
        <v>26</v>
      </c>
      <c r="AC5" t="s">
        <v>26</v>
      </c>
      <c r="AD5" t="s">
        <v>26</v>
      </c>
      <c r="AE5">
        <v>6</v>
      </c>
      <c r="AF5">
        <v>6.5</v>
      </c>
      <c r="AG5">
        <v>7</v>
      </c>
      <c r="AH5">
        <v>5.5</v>
      </c>
      <c r="AJ5">
        <v>5.5</v>
      </c>
      <c r="AK5">
        <v>5</v>
      </c>
      <c r="AL5">
        <v>4.5</v>
      </c>
      <c r="AM5">
        <v>5.5</v>
      </c>
      <c r="AN5">
        <v>6.5</v>
      </c>
      <c r="AO5">
        <v>6</v>
      </c>
      <c r="AP5">
        <v>5</v>
      </c>
      <c r="AQ5">
        <v>5.5</v>
      </c>
      <c r="AR5">
        <v>5.5</v>
      </c>
      <c r="AS5">
        <v>5</v>
      </c>
      <c r="AT5">
        <v>5.5</v>
      </c>
      <c r="AU5">
        <v>5</v>
      </c>
      <c r="AV5">
        <v>5</v>
      </c>
      <c r="AX5">
        <v>10</v>
      </c>
      <c r="AY5">
        <v>5.5</v>
      </c>
      <c r="AZ5">
        <v>5</v>
      </c>
      <c r="BA5">
        <v>5</v>
      </c>
      <c r="BB5">
        <v>4.5</v>
      </c>
      <c r="BC5">
        <v>7</v>
      </c>
      <c r="BD5">
        <v>5.5</v>
      </c>
      <c r="BE5">
        <v>6.5</v>
      </c>
      <c r="BF5">
        <v>4.5</v>
      </c>
      <c r="BG5">
        <v>4.5</v>
      </c>
      <c r="BH5">
        <v>7.5</v>
      </c>
      <c r="BI5">
        <v>6.5</v>
      </c>
      <c r="BJ5">
        <v>6</v>
      </c>
      <c r="BK5">
        <v>5.5</v>
      </c>
      <c r="BL5">
        <v>5</v>
      </c>
      <c r="BM5">
        <v>6</v>
      </c>
      <c r="BN5">
        <v>6</v>
      </c>
      <c r="BO5">
        <v>6.5</v>
      </c>
      <c r="BP5">
        <v>5</v>
      </c>
      <c r="BQ5">
        <v>4.5</v>
      </c>
      <c r="BR5">
        <v>6</v>
      </c>
      <c r="BS5">
        <v>5</v>
      </c>
      <c r="BT5">
        <v>5.5</v>
      </c>
      <c r="BU5">
        <v>4.5</v>
      </c>
      <c r="BV5">
        <v>5.5</v>
      </c>
      <c r="BW5">
        <v>5</v>
      </c>
      <c r="BX5">
        <v>5</v>
      </c>
      <c r="BY5">
        <v>5</v>
      </c>
      <c r="CA5">
        <f>COUNT(B5:BZ5)</f>
        <v>62</v>
      </c>
      <c r="CB5" s="18">
        <f>AVERAGE(B5:BZ5)</f>
        <v>5.895161290322581</v>
      </c>
      <c r="CC5">
        <f>IF(CA5&gt;1,_xlfn.STDEV.S(B5:BZ5),"")</f>
        <v>1.0248434377599422</v>
      </c>
      <c r="CD5">
        <v>1</v>
      </c>
      <c r="CE5">
        <f t="shared" si="0"/>
        <v>4</v>
      </c>
    </row>
    <row r="6" spans="1:83" hidden="1" x14ac:dyDescent="0.35">
      <c r="A6" t="s">
        <v>4</v>
      </c>
      <c r="B6">
        <v>4.5</v>
      </c>
      <c r="C6" t="s">
        <v>26</v>
      </c>
      <c r="D6">
        <v>6</v>
      </c>
      <c r="E6">
        <v>5.5</v>
      </c>
      <c r="F6">
        <v>6</v>
      </c>
      <c r="G6" t="s">
        <v>26</v>
      </c>
      <c r="H6">
        <v>7</v>
      </c>
      <c r="I6">
        <v>5.5</v>
      </c>
      <c r="J6">
        <v>6</v>
      </c>
      <c r="K6">
        <v>5.5</v>
      </c>
      <c r="L6">
        <v>7</v>
      </c>
      <c r="M6">
        <v>6</v>
      </c>
      <c r="N6">
        <v>7</v>
      </c>
      <c r="O6">
        <v>5.5</v>
      </c>
      <c r="P6">
        <v>5.5</v>
      </c>
      <c r="Q6">
        <v>7</v>
      </c>
      <c r="R6">
        <v>6</v>
      </c>
      <c r="S6">
        <v>6</v>
      </c>
      <c r="T6">
        <v>7</v>
      </c>
      <c r="U6">
        <v>6</v>
      </c>
      <c r="V6">
        <v>5.5</v>
      </c>
      <c r="W6">
        <v>5.5</v>
      </c>
      <c r="X6">
        <v>6</v>
      </c>
      <c r="Y6">
        <v>5.5</v>
      </c>
      <c r="Z6" t="s">
        <v>26</v>
      </c>
      <c r="AA6">
        <v>7</v>
      </c>
      <c r="AB6">
        <v>6</v>
      </c>
      <c r="AC6">
        <v>6</v>
      </c>
      <c r="AD6">
        <v>6</v>
      </c>
      <c r="AE6">
        <v>6.5</v>
      </c>
      <c r="AF6">
        <v>6</v>
      </c>
      <c r="AG6">
        <v>6</v>
      </c>
      <c r="AH6">
        <v>5</v>
      </c>
      <c r="AI6">
        <v>6</v>
      </c>
      <c r="AL6">
        <v>3</v>
      </c>
      <c r="AM6">
        <v>4</v>
      </c>
      <c r="AN6">
        <v>5.5</v>
      </c>
      <c r="AO6">
        <v>5</v>
      </c>
      <c r="AP6">
        <v>4.5</v>
      </c>
      <c r="AV6">
        <v>4</v>
      </c>
      <c r="AW6">
        <v>4.5</v>
      </c>
      <c r="AX6">
        <v>4.5</v>
      </c>
      <c r="AY6">
        <v>5</v>
      </c>
      <c r="AZ6">
        <v>4</v>
      </c>
      <c r="BA6">
        <v>5</v>
      </c>
      <c r="BB6">
        <v>5</v>
      </c>
      <c r="BC6">
        <v>6</v>
      </c>
      <c r="BH6">
        <v>5.5</v>
      </c>
      <c r="BI6">
        <v>5.5</v>
      </c>
      <c r="BJ6">
        <v>5.5</v>
      </c>
      <c r="BK6">
        <v>5</v>
      </c>
      <c r="BL6">
        <v>4.5</v>
      </c>
      <c r="BM6">
        <v>5</v>
      </c>
      <c r="BN6">
        <v>6</v>
      </c>
      <c r="BO6">
        <v>5</v>
      </c>
      <c r="BP6">
        <v>5</v>
      </c>
      <c r="BQ6">
        <v>5</v>
      </c>
      <c r="BR6">
        <v>5</v>
      </c>
      <c r="BS6">
        <v>5</v>
      </c>
      <c r="BT6">
        <v>5.5</v>
      </c>
      <c r="BU6">
        <v>5.5</v>
      </c>
      <c r="BV6">
        <v>5</v>
      </c>
      <c r="BW6">
        <v>5.5</v>
      </c>
      <c r="BX6">
        <v>5</v>
      </c>
      <c r="BY6">
        <v>5</v>
      </c>
      <c r="CA6">
        <f>COUNT(B6:BZ6)</f>
        <v>62</v>
      </c>
      <c r="CB6" s="18">
        <f>AVERAGE(B6:BZ6)</f>
        <v>5.475806451612903</v>
      </c>
      <c r="CC6">
        <f>IF(CA6&gt;1,_xlfn.STDEV.S(B6:BZ6),"")</f>
        <v>0.81193666147845234</v>
      </c>
      <c r="CD6">
        <v>1</v>
      </c>
      <c r="CE6">
        <f t="shared" si="0"/>
        <v>4</v>
      </c>
    </row>
    <row r="7" spans="1:83" hidden="1" x14ac:dyDescent="0.35">
      <c r="A7" t="s">
        <v>9</v>
      </c>
      <c r="B7">
        <v>7</v>
      </c>
      <c r="C7" t="s">
        <v>26</v>
      </c>
      <c r="D7">
        <v>7</v>
      </c>
      <c r="E7">
        <v>6</v>
      </c>
      <c r="F7">
        <v>7.5</v>
      </c>
      <c r="G7">
        <v>7</v>
      </c>
      <c r="H7">
        <v>7</v>
      </c>
      <c r="I7" t="s">
        <v>26</v>
      </c>
      <c r="J7">
        <v>6</v>
      </c>
      <c r="K7" t="s">
        <v>26</v>
      </c>
      <c r="L7">
        <v>7</v>
      </c>
      <c r="M7">
        <v>7</v>
      </c>
      <c r="N7">
        <v>7.5</v>
      </c>
      <c r="O7">
        <v>6</v>
      </c>
      <c r="P7">
        <v>6</v>
      </c>
      <c r="Q7">
        <v>7</v>
      </c>
      <c r="R7" t="s">
        <v>26</v>
      </c>
      <c r="S7">
        <v>6</v>
      </c>
      <c r="T7">
        <v>7.5</v>
      </c>
      <c r="U7" t="s">
        <v>26</v>
      </c>
      <c r="V7">
        <v>6</v>
      </c>
      <c r="W7">
        <v>7</v>
      </c>
      <c r="X7">
        <v>7</v>
      </c>
      <c r="Y7" t="s">
        <v>26</v>
      </c>
      <c r="Z7">
        <v>7.5</v>
      </c>
      <c r="AA7">
        <v>7</v>
      </c>
      <c r="AB7">
        <v>7</v>
      </c>
      <c r="AC7">
        <v>6</v>
      </c>
      <c r="AD7">
        <v>7</v>
      </c>
      <c r="AE7">
        <v>8</v>
      </c>
      <c r="AF7">
        <v>6.5</v>
      </c>
      <c r="AH7">
        <v>7.5</v>
      </c>
      <c r="AI7">
        <v>5.5</v>
      </c>
      <c r="AJ7">
        <v>5.5</v>
      </c>
      <c r="AK7">
        <v>5.5</v>
      </c>
      <c r="AM7">
        <v>7</v>
      </c>
      <c r="AQ7">
        <v>5</v>
      </c>
      <c r="AR7">
        <v>5.5</v>
      </c>
      <c r="AS7">
        <v>5</v>
      </c>
      <c r="AT7">
        <v>5.5</v>
      </c>
      <c r="AU7">
        <v>5.5</v>
      </c>
      <c r="AV7">
        <v>5.5</v>
      </c>
      <c r="AX7">
        <v>6</v>
      </c>
      <c r="AY7">
        <v>6.5</v>
      </c>
      <c r="AZ7">
        <v>5.5</v>
      </c>
      <c r="BA7">
        <v>5.5</v>
      </c>
      <c r="BB7">
        <v>4.5</v>
      </c>
      <c r="BC7">
        <v>4</v>
      </c>
      <c r="BD7">
        <v>4.5</v>
      </c>
      <c r="BE7">
        <v>5.5</v>
      </c>
      <c r="BF7">
        <v>5</v>
      </c>
      <c r="BG7">
        <v>5</v>
      </c>
      <c r="BH7">
        <v>5</v>
      </c>
      <c r="BK7">
        <v>5</v>
      </c>
      <c r="BL7">
        <v>5.5</v>
      </c>
      <c r="BM7">
        <v>5</v>
      </c>
      <c r="BP7">
        <v>5.5</v>
      </c>
      <c r="BQ7">
        <v>7</v>
      </c>
      <c r="BR7">
        <v>6</v>
      </c>
      <c r="BS7">
        <v>5.5</v>
      </c>
      <c r="BT7">
        <v>5.5</v>
      </c>
      <c r="BU7">
        <v>5.5</v>
      </c>
      <c r="BW7">
        <v>6</v>
      </c>
      <c r="BY7">
        <v>6</v>
      </c>
      <c r="CA7">
        <f>COUNT(B7:BZ7)</f>
        <v>58</v>
      </c>
      <c r="CB7" s="18">
        <f>AVERAGE(B7:BZ7)</f>
        <v>6.0862068965517242</v>
      </c>
      <c r="CC7">
        <f>IF(CA7&gt;1,_xlfn.STDEV.S(B7:BZ7),"")</f>
        <v>0.92308564843007301</v>
      </c>
      <c r="CD7">
        <v>1</v>
      </c>
      <c r="CE7">
        <f t="shared" si="0"/>
        <v>2</v>
      </c>
    </row>
    <row r="8" spans="1:83" hidden="1" x14ac:dyDescent="0.35">
      <c r="A8" t="s">
        <v>5</v>
      </c>
      <c r="B8">
        <v>10</v>
      </c>
      <c r="C8">
        <v>8.5</v>
      </c>
      <c r="D8">
        <v>8.5</v>
      </c>
      <c r="E8">
        <v>7.5</v>
      </c>
      <c r="F8">
        <v>7</v>
      </c>
      <c r="G8">
        <v>7.5</v>
      </c>
      <c r="H8">
        <v>7</v>
      </c>
      <c r="I8" t="s">
        <v>26</v>
      </c>
      <c r="J8">
        <v>8.5</v>
      </c>
      <c r="K8">
        <v>7.5</v>
      </c>
      <c r="L8">
        <v>8.5</v>
      </c>
      <c r="M8">
        <v>7</v>
      </c>
      <c r="N8">
        <v>7.5</v>
      </c>
      <c r="O8">
        <v>7.5</v>
      </c>
      <c r="P8">
        <v>7</v>
      </c>
      <c r="Q8">
        <v>7</v>
      </c>
      <c r="R8" t="s">
        <v>26</v>
      </c>
      <c r="S8" t="s">
        <v>26</v>
      </c>
      <c r="T8" t="s">
        <v>26</v>
      </c>
      <c r="U8">
        <v>7</v>
      </c>
      <c r="V8">
        <v>6</v>
      </c>
      <c r="W8">
        <v>7.5</v>
      </c>
      <c r="X8">
        <v>7</v>
      </c>
      <c r="Y8">
        <v>7</v>
      </c>
      <c r="Z8">
        <v>7</v>
      </c>
      <c r="AA8">
        <v>7</v>
      </c>
      <c r="AB8" t="s">
        <v>26</v>
      </c>
      <c r="AC8" t="s">
        <v>26</v>
      </c>
      <c r="AD8" t="s">
        <v>26</v>
      </c>
      <c r="AF8">
        <v>6.5</v>
      </c>
      <c r="AG8">
        <v>10</v>
      </c>
      <c r="AI8">
        <v>6.5</v>
      </c>
      <c r="AJ8">
        <v>5.5</v>
      </c>
      <c r="AK8">
        <v>6.5</v>
      </c>
      <c r="AL8">
        <v>6</v>
      </c>
      <c r="AO8">
        <v>6</v>
      </c>
      <c r="AP8">
        <v>5</v>
      </c>
      <c r="AQ8">
        <v>5.5</v>
      </c>
      <c r="AR8">
        <v>6.5</v>
      </c>
      <c r="AS8">
        <v>6</v>
      </c>
      <c r="AT8">
        <v>5.5</v>
      </c>
      <c r="AU8">
        <v>6.5</v>
      </c>
      <c r="AV8">
        <v>6</v>
      </c>
      <c r="AW8">
        <v>6</v>
      </c>
      <c r="AX8">
        <v>6</v>
      </c>
      <c r="AY8">
        <v>5.5</v>
      </c>
      <c r="AZ8">
        <v>7</v>
      </c>
      <c r="BA8">
        <v>8.5</v>
      </c>
      <c r="BB8">
        <v>5.5</v>
      </c>
      <c r="BC8">
        <v>4.5</v>
      </c>
      <c r="BD8">
        <v>5.5</v>
      </c>
      <c r="BE8">
        <v>6.5</v>
      </c>
      <c r="BF8">
        <v>5.5</v>
      </c>
      <c r="BG8">
        <v>5</v>
      </c>
      <c r="BK8">
        <v>5.5</v>
      </c>
      <c r="BL8">
        <v>6</v>
      </c>
      <c r="BO8">
        <v>5.5</v>
      </c>
      <c r="BP8">
        <v>5.5</v>
      </c>
      <c r="BQ8">
        <v>6</v>
      </c>
      <c r="BR8">
        <v>5.5</v>
      </c>
      <c r="BS8">
        <v>6</v>
      </c>
      <c r="BT8">
        <v>6</v>
      </c>
      <c r="BU8">
        <v>6.5</v>
      </c>
      <c r="BV8">
        <v>5.5</v>
      </c>
      <c r="BW8">
        <v>5.5</v>
      </c>
      <c r="BX8">
        <v>6.5</v>
      </c>
      <c r="CA8">
        <f>COUNT(B8:BZ8)</f>
        <v>59</v>
      </c>
      <c r="CB8" s="18">
        <f>AVERAGE(B8:BZ8)</f>
        <v>6.5847457627118642</v>
      </c>
      <c r="CC8">
        <f>IF(CA8&gt;1,_xlfn.STDEV.S(B8:BZ8),"")</f>
        <v>1.1527797826785604</v>
      </c>
      <c r="CD8">
        <v>1</v>
      </c>
      <c r="CE8">
        <f t="shared" si="0"/>
        <v>3</v>
      </c>
    </row>
    <row r="9" spans="1:83" hidden="1" x14ac:dyDescent="0.35">
      <c r="A9" t="s">
        <v>11</v>
      </c>
      <c r="B9">
        <v>5.5</v>
      </c>
      <c r="C9" t="s">
        <v>26</v>
      </c>
      <c r="D9">
        <v>7.5</v>
      </c>
      <c r="E9">
        <v>7.5</v>
      </c>
      <c r="F9">
        <v>7.5</v>
      </c>
      <c r="G9">
        <v>5.5</v>
      </c>
      <c r="H9" t="s">
        <v>26</v>
      </c>
      <c r="I9">
        <v>4.5</v>
      </c>
      <c r="J9">
        <v>7</v>
      </c>
      <c r="K9">
        <v>6</v>
      </c>
      <c r="L9" t="s">
        <v>26</v>
      </c>
      <c r="M9" t="s">
        <v>26</v>
      </c>
      <c r="N9">
        <v>6</v>
      </c>
      <c r="O9">
        <v>5.5</v>
      </c>
      <c r="P9">
        <v>6</v>
      </c>
      <c r="Q9" t="s">
        <v>26</v>
      </c>
      <c r="R9" t="s">
        <v>26</v>
      </c>
      <c r="S9">
        <v>4.5</v>
      </c>
      <c r="T9">
        <v>7</v>
      </c>
      <c r="U9" t="s">
        <v>26</v>
      </c>
      <c r="V9" t="s">
        <v>26</v>
      </c>
      <c r="W9" t="s">
        <v>26</v>
      </c>
      <c r="X9">
        <v>6</v>
      </c>
      <c r="Y9">
        <v>6</v>
      </c>
      <c r="Z9" t="s">
        <v>26</v>
      </c>
      <c r="AA9">
        <v>4.5</v>
      </c>
      <c r="AB9" t="s">
        <v>26</v>
      </c>
      <c r="AC9">
        <v>7</v>
      </c>
      <c r="AD9" t="s">
        <v>26</v>
      </c>
      <c r="AE9">
        <v>3</v>
      </c>
      <c r="AF9">
        <v>6</v>
      </c>
      <c r="AG9">
        <v>4.5</v>
      </c>
      <c r="AH9">
        <v>6</v>
      </c>
      <c r="AI9">
        <v>6</v>
      </c>
      <c r="AJ9">
        <v>5.5</v>
      </c>
      <c r="AK9">
        <v>7</v>
      </c>
      <c r="AL9">
        <v>5</v>
      </c>
      <c r="AM9">
        <v>4.5</v>
      </c>
      <c r="AN9">
        <v>4.5</v>
      </c>
      <c r="AO9">
        <v>5</v>
      </c>
      <c r="AP9">
        <v>5</v>
      </c>
      <c r="AR9">
        <v>5.5</v>
      </c>
      <c r="AS9">
        <v>5.5</v>
      </c>
      <c r="AT9">
        <v>5</v>
      </c>
      <c r="AU9">
        <v>6</v>
      </c>
      <c r="AV9">
        <v>5</v>
      </c>
      <c r="AX9">
        <v>5</v>
      </c>
      <c r="AY9">
        <v>4.5</v>
      </c>
      <c r="BD9">
        <v>4</v>
      </c>
      <c r="BE9">
        <v>6</v>
      </c>
      <c r="BG9">
        <v>3.5</v>
      </c>
      <c r="BH9">
        <v>5.5</v>
      </c>
      <c r="BI9">
        <v>5</v>
      </c>
      <c r="BJ9">
        <v>5</v>
      </c>
      <c r="BK9">
        <v>5</v>
      </c>
      <c r="BM9">
        <v>4.5</v>
      </c>
      <c r="BN9">
        <v>7</v>
      </c>
      <c r="BO9">
        <v>5</v>
      </c>
      <c r="BR9">
        <v>7</v>
      </c>
      <c r="BS9">
        <v>5.5</v>
      </c>
      <c r="BT9">
        <v>5.5</v>
      </c>
      <c r="BU9">
        <v>5.5</v>
      </c>
      <c r="BV9">
        <v>5</v>
      </c>
      <c r="BW9">
        <v>5</v>
      </c>
      <c r="BX9">
        <v>5</v>
      </c>
      <c r="BY9">
        <v>3.5</v>
      </c>
      <c r="CA9">
        <f>COUNT(B9:BZ9)</f>
        <v>54</v>
      </c>
      <c r="CB9" s="18">
        <f>AVERAGE(B9:BZ9)</f>
        <v>5.4537037037037033</v>
      </c>
      <c r="CC9">
        <f>IF(CA9&gt;1,_xlfn.STDEV.S(B9:BZ9),"")</f>
        <v>1.0245501475729168</v>
      </c>
      <c r="CD9">
        <v>1</v>
      </c>
      <c r="CE9">
        <f t="shared" si="0"/>
        <v>4</v>
      </c>
    </row>
    <row r="10" spans="1:83" hidden="1" x14ac:dyDescent="0.35">
      <c r="A10" t="s">
        <v>367</v>
      </c>
      <c r="B10">
        <v>8.5</v>
      </c>
      <c r="C10" t="s">
        <v>26</v>
      </c>
      <c r="D10" t="s">
        <v>26</v>
      </c>
      <c r="E10">
        <v>7</v>
      </c>
      <c r="F10">
        <v>7</v>
      </c>
      <c r="G10" t="s">
        <v>26</v>
      </c>
      <c r="H10">
        <v>10</v>
      </c>
      <c r="I10">
        <v>7</v>
      </c>
      <c r="J10" t="s">
        <v>26</v>
      </c>
      <c r="K10">
        <v>6</v>
      </c>
      <c r="L10">
        <v>7</v>
      </c>
      <c r="M10">
        <v>6</v>
      </c>
      <c r="N10">
        <v>6</v>
      </c>
      <c r="O10">
        <v>6</v>
      </c>
      <c r="P10">
        <v>7</v>
      </c>
      <c r="Q10">
        <v>5.5</v>
      </c>
      <c r="R10">
        <v>7.5</v>
      </c>
      <c r="S10">
        <v>7</v>
      </c>
      <c r="T10">
        <v>7</v>
      </c>
      <c r="U10">
        <v>6</v>
      </c>
      <c r="V10">
        <v>7</v>
      </c>
      <c r="W10">
        <v>7</v>
      </c>
      <c r="X10">
        <v>7</v>
      </c>
      <c r="Y10" t="s">
        <v>26</v>
      </c>
      <c r="Z10">
        <v>6</v>
      </c>
      <c r="AA10">
        <v>6</v>
      </c>
      <c r="AB10" t="s">
        <v>26</v>
      </c>
      <c r="AC10">
        <v>6</v>
      </c>
      <c r="AD10" t="s">
        <v>26</v>
      </c>
      <c r="AF10">
        <v>7</v>
      </c>
      <c r="AG10">
        <v>5.5</v>
      </c>
      <c r="AH10">
        <v>5.5</v>
      </c>
      <c r="AI10">
        <v>5.5</v>
      </c>
      <c r="AJ10">
        <v>5.5</v>
      </c>
      <c r="AK10">
        <v>6.5</v>
      </c>
      <c r="AL10">
        <v>4.5</v>
      </c>
      <c r="AV10">
        <v>4.5</v>
      </c>
      <c r="AW10">
        <v>4.5</v>
      </c>
      <c r="AX10">
        <v>5</v>
      </c>
      <c r="AY10">
        <v>5.5</v>
      </c>
      <c r="AZ10">
        <v>5.5</v>
      </c>
      <c r="BA10">
        <v>5</v>
      </c>
      <c r="BD10">
        <v>4.5</v>
      </c>
      <c r="BE10">
        <v>6</v>
      </c>
      <c r="BF10">
        <v>6.5</v>
      </c>
      <c r="BG10">
        <v>5.5</v>
      </c>
      <c r="BH10">
        <v>5</v>
      </c>
      <c r="BK10">
        <v>4.5</v>
      </c>
      <c r="BL10">
        <v>5</v>
      </c>
      <c r="BM10">
        <v>5.5</v>
      </c>
      <c r="BN10">
        <v>5.5</v>
      </c>
      <c r="BO10">
        <v>5</v>
      </c>
      <c r="BP10">
        <v>5.5</v>
      </c>
      <c r="BQ10">
        <v>5</v>
      </c>
      <c r="BR10">
        <v>4.5</v>
      </c>
      <c r="BS10">
        <v>5.5</v>
      </c>
      <c r="BT10">
        <v>5</v>
      </c>
      <c r="BV10">
        <v>5.5</v>
      </c>
      <c r="BW10">
        <v>5</v>
      </c>
      <c r="BY10">
        <v>5</v>
      </c>
      <c r="CA10">
        <f>COUNT(B10:BZ10)</f>
        <v>53</v>
      </c>
      <c r="CB10" s="18">
        <f>AVERAGE(B10:BZ10)</f>
        <v>5.9150943396226419</v>
      </c>
      <c r="CC10">
        <f>IF(CA10&gt;1,_xlfn.STDEV.S(B10:BZ10),"")</f>
        <v>1.0863481922362819</v>
      </c>
      <c r="CD10">
        <v>1</v>
      </c>
      <c r="CE10">
        <f t="shared" si="0"/>
        <v>3</v>
      </c>
    </row>
    <row r="11" spans="1:83" hidden="1" x14ac:dyDescent="0.35">
      <c r="A11" t="s">
        <v>16</v>
      </c>
      <c r="B11">
        <v>7.5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6</v>
      </c>
      <c r="Y11">
        <v>7</v>
      </c>
      <c r="Z11">
        <v>7.5</v>
      </c>
      <c r="AA11">
        <v>7</v>
      </c>
      <c r="AB11">
        <v>7</v>
      </c>
      <c r="AC11">
        <v>7.5</v>
      </c>
      <c r="AD11">
        <v>7</v>
      </c>
      <c r="AE11">
        <v>6</v>
      </c>
      <c r="AF11">
        <v>6.5</v>
      </c>
      <c r="AH11">
        <v>6.5</v>
      </c>
      <c r="AI11">
        <v>6.5</v>
      </c>
      <c r="AJ11">
        <v>5.5</v>
      </c>
      <c r="AK11">
        <v>5.5</v>
      </c>
      <c r="AL11">
        <v>6</v>
      </c>
      <c r="AM11">
        <v>5</v>
      </c>
      <c r="AN11">
        <v>5</v>
      </c>
      <c r="AO11">
        <v>5</v>
      </c>
      <c r="AP11">
        <v>5.5</v>
      </c>
      <c r="AQ11">
        <v>5.5</v>
      </c>
      <c r="AR11">
        <v>6</v>
      </c>
      <c r="AS11">
        <v>5</v>
      </c>
      <c r="AT11">
        <v>5.5</v>
      </c>
      <c r="AV11">
        <v>4.5</v>
      </c>
      <c r="AX11">
        <v>6</v>
      </c>
      <c r="AY11">
        <v>5.5</v>
      </c>
      <c r="AZ11">
        <v>6.5</v>
      </c>
      <c r="BA11">
        <v>5</v>
      </c>
      <c r="BB11">
        <v>5</v>
      </c>
      <c r="BC11">
        <v>9.5</v>
      </c>
      <c r="BD11">
        <v>5.5</v>
      </c>
      <c r="BE11">
        <v>6.5</v>
      </c>
      <c r="BF11">
        <v>4.5</v>
      </c>
      <c r="BG11">
        <v>6</v>
      </c>
      <c r="BH11">
        <v>5.5</v>
      </c>
      <c r="BI11">
        <v>7</v>
      </c>
      <c r="BJ11">
        <v>5.5</v>
      </c>
      <c r="BK11">
        <v>6.5</v>
      </c>
      <c r="BL11">
        <v>5.5</v>
      </c>
      <c r="BM11">
        <v>5.5</v>
      </c>
      <c r="BN11">
        <v>5</v>
      </c>
      <c r="BP11">
        <v>5.5</v>
      </c>
      <c r="BQ11">
        <v>5</v>
      </c>
      <c r="BR11">
        <v>5</v>
      </c>
      <c r="BS11">
        <v>5.5</v>
      </c>
      <c r="BU11">
        <v>5.5</v>
      </c>
      <c r="BV11">
        <v>6</v>
      </c>
      <c r="BW11">
        <v>5.5</v>
      </c>
      <c r="BY11">
        <v>5</v>
      </c>
      <c r="CA11">
        <f>COUNT(B11:BZ11)</f>
        <v>51</v>
      </c>
      <c r="CB11" s="18">
        <f>AVERAGE(B11:BZ11)</f>
        <v>5.9509803921568629</v>
      </c>
      <c r="CC11">
        <f>IF(CA11&gt;1,_xlfn.STDEV.S(B11:BZ11),"")</f>
        <v>0.95527431641798333</v>
      </c>
      <c r="CD11">
        <v>1</v>
      </c>
      <c r="CE11">
        <f t="shared" si="0"/>
        <v>3</v>
      </c>
    </row>
    <row r="12" spans="1:83" hidden="1" x14ac:dyDescent="0.35">
      <c r="A12" t="s">
        <v>25</v>
      </c>
      <c r="B12" t="s">
        <v>26</v>
      </c>
      <c r="C12" t="s">
        <v>26</v>
      </c>
      <c r="D12" t="s">
        <v>26</v>
      </c>
      <c r="E12">
        <v>4.5</v>
      </c>
      <c r="F12">
        <v>6</v>
      </c>
      <c r="G12">
        <v>4</v>
      </c>
      <c r="H12" t="s">
        <v>26</v>
      </c>
      <c r="I12" t="s">
        <v>26</v>
      </c>
      <c r="J12">
        <v>4.5</v>
      </c>
      <c r="K12" t="s">
        <v>26</v>
      </c>
      <c r="L12">
        <v>2.5</v>
      </c>
      <c r="M12">
        <v>4.5</v>
      </c>
      <c r="N12">
        <v>5.5</v>
      </c>
      <c r="O12">
        <v>6</v>
      </c>
      <c r="P12">
        <v>4.5</v>
      </c>
      <c r="Q12" t="s">
        <v>26</v>
      </c>
      <c r="R12" t="s">
        <v>26</v>
      </c>
      <c r="S12">
        <v>4</v>
      </c>
      <c r="T12">
        <v>6</v>
      </c>
      <c r="U12">
        <v>2.5</v>
      </c>
      <c r="V12">
        <v>5.5</v>
      </c>
      <c r="W12">
        <v>6</v>
      </c>
      <c r="X12">
        <v>6</v>
      </c>
      <c r="Y12" t="s">
        <v>26</v>
      </c>
      <c r="Z12">
        <v>5.5</v>
      </c>
      <c r="AA12" t="s">
        <v>26</v>
      </c>
      <c r="AB12" t="s">
        <v>26</v>
      </c>
      <c r="AC12">
        <v>4</v>
      </c>
      <c r="AD12">
        <v>4.5</v>
      </c>
      <c r="AE12">
        <v>4</v>
      </c>
      <c r="AF12">
        <v>2.5</v>
      </c>
      <c r="AG12">
        <v>3</v>
      </c>
      <c r="AH12">
        <v>5</v>
      </c>
      <c r="AK12">
        <v>5</v>
      </c>
      <c r="AL12">
        <v>2.5</v>
      </c>
      <c r="AM12">
        <v>4</v>
      </c>
      <c r="AO12">
        <v>5.5</v>
      </c>
      <c r="AP12">
        <v>5.5</v>
      </c>
      <c r="AQ12">
        <v>4</v>
      </c>
      <c r="AR12">
        <v>3.5</v>
      </c>
      <c r="AT12">
        <v>5</v>
      </c>
      <c r="AU12">
        <v>4</v>
      </c>
      <c r="AX12">
        <v>5.5</v>
      </c>
      <c r="AY12">
        <v>4.5</v>
      </c>
      <c r="AZ12">
        <v>4.5</v>
      </c>
      <c r="BA12">
        <v>5</v>
      </c>
      <c r="BC12">
        <v>4</v>
      </c>
      <c r="BE12">
        <v>4.5</v>
      </c>
      <c r="BK12">
        <v>4.5</v>
      </c>
      <c r="BL12">
        <v>4</v>
      </c>
      <c r="BM12">
        <v>5</v>
      </c>
      <c r="BO12">
        <v>4.5</v>
      </c>
      <c r="BR12">
        <v>4.5</v>
      </c>
      <c r="BT12">
        <v>5</v>
      </c>
      <c r="CA12">
        <f>COUNT(B12:BZ12)</f>
        <v>43</v>
      </c>
      <c r="CB12" s="18">
        <f>AVERAGE(B12:BZ12)</f>
        <v>4.5348837209302326</v>
      </c>
      <c r="CC12">
        <f>IF(CA12&gt;1,_xlfn.STDEV.S(B12:BZ12),"")</f>
        <v>0.97830848210431687</v>
      </c>
      <c r="CD12">
        <v>1</v>
      </c>
      <c r="CE12">
        <f t="shared" si="0"/>
        <v>0</v>
      </c>
    </row>
    <row r="13" spans="1:83" hidden="1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6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6</v>
      </c>
      <c r="N13">
        <v>6</v>
      </c>
      <c r="O13">
        <v>6</v>
      </c>
      <c r="P13">
        <v>6</v>
      </c>
      <c r="Q13">
        <v>7</v>
      </c>
      <c r="R13" t="s">
        <v>26</v>
      </c>
      <c r="S13" t="s">
        <v>26</v>
      </c>
      <c r="T13">
        <v>6</v>
      </c>
      <c r="U13">
        <v>6</v>
      </c>
      <c r="V13">
        <v>7</v>
      </c>
      <c r="W13">
        <v>6</v>
      </c>
      <c r="X13" t="s">
        <v>26</v>
      </c>
      <c r="Y13">
        <v>8.5</v>
      </c>
      <c r="Z13">
        <v>6</v>
      </c>
      <c r="AA13">
        <v>6</v>
      </c>
      <c r="AB13">
        <v>5.5</v>
      </c>
      <c r="AC13" t="s">
        <v>26</v>
      </c>
      <c r="AD13" t="s">
        <v>26</v>
      </c>
      <c r="AE13">
        <v>6</v>
      </c>
      <c r="AF13">
        <v>6.5</v>
      </c>
      <c r="AG13">
        <v>6.5</v>
      </c>
      <c r="AL13">
        <v>4.5</v>
      </c>
      <c r="AM13">
        <v>5.5</v>
      </c>
      <c r="AQ13">
        <v>5</v>
      </c>
      <c r="AT13">
        <v>5.5</v>
      </c>
      <c r="AU13">
        <v>5.5</v>
      </c>
      <c r="AV13">
        <v>5</v>
      </c>
      <c r="AW13">
        <v>5</v>
      </c>
      <c r="AX13">
        <v>5.5</v>
      </c>
      <c r="AZ13">
        <v>5.5</v>
      </c>
      <c r="BA13">
        <v>5</v>
      </c>
      <c r="BC13">
        <v>7</v>
      </c>
      <c r="BE13">
        <v>4.5</v>
      </c>
      <c r="BF13">
        <v>7.5</v>
      </c>
      <c r="BG13">
        <v>5</v>
      </c>
      <c r="BH13">
        <v>6</v>
      </c>
      <c r="BI13">
        <v>5</v>
      </c>
      <c r="BK13">
        <v>5.5</v>
      </c>
      <c r="BL13">
        <v>5.5</v>
      </c>
      <c r="BM13">
        <v>5</v>
      </c>
      <c r="BO13">
        <v>5</v>
      </c>
      <c r="BP13">
        <v>5.5</v>
      </c>
      <c r="BS13">
        <v>5.5</v>
      </c>
      <c r="BV13">
        <v>5.5</v>
      </c>
      <c r="BW13">
        <v>5.5</v>
      </c>
      <c r="CA13">
        <f>COUNT(B13:BZ13)</f>
        <v>44</v>
      </c>
      <c r="CB13" s="18">
        <f>AVERAGE(B13:BZ13)</f>
        <v>5.9318181818181817</v>
      </c>
      <c r="CC13">
        <f>IF(CA13&gt;1,_xlfn.STDEV.S(B13:BZ13),"")</f>
        <v>1.0263443203173968</v>
      </c>
      <c r="CD13">
        <v>1</v>
      </c>
      <c r="CE13">
        <f t="shared" si="0"/>
        <v>2</v>
      </c>
    </row>
    <row r="14" spans="1:83" hidden="1" x14ac:dyDescent="0.35">
      <c r="A14" t="s">
        <v>44</v>
      </c>
      <c r="B14" t="s">
        <v>26</v>
      </c>
      <c r="C14" t="s">
        <v>26</v>
      </c>
      <c r="D14" t="s">
        <v>26</v>
      </c>
      <c r="E14" t="s">
        <v>26</v>
      </c>
      <c r="F14">
        <v>5.5</v>
      </c>
      <c r="G14">
        <v>4.5</v>
      </c>
      <c r="H14">
        <v>6</v>
      </c>
      <c r="I14" t="s">
        <v>26</v>
      </c>
      <c r="J14" t="s">
        <v>26</v>
      </c>
      <c r="K14" t="s">
        <v>26</v>
      </c>
      <c r="L14" t="s">
        <v>26</v>
      </c>
      <c r="M14" t="s">
        <v>26</v>
      </c>
      <c r="N14" t="s">
        <v>26</v>
      </c>
      <c r="O14" t="s">
        <v>26</v>
      </c>
      <c r="P14" t="s">
        <v>26</v>
      </c>
      <c r="Q14">
        <v>6</v>
      </c>
      <c r="R14" t="s">
        <v>26</v>
      </c>
      <c r="S14">
        <v>6</v>
      </c>
      <c r="T14">
        <v>6</v>
      </c>
      <c r="U14" t="s">
        <v>26</v>
      </c>
      <c r="V14" t="s">
        <v>26</v>
      </c>
      <c r="W14" t="s">
        <v>26</v>
      </c>
      <c r="X14" t="s">
        <v>26</v>
      </c>
      <c r="Y14" t="s">
        <v>26</v>
      </c>
      <c r="Z14" t="s">
        <v>26</v>
      </c>
      <c r="AA14" t="s">
        <v>26</v>
      </c>
      <c r="AB14" t="s">
        <v>26</v>
      </c>
      <c r="AC14" t="s">
        <v>26</v>
      </c>
      <c r="AD14" t="s">
        <v>26</v>
      </c>
      <c r="AG14">
        <v>6.5</v>
      </c>
      <c r="AI14">
        <v>4</v>
      </c>
      <c r="AJ14">
        <v>3.5</v>
      </c>
      <c r="AK14">
        <v>3</v>
      </c>
      <c r="AL14">
        <v>5</v>
      </c>
      <c r="AN14">
        <v>5</v>
      </c>
      <c r="AO14">
        <v>5</v>
      </c>
      <c r="AW14">
        <v>4.5</v>
      </c>
      <c r="AX14">
        <v>4.5</v>
      </c>
      <c r="AY14">
        <v>4.5</v>
      </c>
      <c r="AZ14">
        <v>4.5</v>
      </c>
      <c r="BB14">
        <v>5.5</v>
      </c>
      <c r="BC14">
        <v>2.5</v>
      </c>
      <c r="BE14">
        <v>4</v>
      </c>
      <c r="BF14">
        <v>5</v>
      </c>
      <c r="BG14">
        <v>3.5</v>
      </c>
      <c r="BH14">
        <v>4</v>
      </c>
      <c r="BI14">
        <v>5</v>
      </c>
      <c r="BJ14">
        <v>4.5</v>
      </c>
      <c r="BK14">
        <v>5</v>
      </c>
      <c r="BL14">
        <v>4.5</v>
      </c>
      <c r="BO14">
        <v>4</v>
      </c>
      <c r="BP14">
        <v>5</v>
      </c>
      <c r="BQ14">
        <v>4.5</v>
      </c>
      <c r="BS14">
        <v>4.5</v>
      </c>
      <c r="BT14">
        <v>4.5</v>
      </c>
      <c r="BV14">
        <v>4</v>
      </c>
      <c r="BX14">
        <v>5</v>
      </c>
      <c r="CA14">
        <f>COUNT(B14:BZ14)</f>
        <v>34</v>
      </c>
      <c r="CB14" s="18">
        <f>AVERAGE(B14:BZ14)</f>
        <v>4.6764705882352944</v>
      </c>
      <c r="CC14">
        <f>IF(CA14&gt;1,_xlfn.STDEV.S(B14:BZ14),"")</f>
        <v>0.87803459016884888</v>
      </c>
      <c r="CD14">
        <v>1</v>
      </c>
      <c r="CE14">
        <f t="shared" si="0"/>
        <v>2</v>
      </c>
    </row>
    <row r="15" spans="1:83" hidden="1" x14ac:dyDescent="0.35">
      <c r="A15" t="s">
        <v>15</v>
      </c>
      <c r="B15">
        <v>7</v>
      </c>
      <c r="C15">
        <v>5.5</v>
      </c>
      <c r="D15" t="s">
        <v>26</v>
      </c>
      <c r="E15" t="s">
        <v>26</v>
      </c>
      <c r="F15" t="s">
        <v>26</v>
      </c>
      <c r="G15">
        <v>6</v>
      </c>
      <c r="H15">
        <v>4.5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>
        <v>6</v>
      </c>
      <c r="Q15">
        <v>5.5</v>
      </c>
      <c r="R15">
        <v>7</v>
      </c>
      <c r="S15">
        <v>6</v>
      </c>
      <c r="T15">
        <v>6</v>
      </c>
      <c r="U15">
        <v>7</v>
      </c>
      <c r="V15">
        <v>5.5</v>
      </c>
      <c r="W15">
        <v>6</v>
      </c>
      <c r="X15">
        <v>5.5</v>
      </c>
      <c r="Y15">
        <v>7</v>
      </c>
      <c r="Z15" t="s">
        <v>26</v>
      </c>
      <c r="AA15">
        <v>7</v>
      </c>
      <c r="AB15">
        <v>6</v>
      </c>
      <c r="AC15" t="s">
        <v>26</v>
      </c>
      <c r="AD15">
        <v>6</v>
      </c>
      <c r="BB15">
        <v>3.5</v>
      </c>
      <c r="BC15">
        <v>4</v>
      </c>
      <c r="BD15">
        <v>5</v>
      </c>
      <c r="BE15">
        <v>7</v>
      </c>
      <c r="BH15">
        <v>5</v>
      </c>
      <c r="BJ15">
        <v>4.5</v>
      </c>
      <c r="BK15">
        <v>5.5</v>
      </c>
      <c r="BL15">
        <v>5</v>
      </c>
      <c r="BM15">
        <v>5</v>
      </c>
      <c r="BN15">
        <v>5.5</v>
      </c>
      <c r="BR15">
        <v>5</v>
      </c>
      <c r="BS15">
        <v>5</v>
      </c>
      <c r="BW15">
        <v>5.5</v>
      </c>
      <c r="BX15">
        <v>5</v>
      </c>
      <c r="BY15">
        <v>5</v>
      </c>
      <c r="CA15">
        <f>COUNT(B15:BZ15)</f>
        <v>32</v>
      </c>
      <c r="CB15" s="18">
        <f>AVERAGE(B15:BZ15)</f>
        <v>5.59375</v>
      </c>
      <c r="CC15">
        <f>IF(CA15&gt;1,_xlfn.STDEV.S(B15:BZ15),"")</f>
        <v>0.90194681911747376</v>
      </c>
      <c r="CD15">
        <v>1</v>
      </c>
      <c r="CE15">
        <f t="shared" si="0"/>
        <v>3</v>
      </c>
    </row>
    <row r="16" spans="1:83" hidden="1" x14ac:dyDescent="0.35">
      <c r="A16" t="s">
        <v>56</v>
      </c>
      <c r="B16" t="s">
        <v>26</v>
      </c>
      <c r="C16" t="s">
        <v>26</v>
      </c>
      <c r="D16" t="s">
        <v>26</v>
      </c>
      <c r="E16" t="s">
        <v>26</v>
      </c>
      <c r="F16" t="s">
        <v>26</v>
      </c>
      <c r="G16" t="s">
        <v>26</v>
      </c>
      <c r="H16" t="s">
        <v>26</v>
      </c>
      <c r="I16" t="s">
        <v>26</v>
      </c>
      <c r="J16" t="s">
        <v>26</v>
      </c>
      <c r="K16" t="s">
        <v>26</v>
      </c>
      <c r="L16" t="s">
        <v>26</v>
      </c>
      <c r="M16" t="s">
        <v>26</v>
      </c>
      <c r="N16" t="s">
        <v>26</v>
      </c>
      <c r="O16" t="s">
        <v>26</v>
      </c>
      <c r="P16" t="s">
        <v>26</v>
      </c>
      <c r="Q16">
        <v>5.5</v>
      </c>
      <c r="R16" t="s">
        <v>26</v>
      </c>
      <c r="S16">
        <v>7</v>
      </c>
      <c r="T16" t="s">
        <v>26</v>
      </c>
      <c r="U16" t="s">
        <v>26</v>
      </c>
      <c r="V16">
        <v>7</v>
      </c>
      <c r="W16" t="s">
        <v>26</v>
      </c>
      <c r="X16">
        <v>6</v>
      </c>
      <c r="Y16">
        <v>7</v>
      </c>
      <c r="Z16">
        <v>7</v>
      </c>
      <c r="AA16" t="s">
        <v>26</v>
      </c>
      <c r="AB16">
        <v>7</v>
      </c>
      <c r="AC16">
        <v>4.5</v>
      </c>
      <c r="AD16">
        <v>7</v>
      </c>
      <c r="AE16">
        <v>6</v>
      </c>
      <c r="AF16">
        <v>5</v>
      </c>
      <c r="AG16">
        <v>6.5</v>
      </c>
      <c r="AH16">
        <v>6.5</v>
      </c>
      <c r="AI16">
        <v>6.5</v>
      </c>
      <c r="AJ16">
        <v>5</v>
      </c>
      <c r="AK16">
        <v>5</v>
      </c>
      <c r="AL16">
        <v>6</v>
      </c>
      <c r="AM16">
        <v>5</v>
      </c>
      <c r="AO16">
        <v>5</v>
      </c>
      <c r="AP16">
        <v>5.5</v>
      </c>
      <c r="AQ16">
        <v>4.5</v>
      </c>
      <c r="AR16">
        <v>5</v>
      </c>
      <c r="AS16">
        <v>5</v>
      </c>
      <c r="AT16">
        <v>5</v>
      </c>
      <c r="AU16">
        <v>6</v>
      </c>
      <c r="AV16">
        <v>4.5</v>
      </c>
      <c r="AW16">
        <v>5</v>
      </c>
      <c r="BP16">
        <v>5</v>
      </c>
      <c r="BQ16">
        <v>5</v>
      </c>
      <c r="BR16">
        <v>5.5</v>
      </c>
      <c r="BS16">
        <v>5.5</v>
      </c>
      <c r="BV16">
        <v>5</v>
      </c>
      <c r="BW16">
        <v>5.5</v>
      </c>
      <c r="BY16">
        <v>4.5</v>
      </c>
      <c r="CA16">
        <f>COUNT(B16:BZ16)</f>
        <v>34</v>
      </c>
      <c r="CB16" s="18">
        <f>AVERAGE(B16:BZ16)</f>
        <v>5.617647058823529</v>
      </c>
      <c r="CC16">
        <f>IF(CA16&gt;1,_xlfn.STDEV.S(B16:BZ16),"")</f>
        <v>0.85332525620063215</v>
      </c>
      <c r="CD16">
        <v>1</v>
      </c>
      <c r="CE16">
        <f t="shared" si="0"/>
        <v>3</v>
      </c>
    </row>
    <row r="17" spans="1:84" hidden="1" x14ac:dyDescent="0.35">
      <c r="A17" t="s">
        <v>46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>
        <v>6</v>
      </c>
      <c r="I17">
        <v>5.5</v>
      </c>
      <c r="J17">
        <v>5.5</v>
      </c>
      <c r="K17">
        <v>4</v>
      </c>
      <c r="L17" t="s">
        <v>26</v>
      </c>
      <c r="M17">
        <v>4</v>
      </c>
      <c r="N17">
        <v>4.5</v>
      </c>
      <c r="O17">
        <v>7.5</v>
      </c>
      <c r="P17">
        <v>7</v>
      </c>
      <c r="Q17">
        <v>4.5</v>
      </c>
      <c r="R17" t="s">
        <v>26</v>
      </c>
      <c r="S17" t="s">
        <v>26</v>
      </c>
      <c r="T17" t="s">
        <v>26</v>
      </c>
      <c r="U17">
        <v>5.5</v>
      </c>
      <c r="V17" t="s">
        <v>26</v>
      </c>
      <c r="W17" t="s">
        <v>26</v>
      </c>
      <c r="X17" t="s">
        <v>26</v>
      </c>
      <c r="Y17" t="s">
        <v>26</v>
      </c>
      <c r="Z17" t="s">
        <v>26</v>
      </c>
      <c r="AA17" t="s">
        <v>26</v>
      </c>
      <c r="AB17" t="s">
        <v>26</v>
      </c>
      <c r="AC17" t="s">
        <v>26</v>
      </c>
      <c r="AD17" t="s">
        <v>26</v>
      </c>
      <c r="AH17">
        <v>5</v>
      </c>
      <c r="AI17">
        <v>5.5</v>
      </c>
      <c r="AJ17">
        <v>3.5</v>
      </c>
      <c r="BF17">
        <v>3.5</v>
      </c>
      <c r="BG17">
        <v>4.5</v>
      </c>
      <c r="BH17">
        <v>4</v>
      </c>
      <c r="BI17">
        <v>5</v>
      </c>
      <c r="BJ17">
        <v>3.5</v>
      </c>
      <c r="BK17">
        <v>4</v>
      </c>
      <c r="BL17">
        <v>5</v>
      </c>
      <c r="BO17">
        <v>5</v>
      </c>
      <c r="BQ17">
        <v>7</v>
      </c>
      <c r="BR17">
        <v>4.5</v>
      </c>
      <c r="BT17">
        <v>5</v>
      </c>
      <c r="BU17">
        <v>5.5</v>
      </c>
      <c r="BV17">
        <v>4.5</v>
      </c>
      <c r="BX17">
        <v>5</v>
      </c>
      <c r="BY17">
        <v>5</v>
      </c>
      <c r="CA17">
        <f>COUNT(B17:BZ17)</f>
        <v>28</v>
      </c>
      <c r="CB17" s="18">
        <f>AVERAGE(B17:BZ17)</f>
        <v>4.9642857142857144</v>
      </c>
      <c r="CC17">
        <f>IF(CA17&gt;1,_xlfn.STDEV.S(B17:BZ17),"")</f>
        <v>1.0267583962319482</v>
      </c>
      <c r="CD17">
        <v>1</v>
      </c>
      <c r="CE17">
        <f t="shared" si="0"/>
        <v>3</v>
      </c>
    </row>
    <row r="18" spans="1:84" hidden="1" x14ac:dyDescent="0.35">
      <c r="A18" t="s">
        <v>2</v>
      </c>
      <c r="B18">
        <v>7</v>
      </c>
      <c r="C18" t="s">
        <v>26</v>
      </c>
      <c r="D18">
        <v>4.5</v>
      </c>
      <c r="E18">
        <v>4.5</v>
      </c>
      <c r="F18">
        <v>5.5</v>
      </c>
      <c r="G18">
        <v>5.5</v>
      </c>
      <c r="H18">
        <v>7</v>
      </c>
      <c r="I18" t="s">
        <v>26</v>
      </c>
      <c r="J18">
        <v>6</v>
      </c>
      <c r="K18">
        <v>6</v>
      </c>
      <c r="L18">
        <v>5.5</v>
      </c>
      <c r="M18">
        <v>6</v>
      </c>
      <c r="N18" t="s">
        <v>26</v>
      </c>
      <c r="O18">
        <v>5.5</v>
      </c>
      <c r="P18">
        <v>6</v>
      </c>
      <c r="Q18">
        <v>4.5</v>
      </c>
      <c r="R18">
        <v>6</v>
      </c>
      <c r="S18">
        <v>7</v>
      </c>
      <c r="T18">
        <v>5.5</v>
      </c>
      <c r="U18">
        <v>5.5</v>
      </c>
      <c r="V18">
        <v>5.5</v>
      </c>
      <c r="W18">
        <v>5.5</v>
      </c>
      <c r="X18">
        <v>6</v>
      </c>
      <c r="Y18">
        <v>5.5</v>
      </c>
      <c r="Z18" t="s">
        <v>26</v>
      </c>
      <c r="AA18">
        <v>7</v>
      </c>
      <c r="AB18">
        <v>6</v>
      </c>
      <c r="AC18">
        <v>6</v>
      </c>
      <c r="AD18" t="s">
        <v>26</v>
      </c>
      <c r="AE18">
        <v>7</v>
      </c>
      <c r="AH18">
        <v>6.5</v>
      </c>
      <c r="AI18">
        <v>4.5</v>
      </c>
      <c r="AK18">
        <v>5</v>
      </c>
      <c r="AL18">
        <v>5</v>
      </c>
      <c r="AM18">
        <v>5.5</v>
      </c>
      <c r="AN18">
        <v>4</v>
      </c>
      <c r="AT18">
        <v>4.5</v>
      </c>
      <c r="AZ18">
        <v>4.5</v>
      </c>
      <c r="BC18">
        <v>4</v>
      </c>
      <c r="BG18">
        <v>4.5</v>
      </c>
      <c r="BH18">
        <v>5.5</v>
      </c>
      <c r="BI18">
        <v>5</v>
      </c>
      <c r="BJ18">
        <v>4.5</v>
      </c>
      <c r="BK18">
        <v>4.5</v>
      </c>
      <c r="BL18">
        <v>4.5</v>
      </c>
      <c r="BM18">
        <v>5</v>
      </c>
      <c r="BN18">
        <v>5.5</v>
      </c>
      <c r="BQ18">
        <v>5</v>
      </c>
      <c r="BW18">
        <v>5</v>
      </c>
      <c r="BY18">
        <v>4</v>
      </c>
      <c r="CA18">
        <f>COUNT(B18:BZ18)</f>
        <v>45</v>
      </c>
      <c r="CB18" s="18">
        <f>AVERAGE(B18:BZ18)</f>
        <v>5.3888888888888893</v>
      </c>
      <c r="CC18">
        <f>IF(CA18&gt;1,_xlfn.STDEV.S(B18:BZ18),"")</f>
        <v>0.8520622635759072</v>
      </c>
      <c r="CD18">
        <v>1</v>
      </c>
      <c r="CE18">
        <f t="shared" si="0"/>
        <v>2</v>
      </c>
    </row>
    <row r="19" spans="1:84" hidden="1" x14ac:dyDescent="0.35">
      <c r="A19" t="s">
        <v>84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 t="s">
        <v>26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 t="s">
        <v>26</v>
      </c>
      <c r="P19" t="s">
        <v>26</v>
      </c>
      <c r="Q19" t="s">
        <v>26</v>
      </c>
      <c r="R19" t="s">
        <v>26</v>
      </c>
      <c r="S19" t="s">
        <v>26</v>
      </c>
      <c r="T19" t="s">
        <v>26</v>
      </c>
      <c r="U19" t="s">
        <v>26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>
        <v>4.5</v>
      </c>
      <c r="AC19">
        <v>6</v>
      </c>
      <c r="AD19" t="s">
        <v>26</v>
      </c>
      <c r="AE19">
        <v>6.5</v>
      </c>
      <c r="AF19">
        <v>6</v>
      </c>
      <c r="AG19">
        <v>6.5</v>
      </c>
      <c r="AH19">
        <v>5</v>
      </c>
      <c r="AI19">
        <v>5.5</v>
      </c>
      <c r="AL19">
        <v>5</v>
      </c>
      <c r="AO19">
        <v>5.5</v>
      </c>
      <c r="AP19">
        <v>6</v>
      </c>
      <c r="AQ19">
        <v>5.5</v>
      </c>
      <c r="AT19">
        <v>4.5</v>
      </c>
      <c r="AU19">
        <v>5</v>
      </c>
      <c r="AV19">
        <v>5</v>
      </c>
      <c r="AW19">
        <v>4.5</v>
      </c>
      <c r="AX19">
        <v>5</v>
      </c>
      <c r="AZ19">
        <v>5</v>
      </c>
      <c r="BA19">
        <v>5.5</v>
      </c>
      <c r="BB19">
        <v>5.5</v>
      </c>
      <c r="BC19">
        <v>4</v>
      </c>
      <c r="BD19">
        <v>4.5</v>
      </c>
      <c r="BE19">
        <v>4.5</v>
      </c>
      <c r="BF19">
        <v>4.5</v>
      </c>
      <c r="BG19">
        <v>5</v>
      </c>
      <c r="BI19">
        <v>4.5</v>
      </c>
      <c r="BL19">
        <v>5</v>
      </c>
      <c r="BM19">
        <v>5</v>
      </c>
      <c r="BN19">
        <v>5.5</v>
      </c>
      <c r="BO19">
        <v>5</v>
      </c>
      <c r="BQ19">
        <v>5</v>
      </c>
      <c r="BR19">
        <v>4.5</v>
      </c>
      <c r="BW19">
        <v>5</v>
      </c>
      <c r="CA19">
        <f>COUNT(B19:BZ19)</f>
        <v>32</v>
      </c>
      <c r="CB19" s="18">
        <f>AVERAGE(B19:BZ19)</f>
        <v>5.125</v>
      </c>
      <c r="CC19">
        <f>IF(CA19&gt;1,_xlfn.STDEV.S(B19:BZ19),"")</f>
        <v>0.6090712125322324</v>
      </c>
      <c r="CD19">
        <v>1</v>
      </c>
      <c r="CE19">
        <f t="shared" si="0"/>
        <v>1</v>
      </c>
    </row>
    <row r="20" spans="1:84" hidden="1" x14ac:dyDescent="0.35">
      <c r="A20" t="s">
        <v>20</v>
      </c>
      <c r="B20" t="s">
        <v>26</v>
      </c>
      <c r="C20" t="s">
        <v>26</v>
      </c>
      <c r="D20">
        <v>7</v>
      </c>
      <c r="E20">
        <v>7</v>
      </c>
      <c r="F20">
        <v>7</v>
      </c>
      <c r="G20">
        <v>7</v>
      </c>
      <c r="H20">
        <v>7.5</v>
      </c>
      <c r="I20">
        <v>7</v>
      </c>
      <c r="J20">
        <v>7.5</v>
      </c>
      <c r="K20">
        <v>7</v>
      </c>
      <c r="L20">
        <v>6</v>
      </c>
      <c r="M20">
        <v>5.5</v>
      </c>
      <c r="N20">
        <v>5.5</v>
      </c>
      <c r="O20" t="s">
        <v>26</v>
      </c>
      <c r="P20">
        <v>7</v>
      </c>
      <c r="Q20">
        <v>4.5</v>
      </c>
      <c r="R20">
        <v>6</v>
      </c>
      <c r="S20">
        <v>7</v>
      </c>
      <c r="T20">
        <v>6</v>
      </c>
      <c r="U20">
        <v>7</v>
      </c>
      <c r="V20">
        <v>6</v>
      </c>
      <c r="W20">
        <v>6</v>
      </c>
      <c r="X20">
        <v>5.5</v>
      </c>
      <c r="Y20">
        <v>6</v>
      </c>
      <c r="Z20">
        <v>6</v>
      </c>
      <c r="AA20">
        <v>7</v>
      </c>
      <c r="AB20">
        <v>5.5</v>
      </c>
      <c r="AC20">
        <v>6</v>
      </c>
      <c r="AD20">
        <v>7</v>
      </c>
      <c r="AE20">
        <v>6</v>
      </c>
      <c r="AF20">
        <v>6</v>
      </c>
      <c r="AG20">
        <v>6.5</v>
      </c>
      <c r="AI20">
        <v>5.5</v>
      </c>
      <c r="AJ20">
        <v>5</v>
      </c>
      <c r="AK20">
        <v>5.5</v>
      </c>
      <c r="AL20">
        <v>5</v>
      </c>
      <c r="AM20">
        <v>5</v>
      </c>
      <c r="AN20">
        <v>5.5</v>
      </c>
      <c r="AP20">
        <v>5</v>
      </c>
      <c r="AQ20">
        <v>4.5</v>
      </c>
      <c r="AR20">
        <v>4.5</v>
      </c>
      <c r="AT20">
        <v>5.5</v>
      </c>
      <c r="AU20">
        <v>5.5</v>
      </c>
      <c r="AV20">
        <v>5</v>
      </c>
      <c r="AW20">
        <v>4.5</v>
      </c>
      <c r="AX20">
        <v>4.5</v>
      </c>
      <c r="AY20">
        <v>5</v>
      </c>
      <c r="AZ20">
        <v>5.5</v>
      </c>
      <c r="BB20">
        <v>4.5</v>
      </c>
      <c r="BC20">
        <v>6</v>
      </c>
      <c r="BD20">
        <v>5.5</v>
      </c>
      <c r="BE20">
        <v>4</v>
      </c>
      <c r="BF20">
        <v>4.5</v>
      </c>
      <c r="BG20">
        <v>5.5</v>
      </c>
      <c r="BH20">
        <v>5</v>
      </c>
      <c r="BI20">
        <v>5</v>
      </c>
      <c r="BJ20">
        <v>5.5</v>
      </c>
      <c r="BM20">
        <v>4</v>
      </c>
      <c r="BN20">
        <v>5.5</v>
      </c>
      <c r="BO20">
        <v>4.5</v>
      </c>
      <c r="BP20">
        <v>5</v>
      </c>
      <c r="BQ20">
        <v>5</v>
      </c>
      <c r="BR20">
        <v>5</v>
      </c>
      <c r="BT20">
        <v>5.5</v>
      </c>
      <c r="CA20">
        <f>COUNT(B20:BZ20)</f>
        <v>61</v>
      </c>
      <c r="CB20" s="18">
        <f>AVERAGE(B20:BZ20)</f>
        <v>5.6721311475409832</v>
      </c>
      <c r="CC20">
        <f>IF(CA20&gt;1,_xlfn.STDEV.S(B20:BZ20),"")</f>
        <v>0.91234700042271633</v>
      </c>
      <c r="CD20">
        <v>0</v>
      </c>
      <c r="CE20">
        <f t="shared" si="0"/>
        <v>0</v>
      </c>
    </row>
    <row r="21" spans="1:84" x14ac:dyDescent="0.35">
      <c r="A21" t="s">
        <v>55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 t="s">
        <v>26</v>
      </c>
      <c r="I21" t="s">
        <v>26</v>
      </c>
      <c r="J21" t="s">
        <v>26</v>
      </c>
      <c r="K21" t="s">
        <v>26</v>
      </c>
      <c r="L21" t="s">
        <v>26</v>
      </c>
      <c r="M21" t="s">
        <v>26</v>
      </c>
      <c r="N21" t="s">
        <v>26</v>
      </c>
      <c r="O21">
        <v>6</v>
      </c>
      <c r="P21" t="s">
        <v>26</v>
      </c>
      <c r="Q21">
        <v>4.5</v>
      </c>
      <c r="R21" t="s">
        <v>26</v>
      </c>
      <c r="S21" t="s">
        <v>26</v>
      </c>
      <c r="T21">
        <v>7</v>
      </c>
      <c r="U21">
        <v>7</v>
      </c>
      <c r="V21">
        <v>6</v>
      </c>
      <c r="W21">
        <v>6</v>
      </c>
      <c r="X21">
        <v>6</v>
      </c>
      <c r="Y21">
        <v>7.5</v>
      </c>
      <c r="Z21">
        <v>6</v>
      </c>
      <c r="AA21">
        <v>6</v>
      </c>
      <c r="AB21" t="s">
        <v>26</v>
      </c>
      <c r="AC21">
        <v>6</v>
      </c>
      <c r="AD21">
        <v>7</v>
      </c>
      <c r="AF21">
        <v>7</v>
      </c>
      <c r="AG21">
        <v>7</v>
      </c>
      <c r="AQ21">
        <v>7</v>
      </c>
      <c r="AR21">
        <v>6.5</v>
      </c>
      <c r="AS21">
        <v>5</v>
      </c>
      <c r="AT21">
        <v>5</v>
      </c>
      <c r="AU21">
        <v>5</v>
      </c>
      <c r="AV21">
        <v>5</v>
      </c>
      <c r="AW21">
        <v>5</v>
      </c>
      <c r="AZ21">
        <v>5.5</v>
      </c>
      <c r="BC21">
        <v>4.5</v>
      </c>
      <c r="BE21">
        <v>5.5</v>
      </c>
      <c r="BF21">
        <v>5.5</v>
      </c>
      <c r="BH21">
        <v>5.5</v>
      </c>
      <c r="BJ21">
        <v>5</v>
      </c>
      <c r="BM21">
        <v>5</v>
      </c>
      <c r="BN21">
        <v>4.5</v>
      </c>
      <c r="BO21">
        <v>5.5</v>
      </c>
      <c r="BQ21">
        <v>5</v>
      </c>
      <c r="BR21">
        <v>6</v>
      </c>
      <c r="BS21">
        <v>5.5</v>
      </c>
      <c r="BT21">
        <v>5.5</v>
      </c>
      <c r="BU21">
        <v>5</v>
      </c>
      <c r="BX21">
        <v>5</v>
      </c>
      <c r="CA21">
        <f>COUNT(B21:BZ21)</f>
        <v>36</v>
      </c>
      <c r="CB21" s="18">
        <f>AVERAGE(B21:BZ21)</f>
        <v>5.7222222222222223</v>
      </c>
      <c r="CC21">
        <f>IF(CA21&gt;1,_xlfn.STDEV.S(B21:BZ21),"")</f>
        <v>0.83190353531133077</v>
      </c>
      <c r="CD21">
        <v>0</v>
      </c>
      <c r="CE21">
        <f t="shared" si="0"/>
        <v>1</v>
      </c>
      <c r="CF21">
        <f>CE21*27</f>
        <v>27</v>
      </c>
    </row>
    <row r="22" spans="1:84" hidden="1" x14ac:dyDescent="0.35">
      <c r="A22" t="s">
        <v>14</v>
      </c>
      <c r="B22">
        <v>7</v>
      </c>
      <c r="C22" t="s">
        <v>26</v>
      </c>
      <c r="D22">
        <v>7.5</v>
      </c>
      <c r="E22" t="s">
        <v>26</v>
      </c>
      <c r="F22">
        <v>6</v>
      </c>
      <c r="G22">
        <v>7</v>
      </c>
      <c r="H22">
        <v>4.5</v>
      </c>
      <c r="I22">
        <v>5.5</v>
      </c>
      <c r="J22" t="s">
        <v>26</v>
      </c>
      <c r="K22">
        <v>6</v>
      </c>
      <c r="L22">
        <v>6</v>
      </c>
      <c r="M22">
        <v>6</v>
      </c>
      <c r="N22" t="s">
        <v>26</v>
      </c>
      <c r="O22">
        <v>6</v>
      </c>
      <c r="P22">
        <v>5.5</v>
      </c>
      <c r="Q22">
        <v>5.5</v>
      </c>
      <c r="R22">
        <v>6</v>
      </c>
      <c r="S22">
        <v>4.5</v>
      </c>
      <c r="T22">
        <v>7</v>
      </c>
      <c r="U22" t="s">
        <v>26</v>
      </c>
      <c r="V22">
        <v>6</v>
      </c>
      <c r="W22" t="s">
        <v>26</v>
      </c>
      <c r="X22">
        <v>7</v>
      </c>
      <c r="Y22">
        <v>6</v>
      </c>
      <c r="Z22" t="s">
        <v>26</v>
      </c>
      <c r="AA22">
        <v>6</v>
      </c>
      <c r="AB22">
        <v>5.5</v>
      </c>
      <c r="AC22">
        <v>6</v>
      </c>
      <c r="AD22">
        <v>5.5</v>
      </c>
      <c r="AI22">
        <v>5</v>
      </c>
      <c r="AL22">
        <v>5.5</v>
      </c>
      <c r="AM22">
        <v>5</v>
      </c>
      <c r="AN22">
        <v>5</v>
      </c>
      <c r="AO22">
        <v>5</v>
      </c>
      <c r="AP22">
        <v>5</v>
      </c>
      <c r="AQ22">
        <v>5</v>
      </c>
      <c r="AR22">
        <v>4.5</v>
      </c>
      <c r="AS22">
        <v>5.5</v>
      </c>
      <c r="AT22">
        <v>5.5</v>
      </c>
      <c r="AV22">
        <v>5</v>
      </c>
      <c r="AY22">
        <v>4.5</v>
      </c>
      <c r="AZ22">
        <v>5</v>
      </c>
      <c r="BB22">
        <v>5</v>
      </c>
      <c r="BC22">
        <v>6</v>
      </c>
      <c r="BD22">
        <v>6</v>
      </c>
      <c r="BE22">
        <v>6</v>
      </c>
      <c r="BF22">
        <v>5</v>
      </c>
      <c r="BG22">
        <v>5.5</v>
      </c>
      <c r="BH22">
        <v>5</v>
      </c>
      <c r="BI22">
        <v>5</v>
      </c>
      <c r="BK22">
        <v>5.5</v>
      </c>
      <c r="BL22">
        <v>5</v>
      </c>
      <c r="BM22">
        <v>5</v>
      </c>
      <c r="BN22">
        <v>5.5</v>
      </c>
      <c r="BO22">
        <v>4.5</v>
      </c>
      <c r="BP22">
        <v>4.5</v>
      </c>
      <c r="BQ22">
        <v>5</v>
      </c>
      <c r="BR22">
        <v>4.5</v>
      </c>
      <c r="CA22">
        <f>COUNT(B22:BZ22)</f>
        <v>51</v>
      </c>
      <c r="CB22" s="18">
        <f>AVERAGE(B22:BZ22)</f>
        <v>5.5</v>
      </c>
      <c r="CC22">
        <f>IF(CA22&gt;1,_xlfn.STDEV.S(B22:BZ22),"")</f>
        <v>0.73484692283495345</v>
      </c>
      <c r="CD22">
        <v>0</v>
      </c>
      <c r="CE22">
        <f t="shared" si="0"/>
        <v>0</v>
      </c>
    </row>
    <row r="23" spans="1:84" hidden="1" x14ac:dyDescent="0.35">
      <c r="A23" t="s">
        <v>66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 t="s">
        <v>26</v>
      </c>
      <c r="J23" t="s">
        <v>26</v>
      </c>
      <c r="K23" t="s">
        <v>26</v>
      </c>
      <c r="L23" t="s">
        <v>26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 t="s">
        <v>26</v>
      </c>
      <c r="S23" t="s">
        <v>26</v>
      </c>
      <c r="T23" t="s">
        <v>26</v>
      </c>
      <c r="U23" t="s">
        <v>26</v>
      </c>
      <c r="V23">
        <v>6</v>
      </c>
      <c r="W23">
        <v>6</v>
      </c>
      <c r="X23" t="s">
        <v>26</v>
      </c>
      <c r="Y23">
        <v>6</v>
      </c>
      <c r="Z23" t="s">
        <v>26</v>
      </c>
      <c r="AA23" t="s">
        <v>26</v>
      </c>
      <c r="AB23">
        <v>7</v>
      </c>
      <c r="AC23">
        <v>6</v>
      </c>
      <c r="AD23" t="s">
        <v>26</v>
      </c>
      <c r="AE23">
        <v>6</v>
      </c>
      <c r="AF23">
        <v>5</v>
      </c>
      <c r="AM23">
        <v>4.5</v>
      </c>
      <c r="AP23">
        <v>5</v>
      </c>
      <c r="AQ23">
        <v>4.5</v>
      </c>
      <c r="AR23">
        <v>5</v>
      </c>
      <c r="AS23">
        <v>4.5</v>
      </c>
      <c r="AT23">
        <v>4.5</v>
      </c>
      <c r="AU23">
        <v>4</v>
      </c>
      <c r="AV23">
        <v>5</v>
      </c>
      <c r="AW23">
        <v>4.5</v>
      </c>
      <c r="AX23">
        <v>5</v>
      </c>
      <c r="AY23">
        <v>5</v>
      </c>
      <c r="AZ23">
        <v>5</v>
      </c>
      <c r="BA23">
        <v>4.5</v>
      </c>
      <c r="BB23">
        <v>4.5</v>
      </c>
      <c r="BT23">
        <v>5.5</v>
      </c>
      <c r="CA23">
        <f>COUNT(B23:BZ23)</f>
        <v>22</v>
      </c>
      <c r="CB23" s="18">
        <f>AVERAGE(B23:BZ23)</f>
        <v>5.1363636363636367</v>
      </c>
      <c r="CC23">
        <f>IF(CA23&gt;1,_xlfn.STDEV.S(B23:BZ23),"")</f>
        <v>0.74293206415395308</v>
      </c>
      <c r="CD23">
        <v>0</v>
      </c>
      <c r="CE23">
        <f t="shared" si="0"/>
        <v>0</v>
      </c>
    </row>
    <row r="24" spans="1:84" hidden="1" x14ac:dyDescent="0.35">
      <c r="A24" t="s">
        <v>3</v>
      </c>
      <c r="B24">
        <v>7.5</v>
      </c>
      <c r="C24">
        <v>6</v>
      </c>
      <c r="D24">
        <v>7.5</v>
      </c>
      <c r="E24">
        <v>4</v>
      </c>
      <c r="F24">
        <v>6</v>
      </c>
      <c r="G24">
        <v>5.5</v>
      </c>
      <c r="H24">
        <v>4.5</v>
      </c>
      <c r="I24">
        <v>5.5</v>
      </c>
      <c r="J24">
        <v>5.5</v>
      </c>
      <c r="K24" t="s">
        <v>26</v>
      </c>
      <c r="L24" t="s">
        <v>26</v>
      </c>
      <c r="M24" t="s">
        <v>26</v>
      </c>
      <c r="N24" t="s">
        <v>26</v>
      </c>
      <c r="O24">
        <v>7</v>
      </c>
      <c r="P24">
        <v>6</v>
      </c>
      <c r="Q24">
        <v>6</v>
      </c>
      <c r="R24">
        <v>7</v>
      </c>
      <c r="S24" t="s">
        <v>26</v>
      </c>
      <c r="T24" t="s">
        <v>26</v>
      </c>
      <c r="U24" t="s">
        <v>26</v>
      </c>
      <c r="V24" t="s">
        <v>26</v>
      </c>
      <c r="W24" t="s">
        <v>26</v>
      </c>
      <c r="X24" t="s">
        <v>26</v>
      </c>
      <c r="Y24">
        <v>6</v>
      </c>
      <c r="Z24" t="s">
        <v>26</v>
      </c>
      <c r="AA24" t="s">
        <v>26</v>
      </c>
      <c r="AB24" t="s">
        <v>26</v>
      </c>
      <c r="AC24" t="s">
        <v>26</v>
      </c>
      <c r="AD24" t="s">
        <v>26</v>
      </c>
      <c r="AE24">
        <v>6.5</v>
      </c>
      <c r="AI24">
        <v>5</v>
      </c>
      <c r="AL24">
        <v>5.5</v>
      </c>
      <c r="AU24">
        <v>5</v>
      </c>
      <c r="BA24">
        <v>5</v>
      </c>
      <c r="CA24">
        <f>COUNT(B24:BZ24)</f>
        <v>19</v>
      </c>
      <c r="CB24" s="18">
        <f>AVERAGE(B24:BZ24)</f>
        <v>5.8421052631578947</v>
      </c>
      <c r="CC24">
        <f>IF(CA24&gt;1,_xlfn.STDEV.S(B24:BZ24),"")</f>
        <v>0.95819030206465661</v>
      </c>
      <c r="CD24">
        <v>0</v>
      </c>
      <c r="CE24">
        <f t="shared" si="0"/>
        <v>0</v>
      </c>
    </row>
    <row r="25" spans="1:84" hidden="1" x14ac:dyDescent="0.35">
      <c r="A25" t="s">
        <v>8</v>
      </c>
      <c r="B25">
        <v>6</v>
      </c>
      <c r="C25" t="s">
        <v>26</v>
      </c>
      <c r="D25">
        <v>4</v>
      </c>
      <c r="E25" t="s">
        <v>26</v>
      </c>
      <c r="F25" t="s">
        <v>26</v>
      </c>
      <c r="G25">
        <v>5.5</v>
      </c>
      <c r="H25">
        <v>4</v>
      </c>
      <c r="I25">
        <v>4.5</v>
      </c>
      <c r="J25">
        <v>7</v>
      </c>
      <c r="K25">
        <v>7</v>
      </c>
      <c r="L25" t="s">
        <v>26</v>
      </c>
      <c r="M25" t="s">
        <v>26</v>
      </c>
      <c r="N25" t="s">
        <v>26</v>
      </c>
      <c r="O25">
        <v>5.5</v>
      </c>
      <c r="P25" t="s">
        <v>26</v>
      </c>
      <c r="Q25" t="s">
        <v>26</v>
      </c>
      <c r="R25" t="s">
        <v>26</v>
      </c>
      <c r="S25" t="s">
        <v>26</v>
      </c>
      <c r="T25" t="s">
        <v>26</v>
      </c>
      <c r="U25">
        <v>6</v>
      </c>
      <c r="V25" t="s">
        <v>26</v>
      </c>
      <c r="W25" t="s">
        <v>26</v>
      </c>
      <c r="X25" t="s">
        <v>26</v>
      </c>
      <c r="Y25" t="s">
        <v>26</v>
      </c>
      <c r="Z25" t="s">
        <v>26</v>
      </c>
      <c r="AA25">
        <v>7</v>
      </c>
      <c r="AB25" t="s">
        <v>26</v>
      </c>
      <c r="AC25">
        <v>7</v>
      </c>
      <c r="AD25" t="s">
        <v>26</v>
      </c>
      <c r="AI25">
        <v>5</v>
      </c>
      <c r="AJ25">
        <v>5</v>
      </c>
      <c r="AN25">
        <v>5</v>
      </c>
      <c r="AP25">
        <v>5.5</v>
      </c>
      <c r="AQ25">
        <v>4</v>
      </c>
      <c r="AV25">
        <v>4.5</v>
      </c>
      <c r="CA25">
        <f>COUNT(B25:BZ25)</f>
        <v>17</v>
      </c>
      <c r="CB25" s="18">
        <f>AVERAGE(B25:BZ25)</f>
        <v>5.4411764705882355</v>
      </c>
      <c r="CC25">
        <f>IF(CA25&gt;1,_xlfn.STDEV.S(B25:BZ25),"")</f>
        <v>1.0880365478290537</v>
      </c>
      <c r="CD25">
        <v>0</v>
      </c>
      <c r="CE25">
        <f t="shared" si="0"/>
        <v>0</v>
      </c>
    </row>
    <row r="26" spans="1:84" x14ac:dyDescent="0.35">
      <c r="A26" t="s">
        <v>48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>
        <v>7</v>
      </c>
      <c r="J26" t="s">
        <v>26</v>
      </c>
      <c r="K26">
        <v>7</v>
      </c>
      <c r="L26">
        <v>7.5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>
        <v>7</v>
      </c>
      <c r="S26" t="s">
        <v>26</v>
      </c>
      <c r="T26" t="s">
        <v>26</v>
      </c>
      <c r="U26">
        <v>7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>
        <v>6</v>
      </c>
      <c r="AS26">
        <v>5</v>
      </c>
      <c r="AT26">
        <v>5</v>
      </c>
      <c r="AX26">
        <v>6</v>
      </c>
      <c r="AY26">
        <v>4.5</v>
      </c>
      <c r="BB26">
        <v>5</v>
      </c>
      <c r="BD26">
        <v>5.5</v>
      </c>
      <c r="BI26">
        <v>4.5</v>
      </c>
      <c r="BJ26">
        <v>5.5</v>
      </c>
      <c r="BN26">
        <v>5</v>
      </c>
      <c r="BT26">
        <v>5</v>
      </c>
      <c r="BU26">
        <v>6.5</v>
      </c>
      <c r="BV26">
        <v>5</v>
      </c>
      <c r="CA26">
        <f>COUNT(B26:BZ26)</f>
        <v>18</v>
      </c>
      <c r="CB26" s="18">
        <f>AVERAGE(B26:BZ26)</f>
        <v>5.7777777777777777</v>
      </c>
      <c r="CC26">
        <f>IF(CA26&gt;1,_xlfn.STDEV.S(B26:BZ26),"")</f>
        <v>0.98849591956999727</v>
      </c>
      <c r="CD26">
        <v>0</v>
      </c>
      <c r="CE26">
        <f t="shared" si="0"/>
        <v>1</v>
      </c>
      <c r="CF26">
        <f>CE26*27</f>
        <v>27</v>
      </c>
    </row>
    <row r="27" spans="1:84" hidden="1" x14ac:dyDescent="0.35">
      <c r="A27" t="s">
        <v>68</v>
      </c>
      <c r="B27" t="s">
        <v>26</v>
      </c>
      <c r="C27" t="s">
        <v>26</v>
      </c>
      <c r="D27" t="s">
        <v>26</v>
      </c>
      <c r="E27" t="s">
        <v>26</v>
      </c>
      <c r="F27" t="s">
        <v>26</v>
      </c>
      <c r="G27" t="s">
        <v>26</v>
      </c>
      <c r="H27" t="s">
        <v>26</v>
      </c>
      <c r="I27" t="s">
        <v>26</v>
      </c>
      <c r="J27" t="s">
        <v>26</v>
      </c>
      <c r="K27" t="s">
        <v>26</v>
      </c>
      <c r="L27" t="s">
        <v>26</v>
      </c>
      <c r="M27" t="s">
        <v>26</v>
      </c>
      <c r="N27" t="s">
        <v>26</v>
      </c>
      <c r="O27" t="s">
        <v>26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 t="s">
        <v>26</v>
      </c>
      <c r="V27" t="s">
        <v>26</v>
      </c>
      <c r="W27" t="s">
        <v>26</v>
      </c>
      <c r="X27">
        <v>6</v>
      </c>
      <c r="Y27" t="s">
        <v>26</v>
      </c>
      <c r="Z27">
        <v>5.5</v>
      </c>
      <c r="AA27">
        <v>4</v>
      </c>
      <c r="AB27">
        <v>3</v>
      </c>
      <c r="AC27" t="s">
        <v>26</v>
      </c>
      <c r="AD27" t="s">
        <v>26</v>
      </c>
      <c r="AG27">
        <v>6</v>
      </c>
      <c r="AH27">
        <v>5</v>
      </c>
      <c r="AJ27">
        <v>4.5</v>
      </c>
      <c r="AK27">
        <v>5</v>
      </c>
      <c r="AO27">
        <v>4</v>
      </c>
      <c r="AP27">
        <v>5.5</v>
      </c>
      <c r="AR27">
        <v>3.5</v>
      </c>
      <c r="AW27">
        <v>3.5</v>
      </c>
      <c r="BA27">
        <v>3</v>
      </c>
      <c r="BJ27">
        <v>5.5</v>
      </c>
      <c r="BK27">
        <v>4</v>
      </c>
      <c r="BT27">
        <v>4</v>
      </c>
      <c r="CA27">
        <f>COUNT(B27:BZ27)</f>
        <v>16</v>
      </c>
      <c r="CB27" s="18">
        <f>AVERAGE(B27:BZ27)</f>
        <v>4.5</v>
      </c>
      <c r="CC27">
        <f>IF(CA27&gt;1,_xlfn.STDEV.S(B27:BZ27),"")</f>
        <v>1.0165300454651272</v>
      </c>
      <c r="CD27">
        <v>0</v>
      </c>
      <c r="CE27">
        <f t="shared" si="0"/>
        <v>0</v>
      </c>
    </row>
    <row r="28" spans="1:84" x14ac:dyDescent="0.35">
      <c r="A28" t="s">
        <v>346</v>
      </c>
      <c r="AN28">
        <v>5.5</v>
      </c>
      <c r="AO28">
        <v>5</v>
      </c>
      <c r="AQ28">
        <v>6</v>
      </c>
      <c r="AS28">
        <v>5</v>
      </c>
      <c r="AT28">
        <v>5</v>
      </c>
      <c r="AU28">
        <v>6</v>
      </c>
      <c r="AW28">
        <v>5</v>
      </c>
      <c r="AX28">
        <v>4.5</v>
      </c>
      <c r="AY28">
        <v>6</v>
      </c>
      <c r="AZ28">
        <v>5.5</v>
      </c>
      <c r="BA28">
        <v>5</v>
      </c>
      <c r="BC28">
        <v>4.5</v>
      </c>
      <c r="BE28">
        <v>4.5</v>
      </c>
      <c r="BF28">
        <v>5.5</v>
      </c>
      <c r="BG28">
        <v>5</v>
      </c>
      <c r="BV28">
        <v>5</v>
      </c>
      <c r="BW28">
        <v>5.5</v>
      </c>
      <c r="BY28">
        <v>5.5</v>
      </c>
      <c r="CA28">
        <f>COUNT(B28:BZ28)</f>
        <v>18</v>
      </c>
      <c r="CB28" s="18">
        <f>AVERAGE(B28:BZ28)</f>
        <v>5.2222222222222223</v>
      </c>
      <c r="CC28">
        <f>IF(CA28&gt;1,_xlfn.STDEV.S(B28:BZ28),"")</f>
        <v>0.49176220407782173</v>
      </c>
      <c r="CD28">
        <v>0</v>
      </c>
      <c r="CE28">
        <f t="shared" si="0"/>
        <v>3</v>
      </c>
      <c r="CF28">
        <f t="shared" ref="CF28:CF29" si="1">CE28*27</f>
        <v>81</v>
      </c>
    </row>
    <row r="29" spans="1:84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5.5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7.5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R29">
        <v>5.5</v>
      </c>
      <c r="AU29">
        <v>5.5</v>
      </c>
      <c r="AW29">
        <v>4.5</v>
      </c>
      <c r="BB29">
        <v>5.5</v>
      </c>
      <c r="BK29">
        <v>6</v>
      </c>
      <c r="BO29">
        <v>5.5</v>
      </c>
      <c r="BT29">
        <v>5.5</v>
      </c>
      <c r="BU29">
        <v>6</v>
      </c>
      <c r="BX29">
        <v>6</v>
      </c>
      <c r="CA29">
        <f>COUNT(B29:BZ29)</f>
        <v>16</v>
      </c>
      <c r="CB29" s="18">
        <f>AVERAGE(B29:BZ29)</f>
        <v>6.125</v>
      </c>
      <c r="CC29">
        <f>IF(CA29&gt;1,_xlfn.STDEV.S(B29:BZ29),"")</f>
        <v>0.84656167328001963</v>
      </c>
      <c r="CD29">
        <v>0</v>
      </c>
      <c r="CE29">
        <f t="shared" si="0"/>
        <v>1</v>
      </c>
      <c r="CF29">
        <f t="shared" si="1"/>
        <v>27</v>
      </c>
    </row>
    <row r="30" spans="1:84" hidden="1" x14ac:dyDescent="0.35">
      <c r="A30" t="s">
        <v>7</v>
      </c>
      <c r="B30">
        <v>6</v>
      </c>
      <c r="C30">
        <v>1.5</v>
      </c>
      <c r="D30">
        <v>4.5</v>
      </c>
      <c r="E30">
        <v>4</v>
      </c>
      <c r="F30">
        <v>7.5</v>
      </c>
      <c r="G30">
        <v>5.5</v>
      </c>
      <c r="H30">
        <v>6</v>
      </c>
      <c r="I30">
        <v>4.5</v>
      </c>
      <c r="J30">
        <v>3</v>
      </c>
      <c r="K30">
        <v>5.5</v>
      </c>
      <c r="L30">
        <v>2.5</v>
      </c>
      <c r="M30">
        <v>1.5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6</v>
      </c>
      <c r="CA30">
        <f>COUNT(B30:BZ30)</f>
        <v>13</v>
      </c>
      <c r="CB30" s="18">
        <f>AVERAGE(B30:BZ30)</f>
        <v>4.4615384615384617</v>
      </c>
      <c r="CC30">
        <f>IF(CA30&gt;1,_xlfn.STDEV.S(B30:BZ30),"")</f>
        <v>1.875961292039569</v>
      </c>
      <c r="CD30">
        <v>0</v>
      </c>
      <c r="CE30">
        <f t="shared" si="0"/>
        <v>0</v>
      </c>
    </row>
    <row r="31" spans="1:84" hidden="1" x14ac:dyDescent="0.35">
      <c r="A31" t="s">
        <v>12</v>
      </c>
      <c r="B31">
        <v>8.5</v>
      </c>
      <c r="C31" t="s">
        <v>26</v>
      </c>
      <c r="D31">
        <v>7.5</v>
      </c>
      <c r="E31">
        <v>7.5</v>
      </c>
      <c r="F31" t="s">
        <v>26</v>
      </c>
      <c r="G31" t="s">
        <v>26</v>
      </c>
      <c r="H31">
        <v>6</v>
      </c>
      <c r="I31">
        <v>7.5</v>
      </c>
      <c r="J31" t="s">
        <v>26</v>
      </c>
      <c r="K31">
        <v>6</v>
      </c>
      <c r="L31">
        <v>7.5</v>
      </c>
      <c r="M31">
        <v>7</v>
      </c>
      <c r="N31">
        <v>6</v>
      </c>
      <c r="O31" t="s">
        <v>26</v>
      </c>
      <c r="P31" t="s">
        <v>26</v>
      </c>
      <c r="Q31" t="s">
        <v>26</v>
      </c>
      <c r="R31">
        <v>9</v>
      </c>
      <c r="S31" t="s">
        <v>26</v>
      </c>
      <c r="T31" t="s">
        <v>26</v>
      </c>
      <c r="U31" t="s">
        <v>26</v>
      </c>
      <c r="V31" t="s">
        <v>26</v>
      </c>
      <c r="W31" t="s">
        <v>26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G31">
        <v>6.5</v>
      </c>
      <c r="AN31">
        <v>6</v>
      </c>
      <c r="BB31">
        <v>5</v>
      </c>
      <c r="CA31">
        <f>COUNT(B31:BZ31)</f>
        <v>13</v>
      </c>
      <c r="CB31" s="18">
        <f>AVERAGE(B31:BZ31)</f>
        <v>6.9230769230769234</v>
      </c>
      <c r="CC31">
        <f>IF(CA31&gt;1,_xlfn.STDEV.S(B31:BZ31),"")</f>
        <v>1.1336914969498575</v>
      </c>
      <c r="CD31">
        <v>0</v>
      </c>
      <c r="CE31">
        <f t="shared" si="0"/>
        <v>0</v>
      </c>
    </row>
    <row r="32" spans="1:84" hidden="1" x14ac:dyDescent="0.35">
      <c r="A32" t="s">
        <v>17</v>
      </c>
      <c r="B32" t="s">
        <v>26</v>
      </c>
      <c r="C32">
        <v>5.5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>
        <v>4.5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>
        <v>5.5</v>
      </c>
      <c r="Z32">
        <v>5.5</v>
      </c>
      <c r="AA32" t="s">
        <v>26</v>
      </c>
      <c r="AB32">
        <v>5.5</v>
      </c>
      <c r="AC32">
        <v>5.5</v>
      </c>
      <c r="AD32">
        <v>4</v>
      </c>
      <c r="AH32">
        <v>4</v>
      </c>
      <c r="BE32">
        <v>5</v>
      </c>
      <c r="BF32">
        <v>4.5</v>
      </c>
      <c r="BT32">
        <v>5</v>
      </c>
      <c r="CA32">
        <f>COUNT(B32:BZ32)</f>
        <v>11</v>
      </c>
      <c r="CB32" s="18">
        <f>AVERAGE(B32:BZ32)</f>
        <v>4.9545454545454541</v>
      </c>
      <c r="CC32">
        <f>IF(CA32&gt;1,_xlfn.STDEV.S(B32:BZ32),"")</f>
        <v>0.61051394146839499</v>
      </c>
      <c r="CD32">
        <v>0</v>
      </c>
      <c r="CE32">
        <f t="shared" si="0"/>
        <v>0</v>
      </c>
    </row>
    <row r="33" spans="1:84" x14ac:dyDescent="0.35">
      <c r="A33" t="s">
        <v>63</v>
      </c>
      <c r="B33" t="s">
        <v>26</v>
      </c>
      <c r="C33" t="s">
        <v>26</v>
      </c>
      <c r="D33" t="s">
        <v>26</v>
      </c>
      <c r="E33" t="s">
        <v>26</v>
      </c>
      <c r="F33" t="s">
        <v>26</v>
      </c>
      <c r="G33" t="s">
        <v>26</v>
      </c>
      <c r="H33" t="s">
        <v>26</v>
      </c>
      <c r="I33" t="s">
        <v>26</v>
      </c>
      <c r="J33" t="s">
        <v>26</v>
      </c>
      <c r="K33" t="s">
        <v>26</v>
      </c>
      <c r="L33" t="s">
        <v>26</v>
      </c>
      <c r="M33" t="s">
        <v>26</v>
      </c>
      <c r="N33" t="s">
        <v>26</v>
      </c>
      <c r="O33" t="s">
        <v>26</v>
      </c>
      <c r="P33" t="s">
        <v>26</v>
      </c>
      <c r="Q33" t="s">
        <v>26</v>
      </c>
      <c r="R33" t="s">
        <v>26</v>
      </c>
      <c r="S33">
        <v>4.5</v>
      </c>
      <c r="T33" t="s">
        <v>26</v>
      </c>
      <c r="U33">
        <v>4.5</v>
      </c>
      <c r="V33" t="s">
        <v>26</v>
      </c>
      <c r="W33">
        <v>5.5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K33">
        <v>3.5</v>
      </c>
      <c r="AY33">
        <v>4.5</v>
      </c>
      <c r="BI33">
        <v>4.5</v>
      </c>
      <c r="BJ33">
        <v>5.5</v>
      </c>
      <c r="BL33">
        <v>4.5</v>
      </c>
      <c r="BN33">
        <v>4.5</v>
      </c>
      <c r="BP33">
        <v>4.5</v>
      </c>
      <c r="BV33">
        <v>5</v>
      </c>
      <c r="BY33">
        <v>5</v>
      </c>
      <c r="CA33">
        <f>COUNT(B33:BZ33)</f>
        <v>12</v>
      </c>
      <c r="CB33" s="18">
        <f>AVERAGE(B33:BZ33)</f>
        <v>4.666666666666667</v>
      </c>
      <c r="CC33">
        <f>IF(CA33&gt;1,_xlfn.STDEV.S(B33:BZ33),"")</f>
        <v>0.53654336998866137</v>
      </c>
      <c r="CD33">
        <v>0</v>
      </c>
      <c r="CE33">
        <f t="shared" si="0"/>
        <v>2</v>
      </c>
      <c r="CF33">
        <f>CE33*27</f>
        <v>54</v>
      </c>
    </row>
    <row r="34" spans="1:84" hidden="1" x14ac:dyDescent="0.35">
      <c r="A34" t="s">
        <v>45</v>
      </c>
      <c r="B34" t="s">
        <v>26</v>
      </c>
      <c r="C34" t="s">
        <v>26</v>
      </c>
      <c r="D34" t="s">
        <v>26</v>
      </c>
      <c r="E34" t="s">
        <v>26</v>
      </c>
      <c r="F34" t="s">
        <v>26</v>
      </c>
      <c r="G34">
        <v>7.5</v>
      </c>
      <c r="H34">
        <v>7.5</v>
      </c>
      <c r="I34" t="s">
        <v>26</v>
      </c>
      <c r="J34">
        <v>8.5</v>
      </c>
      <c r="K34">
        <v>8.5</v>
      </c>
      <c r="L34">
        <v>7.5</v>
      </c>
      <c r="M34">
        <v>7.5</v>
      </c>
      <c r="N34">
        <v>7.5</v>
      </c>
      <c r="O34">
        <v>9</v>
      </c>
      <c r="P34">
        <v>8.5</v>
      </c>
      <c r="Q34" t="s">
        <v>26</v>
      </c>
      <c r="R34" t="s">
        <v>26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CA34">
        <f>COUNT(B34:BZ34)</f>
        <v>9</v>
      </c>
      <c r="CB34" s="18">
        <f>AVERAGE(B34:BZ34)</f>
        <v>8</v>
      </c>
      <c r="CC34">
        <f>IF(CA34&gt;1,_xlfn.STDEV.S(B34:BZ34),"")</f>
        <v>0.61237243569579447</v>
      </c>
      <c r="CD34">
        <v>0</v>
      </c>
      <c r="CE34">
        <f t="shared" si="0"/>
        <v>0</v>
      </c>
    </row>
    <row r="35" spans="1:84" hidden="1" x14ac:dyDescent="0.35">
      <c r="A35" t="s">
        <v>343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>
        <v>2.5</v>
      </c>
      <c r="K35" t="s">
        <v>26</v>
      </c>
      <c r="L35" t="s">
        <v>26</v>
      </c>
      <c r="M35">
        <v>4.5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N35">
        <v>2.5</v>
      </c>
      <c r="BG35">
        <v>5</v>
      </c>
      <c r="BH35">
        <v>4.5</v>
      </c>
      <c r="BI35">
        <v>4.5</v>
      </c>
      <c r="BM35">
        <v>5</v>
      </c>
      <c r="BN35">
        <v>5</v>
      </c>
      <c r="CA35">
        <f>COUNT(B35:BZ35)</f>
        <v>8</v>
      </c>
      <c r="CB35" s="18">
        <f>AVERAGE(B35:BZ35)</f>
        <v>4.1875</v>
      </c>
      <c r="CC35">
        <f>IF(CA35&gt;1,_xlfn.STDEV.S(B35:BZ35),"")</f>
        <v>1.0669549461635468</v>
      </c>
      <c r="CD35">
        <v>0</v>
      </c>
      <c r="CE35">
        <f t="shared" si="0"/>
        <v>0</v>
      </c>
    </row>
    <row r="36" spans="1:84" hidden="1" x14ac:dyDescent="0.35">
      <c r="A36" t="s">
        <v>340</v>
      </c>
      <c r="AJ36">
        <v>5</v>
      </c>
      <c r="AN36">
        <v>5.5</v>
      </c>
      <c r="AO36">
        <v>4.5</v>
      </c>
      <c r="AP36">
        <v>5</v>
      </c>
      <c r="AQ36">
        <v>5.5</v>
      </c>
      <c r="AR36">
        <v>5</v>
      </c>
      <c r="AS36">
        <v>5</v>
      </c>
      <c r="CA36">
        <f>COUNT(B36:BZ36)</f>
        <v>7</v>
      </c>
      <c r="CB36" s="18">
        <f>AVERAGE(B36:BZ36)</f>
        <v>5.0714285714285712</v>
      </c>
      <c r="CC36">
        <f>IF(CA36&gt;1,_xlfn.STDEV.S(B36:BZ36),"")</f>
        <v>0.34503277967117707</v>
      </c>
      <c r="CD36">
        <v>0</v>
      </c>
      <c r="CE36">
        <f t="shared" si="0"/>
        <v>0</v>
      </c>
    </row>
    <row r="37" spans="1:84" hidden="1" x14ac:dyDescent="0.35">
      <c r="A37" t="s">
        <v>24</v>
      </c>
      <c r="B37" t="s">
        <v>26</v>
      </c>
      <c r="C37" t="s">
        <v>26</v>
      </c>
      <c r="D37" t="s">
        <v>26</v>
      </c>
      <c r="E37">
        <v>7.5</v>
      </c>
      <c r="F37" t="s">
        <v>26</v>
      </c>
      <c r="G37" t="s">
        <v>26</v>
      </c>
      <c r="H37" t="s">
        <v>26</v>
      </c>
      <c r="I37" t="s">
        <v>26</v>
      </c>
      <c r="J37">
        <v>8.5</v>
      </c>
      <c r="K37" t="s">
        <v>26</v>
      </c>
      <c r="L37">
        <v>7.5</v>
      </c>
      <c r="M37" t="s">
        <v>26</v>
      </c>
      <c r="N37">
        <v>7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CA37">
        <f>COUNT(B37:BZ37)</f>
        <v>4</v>
      </c>
      <c r="CB37" s="18">
        <f>AVERAGE(B37:BZ37)</f>
        <v>7.625</v>
      </c>
      <c r="CC37">
        <f>IF(CA37&gt;1,_xlfn.STDEV.S(B37:BZ37),"")</f>
        <v>0.62915286960589578</v>
      </c>
      <c r="CD37">
        <v>0</v>
      </c>
      <c r="CE37">
        <f t="shared" si="0"/>
        <v>0</v>
      </c>
    </row>
    <row r="38" spans="1:84" hidden="1" x14ac:dyDescent="0.35">
      <c r="A38" t="s">
        <v>61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>
        <v>7</v>
      </c>
      <c r="S38">
        <v>5.5</v>
      </c>
      <c r="T38">
        <v>5.5</v>
      </c>
      <c r="U38" t="s">
        <v>26</v>
      </c>
      <c r="V38" t="s">
        <v>26</v>
      </c>
      <c r="W38">
        <v>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CA38">
        <f>COUNT(B38:BZ38)</f>
        <v>4</v>
      </c>
      <c r="CB38" s="18">
        <f>AVERAGE(B38:BZ38)</f>
        <v>6</v>
      </c>
      <c r="CC38">
        <f>IF(CA38&gt;1,_xlfn.STDEV.S(B38:BZ38),"")</f>
        <v>0.70710678118654757</v>
      </c>
      <c r="CD38">
        <v>0</v>
      </c>
      <c r="CE38">
        <f t="shared" si="0"/>
        <v>0</v>
      </c>
    </row>
    <row r="39" spans="1:84" hidden="1" x14ac:dyDescent="0.35">
      <c r="A39" t="s">
        <v>54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>
        <v>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>
        <v>7</v>
      </c>
      <c r="W39">
        <v>7.5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O39">
        <v>5.5</v>
      </c>
      <c r="CA39">
        <f>COUNT(B39:BZ39)</f>
        <v>4</v>
      </c>
      <c r="CB39" s="18">
        <f>AVERAGE(B39:BZ39)</f>
        <v>6.5</v>
      </c>
      <c r="CC39">
        <f>IF(CA39&gt;1,_xlfn.STDEV.S(B39:BZ39),"")</f>
        <v>0.9128709291752769</v>
      </c>
      <c r="CD39">
        <v>0</v>
      </c>
      <c r="CE39">
        <f t="shared" si="0"/>
        <v>0</v>
      </c>
    </row>
    <row r="40" spans="1:84" hidden="1" x14ac:dyDescent="0.35">
      <c r="A40" t="s">
        <v>21</v>
      </c>
      <c r="B40" t="s">
        <v>26</v>
      </c>
      <c r="C40" t="s">
        <v>26</v>
      </c>
      <c r="D40">
        <v>3</v>
      </c>
      <c r="E40" t="s">
        <v>26</v>
      </c>
      <c r="F40" t="s">
        <v>26</v>
      </c>
      <c r="G40">
        <v>1</v>
      </c>
      <c r="H40" t="s">
        <v>26</v>
      </c>
      <c r="I40" t="s">
        <v>26</v>
      </c>
      <c r="J40" t="s">
        <v>26</v>
      </c>
      <c r="K40" t="s">
        <v>26</v>
      </c>
      <c r="L40" t="s">
        <v>26</v>
      </c>
      <c r="M40" t="s">
        <v>26</v>
      </c>
      <c r="N40" t="s">
        <v>26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>
        <v>1.5</v>
      </c>
      <c r="AU40">
        <v>4</v>
      </c>
      <c r="CA40">
        <f>COUNT(B40:BZ40)</f>
        <v>4</v>
      </c>
      <c r="CB40" s="18">
        <f>AVERAGE(B40:BZ40)</f>
        <v>2.375</v>
      </c>
      <c r="CC40">
        <f>IF(CA40&gt;1,_xlfn.STDEV.S(B40:BZ40),"")</f>
        <v>1.3768926368215255</v>
      </c>
      <c r="CD40">
        <v>0</v>
      </c>
      <c r="CE40">
        <f t="shared" si="0"/>
        <v>0</v>
      </c>
    </row>
    <row r="41" spans="1:84" hidden="1" x14ac:dyDescent="0.35">
      <c r="A41" t="s">
        <v>344</v>
      </c>
      <c r="AJ41">
        <v>4.5</v>
      </c>
      <c r="AQ41">
        <v>3.5</v>
      </c>
      <c r="AR41">
        <v>3.5</v>
      </c>
      <c r="AY41">
        <v>5.5</v>
      </c>
      <c r="CA41">
        <f>COUNT(B41:BZ41)</f>
        <v>4</v>
      </c>
      <c r="CB41" s="18">
        <f>AVERAGE(B41:BZ41)</f>
        <v>4.25</v>
      </c>
      <c r="CC41">
        <f>IF(CA41&gt;1,_xlfn.STDEV.S(B41:BZ41),"")</f>
        <v>0.9574271077563381</v>
      </c>
      <c r="CD41">
        <v>0</v>
      </c>
      <c r="CE41">
        <f t="shared" si="0"/>
        <v>0</v>
      </c>
    </row>
    <row r="42" spans="1:84" x14ac:dyDescent="0.35">
      <c r="A42" t="s">
        <v>361</v>
      </c>
      <c r="AW42">
        <v>5</v>
      </c>
      <c r="BF42">
        <v>5</v>
      </c>
      <c r="BN42">
        <v>6</v>
      </c>
      <c r="BY42">
        <v>6</v>
      </c>
      <c r="CA42">
        <f>COUNT(B42:BZ42)</f>
        <v>4</v>
      </c>
      <c r="CB42" s="18">
        <f>AVERAGE(B42:BZ42)</f>
        <v>5.5</v>
      </c>
      <c r="CC42">
        <f>IF(CA42&gt;1,_xlfn.STDEV.S(B42:BZ42),"")</f>
        <v>0.57735026918962573</v>
      </c>
      <c r="CD42">
        <v>0</v>
      </c>
      <c r="CE42">
        <f t="shared" si="0"/>
        <v>1</v>
      </c>
      <c r="CF42">
        <f>CE42*27</f>
        <v>27</v>
      </c>
    </row>
    <row r="43" spans="1:84" hidden="1" x14ac:dyDescent="0.35">
      <c r="A43" t="s">
        <v>43</v>
      </c>
      <c r="B43" t="s">
        <v>26</v>
      </c>
      <c r="C43">
        <v>1.5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 t="s">
        <v>26</v>
      </c>
      <c r="N43" t="s">
        <v>26</v>
      </c>
      <c r="O43" t="s">
        <v>26</v>
      </c>
      <c r="P43" t="s">
        <v>26</v>
      </c>
      <c r="Q43" t="s">
        <v>26</v>
      </c>
      <c r="R43">
        <v>2.5</v>
      </c>
      <c r="S43" t="s">
        <v>26</v>
      </c>
      <c r="T43" t="s">
        <v>26</v>
      </c>
      <c r="U43" t="s">
        <v>26</v>
      </c>
      <c r="V43" t="s">
        <v>26</v>
      </c>
      <c r="W43" t="s">
        <v>26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BJ43">
        <v>5</v>
      </c>
      <c r="BT43">
        <v>4.5</v>
      </c>
      <c r="CA43">
        <f>COUNT(B43:BZ43)</f>
        <v>4</v>
      </c>
      <c r="CB43" s="18">
        <f>AVERAGE(B43:BZ43)</f>
        <v>3.375</v>
      </c>
      <c r="CC43">
        <f>IF(CA43&gt;1,_xlfn.STDEV.S(B43:BZ43),"")</f>
        <v>1.6520189667999174</v>
      </c>
      <c r="CD43">
        <v>0</v>
      </c>
      <c r="CE43">
        <f t="shared" si="0"/>
        <v>0</v>
      </c>
    </row>
    <row r="44" spans="1:84" hidden="1" x14ac:dyDescent="0.35">
      <c r="A44" t="s">
        <v>18</v>
      </c>
      <c r="B44" t="s">
        <v>26</v>
      </c>
      <c r="C44">
        <v>4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>
        <v>6</v>
      </c>
      <c r="R44">
        <v>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CA44">
        <f>COUNT(B44:BZ44)</f>
        <v>3</v>
      </c>
      <c r="CB44" s="18">
        <f>AVERAGE(B44:BZ44)</f>
        <v>5.333333333333333</v>
      </c>
      <c r="CC44">
        <f>IF(CA44&gt;1,_xlfn.STDEV.S(B44:BZ44),"")</f>
        <v>1.1547005383792526</v>
      </c>
      <c r="CD44">
        <v>0</v>
      </c>
      <c r="CE44">
        <f t="shared" si="0"/>
        <v>0</v>
      </c>
    </row>
    <row r="45" spans="1:84" x14ac:dyDescent="0.35">
      <c r="A45" t="s">
        <v>60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>
        <v>4.5</v>
      </c>
      <c r="S45" t="s">
        <v>26</v>
      </c>
      <c r="T45">
        <v>4</v>
      </c>
      <c r="U45">
        <v>4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BY45">
        <v>4</v>
      </c>
      <c r="CA45">
        <f>COUNT(B45:BZ45)</f>
        <v>4</v>
      </c>
      <c r="CB45" s="18">
        <f>AVERAGE(B45:BZ45)</f>
        <v>4.125</v>
      </c>
      <c r="CC45">
        <f>IF(CA45&gt;1,_xlfn.STDEV.S(B45:BZ45),"")</f>
        <v>0.25</v>
      </c>
      <c r="CD45">
        <v>0</v>
      </c>
      <c r="CE45">
        <f t="shared" si="0"/>
        <v>1</v>
      </c>
      <c r="CF45">
        <f>CE45*27</f>
        <v>27</v>
      </c>
    </row>
    <row r="46" spans="1:84" hidden="1" x14ac:dyDescent="0.35">
      <c r="A46" t="s">
        <v>85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>
        <v>7</v>
      </c>
      <c r="AE46">
        <v>7</v>
      </c>
      <c r="AF46">
        <v>9</v>
      </c>
      <c r="CA46">
        <f>COUNT(B46:BZ46)</f>
        <v>3</v>
      </c>
      <c r="CB46" s="18">
        <f>AVERAGE(B46:BZ46)</f>
        <v>7.666666666666667</v>
      </c>
      <c r="CC46">
        <f>IF(CA46&gt;1,_xlfn.STDEV.S(B46:BZ46),"")</f>
        <v>1.1547005383792495</v>
      </c>
      <c r="CD46">
        <v>0</v>
      </c>
      <c r="CE46">
        <f t="shared" si="0"/>
        <v>0</v>
      </c>
    </row>
    <row r="47" spans="1:84" hidden="1" x14ac:dyDescent="0.35">
      <c r="A47" t="s">
        <v>49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>
        <v>5.5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 t="s">
        <v>26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>
        <v>5.5</v>
      </c>
      <c r="AA47" t="s">
        <v>26</v>
      </c>
      <c r="AB47" t="s">
        <v>26</v>
      </c>
      <c r="AC47" t="s">
        <v>26</v>
      </c>
      <c r="AD47" t="s">
        <v>26</v>
      </c>
      <c r="AG47">
        <v>2.5</v>
      </c>
      <c r="CA47">
        <f>COUNT(B47:BZ47)</f>
        <v>3</v>
      </c>
      <c r="CB47" s="18">
        <f>AVERAGE(B47:BZ47)</f>
        <v>4.5</v>
      </c>
      <c r="CC47">
        <f>IF(CA47&gt;1,_xlfn.STDEV.S(B47:BZ47),"")</f>
        <v>1.7320508075688772</v>
      </c>
      <c r="CD47">
        <v>0</v>
      </c>
      <c r="CE47">
        <f t="shared" si="0"/>
        <v>0</v>
      </c>
    </row>
    <row r="48" spans="1:84" hidden="1" x14ac:dyDescent="0.35">
      <c r="A48" t="s">
        <v>81</v>
      </c>
      <c r="B48" t="s">
        <v>26</v>
      </c>
      <c r="C48" t="s">
        <v>26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 t="s">
        <v>26</v>
      </c>
      <c r="R48" t="s">
        <v>26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>
        <v>7</v>
      </c>
      <c r="AA48" t="s">
        <v>26</v>
      </c>
      <c r="AB48" t="s">
        <v>26</v>
      </c>
      <c r="AC48" t="s">
        <v>26</v>
      </c>
      <c r="AD48">
        <v>7.5</v>
      </c>
      <c r="AS48">
        <v>5</v>
      </c>
      <c r="CA48">
        <f>COUNT(B48:BZ48)</f>
        <v>3</v>
      </c>
      <c r="CB48" s="18">
        <f>AVERAGE(B48:BZ48)</f>
        <v>6.5</v>
      </c>
      <c r="CC48">
        <f>IF(CA48&gt;1,_xlfn.STDEV.S(B48:BZ48),"")</f>
        <v>1.3228756555322954</v>
      </c>
      <c r="CD48">
        <v>0</v>
      </c>
      <c r="CE48">
        <f t="shared" si="0"/>
        <v>0</v>
      </c>
    </row>
    <row r="49" spans="1:84" x14ac:dyDescent="0.35">
      <c r="A49" t="s">
        <v>376</v>
      </c>
      <c r="BN49">
        <v>5.5</v>
      </c>
      <c r="BO49">
        <v>5</v>
      </c>
      <c r="BP49">
        <v>5</v>
      </c>
      <c r="BQ49">
        <v>5</v>
      </c>
      <c r="BS49">
        <v>5</v>
      </c>
      <c r="BV49">
        <v>5.5</v>
      </c>
      <c r="BW49">
        <v>5</v>
      </c>
      <c r="CA49">
        <f>COUNT(B49:BZ49)</f>
        <v>7</v>
      </c>
      <c r="CB49" s="18">
        <f>AVERAGE(B49:BZ49)</f>
        <v>5.1428571428571432</v>
      </c>
      <c r="CC49">
        <f>IF(CA49&gt;1,_xlfn.STDEV.S(B49:BZ49),"")</f>
        <v>0.2439750182371333</v>
      </c>
      <c r="CD49">
        <v>0</v>
      </c>
      <c r="CE49">
        <f t="shared" si="0"/>
        <v>2</v>
      </c>
      <c r="CF49">
        <f>CE49*27</f>
        <v>54</v>
      </c>
    </row>
    <row r="50" spans="1:84" hidden="1" x14ac:dyDescent="0.35">
      <c r="A50" t="s">
        <v>364</v>
      </c>
      <c r="BA50">
        <v>5.5</v>
      </c>
      <c r="BJ50">
        <v>5.5</v>
      </c>
      <c r="CA50">
        <f>COUNT(B50:BZ50)</f>
        <v>2</v>
      </c>
      <c r="CB50" s="18">
        <f>AVERAGE(B50:BZ50)</f>
        <v>5.5</v>
      </c>
      <c r="CC50">
        <f>IF(CA50&gt;1,_xlfn.STDEV.S(B50:BZ50),"")</f>
        <v>0</v>
      </c>
      <c r="CD50">
        <v>0</v>
      </c>
      <c r="CE50">
        <f t="shared" si="0"/>
        <v>0</v>
      </c>
    </row>
    <row r="51" spans="1:84" hidden="1" x14ac:dyDescent="0.35">
      <c r="A51" t="s">
        <v>53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>
        <v>5.5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G51">
        <v>5</v>
      </c>
      <c r="CA51">
        <f>COUNT(B51:BZ51)</f>
        <v>2</v>
      </c>
      <c r="CB51" s="18">
        <f>AVERAGE(B51:BZ51)</f>
        <v>5.25</v>
      </c>
      <c r="CC51">
        <f>IF(CA51&gt;1,_xlfn.STDEV.S(B51:BZ51),"")</f>
        <v>0.35355339059327379</v>
      </c>
      <c r="CD51">
        <v>0</v>
      </c>
      <c r="CE51">
        <f t="shared" si="0"/>
        <v>0</v>
      </c>
    </row>
    <row r="52" spans="1:84" hidden="1" x14ac:dyDescent="0.35">
      <c r="A52" t="s">
        <v>339</v>
      </c>
      <c r="AJ52">
        <v>7</v>
      </c>
      <c r="AW52">
        <v>4.5</v>
      </c>
      <c r="CA52">
        <f>COUNT(B52:BZ52)</f>
        <v>2</v>
      </c>
      <c r="CB52" s="18">
        <f>AVERAGE(B52:BZ52)</f>
        <v>5.75</v>
      </c>
      <c r="CC52">
        <f>IF(CA52&gt;1,_xlfn.STDEV.S(B52:BZ52),"")</f>
        <v>1.7677669529663689</v>
      </c>
      <c r="CD52">
        <v>0</v>
      </c>
      <c r="CE52">
        <f t="shared" si="0"/>
        <v>0</v>
      </c>
    </row>
    <row r="53" spans="1:84" hidden="1" x14ac:dyDescent="0.35">
      <c r="A53" t="s">
        <v>342</v>
      </c>
      <c r="AM53">
        <v>6</v>
      </c>
      <c r="BA53">
        <v>4</v>
      </c>
      <c r="CA53">
        <f>COUNT(B53:BZ53)</f>
        <v>2</v>
      </c>
      <c r="CB53" s="18">
        <f>AVERAGE(B53:BZ53)</f>
        <v>5</v>
      </c>
      <c r="CC53">
        <f>IF(CA53&gt;1,_xlfn.STDEV.S(B53:BZ53),"")</f>
        <v>1.4142135623730951</v>
      </c>
      <c r="CD53">
        <v>0</v>
      </c>
      <c r="CE53">
        <f t="shared" si="0"/>
        <v>0</v>
      </c>
    </row>
    <row r="54" spans="1:84" hidden="1" x14ac:dyDescent="0.35">
      <c r="A54" t="s">
        <v>369</v>
      </c>
      <c r="BG54">
        <v>5.5</v>
      </c>
      <c r="BH54">
        <v>4.5</v>
      </c>
      <c r="CA54">
        <f>COUNT(B54:BZ54)</f>
        <v>2</v>
      </c>
      <c r="CB54" s="18">
        <f>AVERAGE(B54:BZ54)</f>
        <v>5</v>
      </c>
      <c r="CC54">
        <f>IF(CA54&gt;1,_xlfn.STDEV.S(B54:BZ54),"")</f>
        <v>0.70710678118654757</v>
      </c>
      <c r="CD54">
        <v>0</v>
      </c>
      <c r="CE54">
        <f t="shared" si="0"/>
        <v>0</v>
      </c>
    </row>
    <row r="55" spans="1:84" hidden="1" x14ac:dyDescent="0.35">
      <c r="A55" t="s">
        <v>86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>
        <v>9</v>
      </c>
      <c r="CA55">
        <f>COUNT(B55:BZ55)</f>
        <v>1</v>
      </c>
      <c r="CB55" s="18">
        <f>AVERAGE(B55:BZ55)</f>
        <v>9</v>
      </c>
      <c r="CC55" t="str">
        <f>IF(CA55&gt;1,_xlfn.STDEV.S(B55:BZ55),"")</f>
        <v/>
      </c>
      <c r="CD55">
        <v>0</v>
      </c>
      <c r="CE55">
        <f t="shared" si="0"/>
        <v>0</v>
      </c>
    </row>
    <row r="56" spans="1:84" hidden="1" x14ac:dyDescent="0.35">
      <c r="A56" t="s">
        <v>77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>
        <v>7</v>
      </c>
      <c r="AA56" t="s">
        <v>26</v>
      </c>
      <c r="AB56" t="s">
        <v>26</v>
      </c>
      <c r="AC56" t="s">
        <v>26</v>
      </c>
      <c r="AD56" t="s">
        <v>26</v>
      </c>
      <c r="CA56">
        <f>COUNT(B56:BZ56)</f>
        <v>1</v>
      </c>
      <c r="CB56" s="18">
        <f>AVERAGE(B56:BZ56)</f>
        <v>7</v>
      </c>
      <c r="CC56" t="str">
        <f>IF(CA56&gt;1,_xlfn.STDEV.S(B56:BZ56),"")</f>
        <v/>
      </c>
      <c r="CD56">
        <v>0</v>
      </c>
      <c r="CE56">
        <f t="shared" si="0"/>
        <v>0</v>
      </c>
    </row>
    <row r="57" spans="1:84" hidden="1" x14ac:dyDescent="0.35">
      <c r="A57" t="s">
        <v>353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>
        <v>7</v>
      </c>
      <c r="AA57" t="s">
        <v>26</v>
      </c>
      <c r="AB57" t="s">
        <v>26</v>
      </c>
      <c r="AC57" t="s">
        <v>26</v>
      </c>
      <c r="AD57" t="s">
        <v>26</v>
      </c>
      <c r="CA57">
        <f>COUNT(B57:BZ57)</f>
        <v>1</v>
      </c>
      <c r="CB57" s="18">
        <f>AVERAGE(B57:BZ57)</f>
        <v>7</v>
      </c>
      <c r="CC57" t="str">
        <f>IF(CA57&gt;1,_xlfn.STDEV.S(B57:BZ57),"")</f>
        <v/>
      </c>
      <c r="CD57">
        <v>0</v>
      </c>
      <c r="CE57">
        <f t="shared" si="0"/>
        <v>0</v>
      </c>
    </row>
    <row r="58" spans="1:84" hidden="1" x14ac:dyDescent="0.35">
      <c r="A58" t="s">
        <v>80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>
        <v>7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CA58">
        <f>COUNT(B58:BZ58)</f>
        <v>1</v>
      </c>
      <c r="CB58" s="18">
        <f>AVERAGE(B58:BZ58)</f>
        <v>7</v>
      </c>
      <c r="CC58" t="str">
        <f>IF(CA58&gt;1,_xlfn.STDEV.S(B58:BZ58),"")</f>
        <v/>
      </c>
      <c r="CD58">
        <v>0</v>
      </c>
      <c r="CE58">
        <f t="shared" si="0"/>
        <v>0</v>
      </c>
    </row>
    <row r="59" spans="1:84" hidden="1" x14ac:dyDescent="0.35">
      <c r="A59" t="s">
        <v>52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>
        <v>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BU59">
        <v>5</v>
      </c>
      <c r="CA59">
        <f>COUNT(B59:BZ59)</f>
        <v>2</v>
      </c>
      <c r="CB59" s="18">
        <f>AVERAGE(B59:BZ59)</f>
        <v>5.5</v>
      </c>
      <c r="CC59">
        <f>IF(CA59&gt;1,_xlfn.STDEV.S(B59:BZ59),"")</f>
        <v>0.70710678118654757</v>
      </c>
      <c r="CD59">
        <v>0</v>
      </c>
      <c r="CE59">
        <f t="shared" si="0"/>
        <v>0</v>
      </c>
    </row>
    <row r="60" spans="1:84" hidden="1" x14ac:dyDescent="0.35">
      <c r="A60" t="s">
        <v>47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>
        <v>4.5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CA60">
        <f>COUNT(B60:BZ60)</f>
        <v>1</v>
      </c>
      <c r="CB60" s="18">
        <f>AVERAGE(B60:BZ60)</f>
        <v>4.5</v>
      </c>
      <c r="CC60" t="str">
        <f>IF(CA60&gt;1,_xlfn.STDEV.S(B60:BZ60),"")</f>
        <v/>
      </c>
      <c r="CD60">
        <v>0</v>
      </c>
      <c r="CE60">
        <f t="shared" si="0"/>
        <v>0</v>
      </c>
    </row>
    <row r="61" spans="1:84" hidden="1" x14ac:dyDescent="0.35">
      <c r="A61" t="s">
        <v>78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>
        <v>4.5</v>
      </c>
      <c r="AA61" t="s">
        <v>26</v>
      </c>
      <c r="AB61" t="s">
        <v>26</v>
      </c>
      <c r="AC61" t="s">
        <v>26</v>
      </c>
      <c r="AD61" t="s">
        <v>26</v>
      </c>
      <c r="CA61">
        <f>COUNT(B61:BZ61)</f>
        <v>1</v>
      </c>
      <c r="CB61" s="18">
        <f>AVERAGE(B61:BZ61)</f>
        <v>4.5</v>
      </c>
      <c r="CC61" t="str">
        <f>IF(CA61&gt;1,_xlfn.STDEV.S(B61:BZ61),"")</f>
        <v/>
      </c>
      <c r="CD61">
        <v>0</v>
      </c>
      <c r="CE61">
        <f t="shared" si="0"/>
        <v>0</v>
      </c>
    </row>
    <row r="62" spans="1:84" hidden="1" x14ac:dyDescent="0.35">
      <c r="A62" t="s">
        <v>83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>
        <v>4</v>
      </c>
      <c r="AC62" t="s">
        <v>26</v>
      </c>
      <c r="AD62" t="s">
        <v>26</v>
      </c>
      <c r="CA62">
        <f>COUNT(B62:BZ62)</f>
        <v>1</v>
      </c>
      <c r="CB62" s="18">
        <f>AVERAGE(B62:BZ62)</f>
        <v>4</v>
      </c>
      <c r="CC62" t="str">
        <f>IF(CA62&gt;1,_xlfn.STDEV.S(B62:BZ62),"")</f>
        <v/>
      </c>
      <c r="CD62">
        <v>0</v>
      </c>
      <c r="CE62">
        <f t="shared" si="0"/>
        <v>0</v>
      </c>
    </row>
    <row r="63" spans="1:84" hidden="1" x14ac:dyDescent="0.35">
      <c r="A63" t="s">
        <v>345</v>
      </c>
      <c r="AN63">
        <v>3</v>
      </c>
      <c r="CA63">
        <f>COUNT(B63:BZ63)</f>
        <v>1</v>
      </c>
      <c r="CB63" s="18">
        <f>AVERAGE(B63:BZ63)</f>
        <v>3</v>
      </c>
      <c r="CC63" t="str">
        <f>IF(CA63&gt;1,_xlfn.STDEV.S(B63:BZ63),"")</f>
        <v/>
      </c>
      <c r="CD63">
        <v>0</v>
      </c>
      <c r="CE63">
        <f t="shared" si="0"/>
        <v>0</v>
      </c>
    </row>
    <row r="64" spans="1:84" hidden="1" x14ac:dyDescent="0.35">
      <c r="A64" t="s">
        <v>347</v>
      </c>
      <c r="AP64">
        <v>5.5</v>
      </c>
      <c r="CA64">
        <f>COUNT(B64:BZ64)</f>
        <v>1</v>
      </c>
      <c r="CB64" s="18">
        <f>AVERAGE(B64:BZ64)</f>
        <v>5.5</v>
      </c>
      <c r="CC64" t="str">
        <f>IF(CA64&gt;1,_xlfn.STDEV.S(B64:BZ64),"")</f>
        <v/>
      </c>
      <c r="CD64">
        <v>0</v>
      </c>
      <c r="CE64">
        <f t="shared" si="0"/>
        <v>0</v>
      </c>
    </row>
    <row r="65" spans="1:84" hidden="1" x14ac:dyDescent="0.35">
      <c r="A65" t="s">
        <v>350</v>
      </c>
      <c r="AR65">
        <v>4</v>
      </c>
      <c r="CA65">
        <f>COUNT(B65:BZ65)</f>
        <v>1</v>
      </c>
      <c r="CB65" s="18">
        <f>AVERAGE(B65:BZ65)</f>
        <v>4</v>
      </c>
      <c r="CC65" t="str">
        <f>IF(CA65&gt;1,_xlfn.STDEV.S(B65:BZ65),"")</f>
        <v/>
      </c>
      <c r="CD65">
        <v>0</v>
      </c>
      <c r="CE65">
        <f t="shared" si="0"/>
        <v>0</v>
      </c>
    </row>
    <row r="66" spans="1:84" hidden="1" x14ac:dyDescent="0.35">
      <c r="A66" t="s">
        <v>351</v>
      </c>
      <c r="AS66">
        <v>5.5</v>
      </c>
      <c r="CA66">
        <f>COUNT(B66:BZ66)</f>
        <v>1</v>
      </c>
      <c r="CB66" s="18">
        <f>AVERAGE(B66:BZ66)</f>
        <v>5.5</v>
      </c>
      <c r="CC66" t="str">
        <f>IF(CA66&gt;1,_xlfn.STDEV.S(B66:BZ66),"")</f>
        <v/>
      </c>
      <c r="CD66">
        <v>0</v>
      </c>
      <c r="CE66">
        <f t="shared" ref="CE66:CE77" si="2">COUNT(BV66:BY66)</f>
        <v>0</v>
      </c>
    </row>
    <row r="67" spans="1:84" hidden="1" x14ac:dyDescent="0.35">
      <c r="A67" t="s">
        <v>352</v>
      </c>
      <c r="AS67">
        <v>4.5</v>
      </c>
      <c r="CA67">
        <f>COUNT(B67:BZ67)</f>
        <v>1</v>
      </c>
      <c r="CB67" s="18">
        <f>AVERAGE(B67:BZ67)</f>
        <v>4.5</v>
      </c>
      <c r="CC67" t="str">
        <f>IF(CA67&gt;1,_xlfn.STDEV.S(B67:BZ67),"")</f>
        <v/>
      </c>
      <c r="CD67">
        <v>0</v>
      </c>
      <c r="CE67">
        <f t="shared" si="2"/>
        <v>0</v>
      </c>
    </row>
    <row r="68" spans="1:84" hidden="1" x14ac:dyDescent="0.35">
      <c r="A68" t="s">
        <v>354</v>
      </c>
      <c r="AU68">
        <v>5</v>
      </c>
      <c r="CA68">
        <f>COUNT(B68:BZ68)</f>
        <v>1</v>
      </c>
      <c r="CB68" s="18">
        <f>AVERAGE(B68:BZ68)</f>
        <v>5</v>
      </c>
      <c r="CC68" t="str">
        <f>IF(CA68&gt;1,_xlfn.STDEV.S(B68:BZ68),"")</f>
        <v/>
      </c>
      <c r="CD68">
        <v>0</v>
      </c>
      <c r="CE68">
        <f t="shared" si="2"/>
        <v>0</v>
      </c>
    </row>
    <row r="69" spans="1:84" hidden="1" x14ac:dyDescent="0.35">
      <c r="A69" t="s">
        <v>362</v>
      </c>
      <c r="AW69">
        <v>4.5</v>
      </c>
      <c r="CA69">
        <f>COUNT(B69:BZ69)</f>
        <v>1</v>
      </c>
      <c r="CB69" s="18">
        <f>AVERAGE(B69:BZ69)</f>
        <v>4.5</v>
      </c>
      <c r="CC69" t="str">
        <f>IF(CA69&gt;1,_xlfn.STDEV.S(B69:BZ69),"")</f>
        <v/>
      </c>
      <c r="CD69">
        <v>0</v>
      </c>
      <c r="CE69">
        <f t="shared" si="2"/>
        <v>0</v>
      </c>
    </row>
    <row r="70" spans="1:84" hidden="1" x14ac:dyDescent="0.35">
      <c r="A70" t="s">
        <v>365</v>
      </c>
      <c r="AZ70">
        <v>2.5</v>
      </c>
      <c r="CA70">
        <f>COUNT(B70:BZ70)</f>
        <v>1</v>
      </c>
      <c r="CB70" s="18">
        <f>AVERAGE(B70:BZ70)</f>
        <v>2.5</v>
      </c>
      <c r="CC70" t="str">
        <f>IF(CA70&gt;1,_xlfn.STDEV.S(B70:BZ70),"")</f>
        <v/>
      </c>
      <c r="CD70">
        <v>0</v>
      </c>
      <c r="CE70">
        <f t="shared" si="2"/>
        <v>0</v>
      </c>
    </row>
    <row r="71" spans="1:84" hidden="1" x14ac:dyDescent="0.35">
      <c r="A71" t="s">
        <v>366</v>
      </c>
      <c r="BB71">
        <v>3</v>
      </c>
      <c r="CA71">
        <f>COUNT(B71:BZ71)</f>
        <v>1</v>
      </c>
      <c r="CB71" s="18">
        <f>AVERAGE(B71:BZ71)</f>
        <v>3</v>
      </c>
      <c r="CC71" t="str">
        <f>IF(CA71&gt;1,_xlfn.STDEV.S(B71:BZ71),"")</f>
        <v/>
      </c>
      <c r="CD71">
        <v>0</v>
      </c>
      <c r="CE71">
        <f t="shared" si="2"/>
        <v>0</v>
      </c>
    </row>
    <row r="72" spans="1:84" hidden="1" x14ac:dyDescent="0.35">
      <c r="A72" t="s">
        <v>368</v>
      </c>
      <c r="BF72">
        <v>7.5</v>
      </c>
      <c r="BU72">
        <v>9.5</v>
      </c>
      <c r="CA72">
        <f>COUNT(B72:BZ72)</f>
        <v>2</v>
      </c>
      <c r="CB72" s="18">
        <f>AVERAGE(B72:BZ72)</f>
        <v>8.5</v>
      </c>
      <c r="CC72">
        <f>IF(CA72&gt;1,_xlfn.STDEV.S(B72:BZ72),"")</f>
        <v>1.4142135623730951</v>
      </c>
      <c r="CD72">
        <v>0</v>
      </c>
      <c r="CE72">
        <f t="shared" si="2"/>
        <v>0</v>
      </c>
    </row>
    <row r="73" spans="1:84" hidden="1" x14ac:dyDescent="0.35">
      <c r="A73" t="s">
        <v>374</v>
      </c>
      <c r="BP73">
        <v>6</v>
      </c>
      <c r="CA73">
        <f>COUNT(B73:BZ73)</f>
        <v>1</v>
      </c>
      <c r="CB73" s="18">
        <f>AVERAGE(B73:BZ73)</f>
        <v>6</v>
      </c>
      <c r="CC73" t="str">
        <f>IF(CA73&gt;1,_xlfn.STDEV.S(B73:BZ73),"")</f>
        <v/>
      </c>
      <c r="CD73">
        <v>0</v>
      </c>
      <c r="CE73">
        <f t="shared" si="2"/>
        <v>0</v>
      </c>
    </row>
    <row r="74" spans="1:84" hidden="1" x14ac:dyDescent="0.35">
      <c r="A74" t="s">
        <v>375</v>
      </c>
      <c r="BP74">
        <v>5</v>
      </c>
      <c r="CA74">
        <f>COUNT(B74:BZ74)</f>
        <v>1</v>
      </c>
      <c r="CB74" s="18">
        <f>AVERAGE(B74:BZ74)</f>
        <v>5</v>
      </c>
      <c r="CC74" t="str">
        <f>IF(CA74&gt;1,_xlfn.STDEV.S(B74:BZ74),"")</f>
        <v/>
      </c>
      <c r="CD74">
        <v>0</v>
      </c>
      <c r="CE74">
        <f t="shared" si="2"/>
        <v>0</v>
      </c>
    </row>
    <row r="75" spans="1:84" hidden="1" x14ac:dyDescent="0.35">
      <c r="A75" t="s">
        <v>377</v>
      </c>
      <c r="BS75">
        <v>4.5</v>
      </c>
      <c r="CA75">
        <f>COUNT(B75:BZ75)</f>
        <v>1</v>
      </c>
      <c r="CB75" s="18">
        <f>AVERAGE(B75:BZ75)</f>
        <v>4.5</v>
      </c>
      <c r="CC75" t="str">
        <f>IF(CA75&gt;1,_xlfn.STDEV.S(B75:BZ75),"")</f>
        <v/>
      </c>
      <c r="CD75">
        <v>0</v>
      </c>
      <c r="CE75">
        <f t="shared" si="2"/>
        <v>0</v>
      </c>
    </row>
    <row r="76" spans="1:84" x14ac:dyDescent="0.35">
      <c r="A76" t="s">
        <v>378</v>
      </c>
      <c r="BW76">
        <v>5</v>
      </c>
      <c r="BY76">
        <v>4.5</v>
      </c>
      <c r="CA76">
        <f>COUNT(B76:BZ76)</f>
        <v>2</v>
      </c>
      <c r="CB76" s="18">
        <f>AVERAGE(B76:BZ76)</f>
        <v>4.75</v>
      </c>
      <c r="CC76">
        <f>IF(CA76&gt;1,_xlfn.STDEV.S(B76:BZ76),"")</f>
        <v>0.35355339059327379</v>
      </c>
      <c r="CD76">
        <v>0</v>
      </c>
      <c r="CE76">
        <f t="shared" si="2"/>
        <v>2</v>
      </c>
      <c r="CF76">
        <f t="shared" ref="CF76:CF77" si="3">CE76*27</f>
        <v>54</v>
      </c>
    </row>
    <row r="77" spans="1:84" x14ac:dyDescent="0.35">
      <c r="A77" t="s">
        <v>379</v>
      </c>
      <c r="BY77">
        <v>5</v>
      </c>
      <c r="CA77">
        <f>COUNT(B77:BZ77)</f>
        <v>1</v>
      </c>
      <c r="CB77" s="18">
        <f>AVERAGE(B77:BZ77)</f>
        <v>5</v>
      </c>
      <c r="CC77" t="str">
        <f>IF(CA77&gt;1,_xlfn.STDEV.S(B77:BZ77),"")</f>
        <v/>
      </c>
      <c r="CD77">
        <v>0</v>
      </c>
      <c r="CE77">
        <f t="shared" si="2"/>
        <v>1</v>
      </c>
      <c r="CF77">
        <f t="shared" si="3"/>
        <v>27</v>
      </c>
    </row>
  </sheetData>
  <autoFilter ref="CA1:CE77" xr:uid="{CA9A1AE1-90F8-4952-9E1C-7E9DE36093D7}">
    <filterColumn colId="3">
      <filters>
        <filter val="0"/>
      </filters>
    </filterColumn>
    <filterColumn colId="4">
      <filters>
        <filter val="1"/>
        <filter val="2"/>
        <filter val="3"/>
      </filters>
    </filterColumn>
  </autoFilter>
  <conditionalFormatting sqref="CA2:CA77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77">
    <cfRule type="colorScale" priority="7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A2:CA77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77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77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V44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Q3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Z38 W2 W7 W11:W12 W15:W21 W31 B2:V38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4:Z47 X2:Z43 W2 W7 W11:W12 W15:W21 W31 W40 B2:V43 Z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51:AV51 AD53:AV53 B2:AV4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77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77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3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AV5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9:BZ67 AA2:BZ38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8:BZ67 AA2:BZ47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3:BZ67 AA2:BZ42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J39"/>
  <sheetViews>
    <sheetView workbookViewId="0">
      <selection activeCell="F31" sqref="F31"/>
    </sheetView>
  </sheetViews>
  <sheetFormatPr defaultRowHeight="14.5" x14ac:dyDescent="0.35"/>
  <cols>
    <col min="5" max="5" width="0" hidden="1" customWidth="1"/>
    <col min="9" max="9" width="8.90625" hidden="1" customWidth="1"/>
  </cols>
  <sheetData>
    <row r="1" spans="1:10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</row>
    <row r="2" spans="1:10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</row>
    <row r="3" spans="1:10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</row>
    <row r="4" spans="1:10" x14ac:dyDescent="0.35">
      <c r="D4">
        <f t="shared" ref="D4:D39" si="3">D3+0.1</f>
        <v>2.7</v>
      </c>
      <c r="E4">
        <f t="shared" si="0"/>
        <v>1.0503333333333331</v>
      </c>
      <c r="F4">
        <f t="shared" si="1"/>
        <v>1</v>
      </c>
      <c r="H4">
        <f t="shared" ref="H4:H39" si="4">H3+0.1</f>
        <v>6.499999999999992</v>
      </c>
      <c r="I4">
        <f t="shared" ref="I4:I39" si="5">$B$5*H4+$B$6</f>
        <v>6.7566666666666553</v>
      </c>
      <c r="J4">
        <f t="shared" si="2"/>
        <v>7</v>
      </c>
    </row>
    <row r="5" spans="1:10" x14ac:dyDescent="0.35">
      <c r="A5" t="s">
        <v>332</v>
      </c>
      <c r="B5">
        <f>(B2-B3)/(A2-A3)</f>
        <v>1.5016666666666667</v>
      </c>
      <c r="D5">
        <f t="shared" si="3"/>
        <v>2.8000000000000003</v>
      </c>
      <c r="E5">
        <f t="shared" si="0"/>
        <v>1.2005000000000003</v>
      </c>
      <c r="F5">
        <f t="shared" si="1"/>
        <v>1</v>
      </c>
      <c r="H5">
        <f t="shared" si="4"/>
        <v>6.5999999999999917</v>
      </c>
      <c r="I5">
        <f t="shared" si="5"/>
        <v>6.9068333333333207</v>
      </c>
      <c r="J5">
        <f t="shared" si="2"/>
        <v>7</v>
      </c>
    </row>
    <row r="6" spans="1:10" x14ac:dyDescent="0.35">
      <c r="A6" t="s">
        <v>333</v>
      </c>
      <c r="B6">
        <f>B3-A3*B5</f>
        <v>-3.0041666666666669</v>
      </c>
      <c r="D6">
        <f t="shared" si="3"/>
        <v>2.9000000000000004</v>
      </c>
      <c r="E6">
        <f t="shared" si="0"/>
        <v>1.3506666666666667</v>
      </c>
      <c r="F6">
        <f t="shared" si="1"/>
        <v>1.5</v>
      </c>
      <c r="H6">
        <f t="shared" si="4"/>
        <v>6.6999999999999913</v>
      </c>
      <c r="I6">
        <f t="shared" si="5"/>
        <v>7.0569999999999879</v>
      </c>
      <c r="J6">
        <f t="shared" si="2"/>
        <v>7</v>
      </c>
    </row>
    <row r="7" spans="1:10" x14ac:dyDescent="0.35">
      <c r="D7">
        <f t="shared" si="3"/>
        <v>3.0000000000000004</v>
      </c>
      <c r="E7">
        <f t="shared" si="0"/>
        <v>1.5008333333333339</v>
      </c>
      <c r="F7">
        <f t="shared" si="1"/>
        <v>1.5</v>
      </c>
      <c r="H7">
        <f t="shared" si="4"/>
        <v>6.7999999999999909</v>
      </c>
      <c r="I7">
        <f t="shared" si="5"/>
        <v>7.2071666666666534</v>
      </c>
      <c r="J7">
        <f t="shared" si="2"/>
        <v>7</v>
      </c>
    </row>
    <row r="8" spans="1:10" x14ac:dyDescent="0.35">
      <c r="D8">
        <f t="shared" si="3"/>
        <v>3.1000000000000005</v>
      </c>
      <c r="E8">
        <f t="shared" si="0"/>
        <v>1.6510000000000011</v>
      </c>
      <c r="F8">
        <f t="shared" si="1"/>
        <v>1.5</v>
      </c>
      <c r="H8">
        <f t="shared" si="4"/>
        <v>6.8999999999999906</v>
      </c>
      <c r="I8">
        <f t="shared" si="5"/>
        <v>7.3573333333333188</v>
      </c>
      <c r="J8">
        <f t="shared" si="2"/>
        <v>7.5</v>
      </c>
    </row>
    <row r="9" spans="1:10" x14ac:dyDescent="0.35">
      <c r="D9">
        <f t="shared" si="3"/>
        <v>3.2000000000000006</v>
      </c>
      <c r="E9">
        <f t="shared" si="0"/>
        <v>1.8011666666666675</v>
      </c>
      <c r="F9">
        <f t="shared" si="1"/>
        <v>2</v>
      </c>
      <c r="H9">
        <f t="shared" si="4"/>
        <v>6.9999999999999902</v>
      </c>
      <c r="I9">
        <f t="shared" si="5"/>
        <v>7.5074999999999861</v>
      </c>
      <c r="J9">
        <f t="shared" si="2"/>
        <v>7.5</v>
      </c>
    </row>
    <row r="10" spans="1:10" x14ac:dyDescent="0.35">
      <c r="B10">
        <f>6.5*B5+B6</f>
        <v>6.7566666666666677</v>
      </c>
      <c r="D10">
        <f t="shared" si="3"/>
        <v>3.3000000000000007</v>
      </c>
      <c r="E10">
        <f t="shared" si="0"/>
        <v>1.9513333333333347</v>
      </c>
      <c r="F10">
        <f t="shared" si="1"/>
        <v>2</v>
      </c>
      <c r="H10">
        <f t="shared" si="4"/>
        <v>7.0999999999999899</v>
      </c>
      <c r="I10">
        <f t="shared" si="5"/>
        <v>7.6576666666666515</v>
      </c>
      <c r="J10">
        <f t="shared" si="2"/>
        <v>7.5</v>
      </c>
    </row>
    <row r="11" spans="1:10" x14ac:dyDescent="0.35">
      <c r="D11">
        <f t="shared" si="3"/>
        <v>3.4000000000000008</v>
      </c>
      <c r="E11">
        <f t="shared" si="0"/>
        <v>2.101500000000001</v>
      </c>
      <c r="F11">
        <f t="shared" si="1"/>
        <v>2</v>
      </c>
      <c r="H11">
        <f t="shared" si="4"/>
        <v>7.1999999999999895</v>
      </c>
      <c r="I11">
        <f t="shared" si="5"/>
        <v>7.8078333333333187</v>
      </c>
      <c r="J11">
        <f t="shared" si="2"/>
        <v>8</v>
      </c>
    </row>
    <row r="12" spans="1:10" x14ac:dyDescent="0.35">
      <c r="D12">
        <f t="shared" si="3"/>
        <v>3.5000000000000009</v>
      </c>
      <c r="E12">
        <f t="shared" si="0"/>
        <v>2.2516666666666683</v>
      </c>
      <c r="F12">
        <f t="shared" si="1"/>
        <v>2.5</v>
      </c>
      <c r="H12">
        <f t="shared" si="4"/>
        <v>7.2999999999999892</v>
      </c>
      <c r="I12">
        <f t="shared" si="5"/>
        <v>7.9579999999999842</v>
      </c>
      <c r="J12">
        <f t="shared" si="2"/>
        <v>8</v>
      </c>
    </row>
    <row r="13" spans="1:10" x14ac:dyDescent="0.35">
      <c r="D13">
        <f t="shared" si="3"/>
        <v>3.600000000000001</v>
      </c>
      <c r="E13">
        <f t="shared" si="0"/>
        <v>2.4018333333333346</v>
      </c>
      <c r="F13">
        <f t="shared" si="1"/>
        <v>2.5</v>
      </c>
      <c r="H13">
        <f t="shared" si="4"/>
        <v>7.3999999999999888</v>
      </c>
      <c r="I13">
        <f t="shared" si="5"/>
        <v>8.1081666666666496</v>
      </c>
      <c r="J13">
        <f t="shared" si="2"/>
        <v>8</v>
      </c>
    </row>
    <row r="14" spans="1:10" x14ac:dyDescent="0.35">
      <c r="D14">
        <f t="shared" si="3"/>
        <v>3.7000000000000011</v>
      </c>
      <c r="E14">
        <f t="shared" si="0"/>
        <v>2.5520000000000018</v>
      </c>
      <c r="F14">
        <f t="shared" si="1"/>
        <v>2.5</v>
      </c>
      <c r="H14">
        <f t="shared" si="4"/>
        <v>7.4999999999999885</v>
      </c>
      <c r="I14">
        <f t="shared" si="5"/>
        <v>8.2583333333333169</v>
      </c>
      <c r="J14">
        <f t="shared" si="2"/>
        <v>8.5</v>
      </c>
    </row>
    <row r="15" spans="1:10" x14ac:dyDescent="0.35">
      <c r="D15">
        <f t="shared" si="3"/>
        <v>3.8000000000000012</v>
      </c>
      <c r="E15">
        <f t="shared" si="0"/>
        <v>2.7021666666666682</v>
      </c>
      <c r="F15">
        <f t="shared" si="1"/>
        <v>2.5</v>
      </c>
      <c r="H15">
        <f t="shared" si="4"/>
        <v>7.5999999999999881</v>
      </c>
      <c r="I15">
        <f t="shared" si="5"/>
        <v>8.4084999999999823</v>
      </c>
      <c r="J15">
        <f t="shared" si="2"/>
        <v>8.5</v>
      </c>
    </row>
    <row r="16" spans="1:10" x14ac:dyDescent="0.35">
      <c r="D16">
        <f t="shared" si="3"/>
        <v>3.9000000000000012</v>
      </c>
      <c r="E16">
        <f t="shared" si="0"/>
        <v>2.8523333333333354</v>
      </c>
      <c r="F16">
        <f t="shared" si="1"/>
        <v>3</v>
      </c>
      <c r="H16">
        <f t="shared" si="4"/>
        <v>7.6999999999999877</v>
      </c>
      <c r="I16">
        <f t="shared" si="5"/>
        <v>8.5586666666666495</v>
      </c>
      <c r="J16">
        <f t="shared" si="2"/>
        <v>8.5</v>
      </c>
    </row>
    <row r="17" spans="4:10" x14ac:dyDescent="0.35">
      <c r="D17">
        <f t="shared" si="3"/>
        <v>4.0000000000000009</v>
      </c>
      <c r="E17">
        <f t="shared" si="0"/>
        <v>3.0025000000000017</v>
      </c>
      <c r="F17">
        <f t="shared" si="1"/>
        <v>3</v>
      </c>
      <c r="H17">
        <f t="shared" si="4"/>
        <v>7.7999999999999874</v>
      </c>
      <c r="I17">
        <f t="shared" si="5"/>
        <v>8.708833333333315</v>
      </c>
      <c r="J17">
        <f t="shared" si="2"/>
        <v>8.5</v>
      </c>
    </row>
    <row r="18" spans="4:10" x14ac:dyDescent="0.35">
      <c r="D18">
        <f t="shared" si="3"/>
        <v>4.1000000000000005</v>
      </c>
      <c r="E18">
        <f t="shared" si="0"/>
        <v>3.1526666666666672</v>
      </c>
      <c r="F18">
        <f t="shared" si="1"/>
        <v>3</v>
      </c>
      <c r="H18">
        <f t="shared" si="4"/>
        <v>7.899999999999987</v>
      </c>
      <c r="I18">
        <f t="shared" si="5"/>
        <v>8.8589999999999804</v>
      </c>
      <c r="J18">
        <f t="shared" si="2"/>
        <v>9</v>
      </c>
    </row>
    <row r="19" spans="4:10" x14ac:dyDescent="0.35">
      <c r="D19">
        <f t="shared" si="3"/>
        <v>4.2</v>
      </c>
      <c r="E19">
        <f t="shared" si="0"/>
        <v>3.3028333333333335</v>
      </c>
      <c r="F19">
        <f t="shared" si="1"/>
        <v>3.5</v>
      </c>
      <c r="H19">
        <f t="shared" si="4"/>
        <v>7.9999999999999867</v>
      </c>
      <c r="I19">
        <f t="shared" si="5"/>
        <v>9.0091666666666477</v>
      </c>
      <c r="J19">
        <f t="shared" si="2"/>
        <v>9</v>
      </c>
    </row>
    <row r="20" spans="4:10" x14ac:dyDescent="0.35">
      <c r="D20">
        <f t="shared" si="3"/>
        <v>4.3</v>
      </c>
      <c r="E20">
        <f t="shared" si="0"/>
        <v>3.4529999999999998</v>
      </c>
      <c r="F20">
        <f t="shared" si="1"/>
        <v>3.5</v>
      </c>
      <c r="H20">
        <f t="shared" si="4"/>
        <v>8.0999999999999872</v>
      </c>
      <c r="I20">
        <f t="shared" si="5"/>
        <v>9.1593333333333149</v>
      </c>
      <c r="J20">
        <f t="shared" si="2"/>
        <v>9</v>
      </c>
    </row>
    <row r="21" spans="4:10" x14ac:dyDescent="0.35">
      <c r="D21">
        <f t="shared" si="3"/>
        <v>4.3999999999999995</v>
      </c>
      <c r="E21">
        <f t="shared" si="0"/>
        <v>3.6031666666666662</v>
      </c>
      <c r="F21">
        <f t="shared" si="1"/>
        <v>3.5</v>
      </c>
      <c r="H21">
        <f t="shared" si="4"/>
        <v>8.1999999999999869</v>
      </c>
      <c r="I21">
        <f t="shared" si="5"/>
        <v>9.3094999999999803</v>
      </c>
      <c r="J21">
        <f t="shared" si="2"/>
        <v>9.5</v>
      </c>
    </row>
    <row r="22" spans="4:10" x14ac:dyDescent="0.35">
      <c r="D22">
        <f t="shared" si="3"/>
        <v>4.4999999999999991</v>
      </c>
      <c r="E22">
        <f t="shared" si="0"/>
        <v>3.7533333333333316</v>
      </c>
      <c r="F22">
        <f t="shared" si="1"/>
        <v>4</v>
      </c>
      <c r="H22">
        <f t="shared" si="4"/>
        <v>8.2999999999999865</v>
      </c>
      <c r="I22">
        <f t="shared" si="5"/>
        <v>9.4596666666666476</v>
      </c>
      <c r="J22">
        <f t="shared" si="2"/>
        <v>9.5</v>
      </c>
    </row>
    <row r="23" spans="4:10" x14ac:dyDescent="0.35">
      <c r="D23">
        <f t="shared" si="3"/>
        <v>4.5999999999999988</v>
      </c>
      <c r="E23">
        <f t="shared" si="0"/>
        <v>3.903499999999998</v>
      </c>
      <c r="F23">
        <f t="shared" si="1"/>
        <v>4</v>
      </c>
      <c r="H23">
        <f t="shared" si="4"/>
        <v>8.3999999999999861</v>
      </c>
      <c r="I23">
        <f t="shared" si="5"/>
        <v>9.609833333333313</v>
      </c>
      <c r="J23">
        <f t="shared" si="2"/>
        <v>9.5</v>
      </c>
    </row>
    <row r="24" spans="4:10" x14ac:dyDescent="0.35">
      <c r="D24">
        <f t="shared" si="3"/>
        <v>4.6999999999999984</v>
      </c>
      <c r="E24">
        <f t="shared" si="0"/>
        <v>4.0536666666666648</v>
      </c>
      <c r="F24">
        <f t="shared" si="1"/>
        <v>4</v>
      </c>
      <c r="H24">
        <f t="shared" si="4"/>
        <v>8.4999999999999858</v>
      </c>
      <c r="I24" s="18">
        <f t="shared" si="5"/>
        <v>9.7599999999999785</v>
      </c>
      <c r="J24">
        <f>MROUND(I24,0.5)</f>
        <v>10</v>
      </c>
    </row>
    <row r="25" spans="4:10" x14ac:dyDescent="0.35">
      <c r="D25">
        <f t="shared" si="3"/>
        <v>4.799999999999998</v>
      </c>
      <c r="E25">
        <f t="shared" si="0"/>
        <v>4.2038333333333302</v>
      </c>
      <c r="F25">
        <f t="shared" si="1"/>
        <v>4</v>
      </c>
      <c r="H25">
        <f t="shared" si="4"/>
        <v>8.5999999999999854</v>
      </c>
      <c r="I25">
        <f t="shared" si="5"/>
        <v>9.9101666666666457</v>
      </c>
      <c r="J25">
        <f t="shared" si="2"/>
        <v>10</v>
      </c>
    </row>
    <row r="26" spans="4:10" x14ac:dyDescent="0.35">
      <c r="D26">
        <f t="shared" si="3"/>
        <v>4.8999999999999977</v>
      </c>
      <c r="E26">
        <f t="shared" si="0"/>
        <v>4.3539999999999957</v>
      </c>
      <c r="F26">
        <f t="shared" si="1"/>
        <v>4.5</v>
      </c>
      <c r="H26">
        <f t="shared" si="4"/>
        <v>8.6999999999999851</v>
      </c>
      <c r="I26">
        <f t="shared" si="5"/>
        <v>10.060333333333311</v>
      </c>
      <c r="J26">
        <f t="shared" si="2"/>
        <v>10</v>
      </c>
    </row>
    <row r="27" spans="4:10" x14ac:dyDescent="0.35">
      <c r="D27">
        <f t="shared" si="3"/>
        <v>4.9999999999999973</v>
      </c>
      <c r="E27">
        <f t="shared" si="0"/>
        <v>4.5041666666666629</v>
      </c>
      <c r="F27">
        <f t="shared" si="1"/>
        <v>4.5</v>
      </c>
      <c r="H27">
        <f t="shared" si="4"/>
        <v>8.7999999999999847</v>
      </c>
      <c r="I27">
        <f t="shared" si="5"/>
        <v>10.210499999999978</v>
      </c>
      <c r="J27">
        <f t="shared" si="2"/>
        <v>10</v>
      </c>
    </row>
    <row r="28" spans="4:10" x14ac:dyDescent="0.35">
      <c r="D28">
        <f t="shared" si="3"/>
        <v>5.099999999999997</v>
      </c>
      <c r="E28">
        <f t="shared" si="0"/>
        <v>4.6543333333333283</v>
      </c>
      <c r="F28">
        <f t="shared" si="1"/>
        <v>4.5</v>
      </c>
      <c r="H28">
        <f t="shared" si="4"/>
        <v>8.8999999999999844</v>
      </c>
      <c r="I28">
        <f t="shared" si="5"/>
        <v>10.360666666666644</v>
      </c>
      <c r="J28">
        <f t="shared" si="2"/>
        <v>10.5</v>
      </c>
    </row>
    <row r="29" spans="4:10" x14ac:dyDescent="0.35">
      <c r="D29">
        <f t="shared" si="3"/>
        <v>5.1999999999999966</v>
      </c>
      <c r="E29">
        <f t="shared" si="0"/>
        <v>4.8044999999999956</v>
      </c>
      <c r="F29">
        <f t="shared" si="1"/>
        <v>5</v>
      </c>
      <c r="H29">
        <f t="shared" si="4"/>
        <v>8.999999999999984</v>
      </c>
      <c r="I29">
        <f t="shared" si="5"/>
        <v>10.510833333333309</v>
      </c>
      <c r="J29">
        <f t="shared" si="2"/>
        <v>10.5</v>
      </c>
    </row>
    <row r="30" spans="4:10" x14ac:dyDescent="0.35">
      <c r="D30">
        <f t="shared" si="3"/>
        <v>5.2999999999999963</v>
      </c>
      <c r="E30">
        <f t="shared" si="0"/>
        <v>4.954666666666661</v>
      </c>
      <c r="F30">
        <f t="shared" si="1"/>
        <v>5</v>
      </c>
      <c r="H30">
        <f t="shared" si="4"/>
        <v>9.0999999999999837</v>
      </c>
      <c r="I30">
        <f t="shared" si="5"/>
        <v>10.660999999999976</v>
      </c>
      <c r="J30">
        <f t="shared" si="2"/>
        <v>10.5</v>
      </c>
    </row>
    <row r="31" spans="4:10" x14ac:dyDescent="0.35">
      <c r="D31">
        <f t="shared" si="3"/>
        <v>5.3999999999999959</v>
      </c>
      <c r="E31">
        <f t="shared" si="0"/>
        <v>5.1048333333333282</v>
      </c>
      <c r="F31">
        <f t="shared" si="1"/>
        <v>5</v>
      </c>
      <c r="H31">
        <f t="shared" si="4"/>
        <v>9.1999999999999833</v>
      </c>
      <c r="I31">
        <f t="shared" si="5"/>
        <v>10.811166666666642</v>
      </c>
      <c r="J31">
        <f t="shared" si="2"/>
        <v>11</v>
      </c>
    </row>
    <row r="32" spans="4:10" x14ac:dyDescent="0.35">
      <c r="D32">
        <f t="shared" si="3"/>
        <v>5.4999999999999956</v>
      </c>
      <c r="E32">
        <f t="shared" si="0"/>
        <v>5.2549999999999937</v>
      </c>
      <c r="F32">
        <f t="shared" si="1"/>
        <v>5.5</v>
      </c>
      <c r="H32">
        <f t="shared" si="4"/>
        <v>9.2999999999999829</v>
      </c>
      <c r="I32">
        <f t="shared" si="5"/>
        <v>10.961333333333309</v>
      </c>
      <c r="J32">
        <f t="shared" si="2"/>
        <v>11</v>
      </c>
    </row>
    <row r="33" spans="4:10" x14ac:dyDescent="0.35">
      <c r="D33">
        <f t="shared" si="3"/>
        <v>5.5999999999999952</v>
      </c>
      <c r="E33">
        <f t="shared" si="0"/>
        <v>5.4051666666666591</v>
      </c>
      <c r="F33">
        <f t="shared" si="1"/>
        <v>5.5</v>
      </c>
      <c r="H33">
        <f t="shared" si="4"/>
        <v>9.3999999999999826</v>
      </c>
      <c r="I33">
        <f t="shared" si="5"/>
        <v>11.111499999999975</v>
      </c>
      <c r="J33">
        <f t="shared" si="2"/>
        <v>11</v>
      </c>
    </row>
    <row r="34" spans="4:10" x14ac:dyDescent="0.35">
      <c r="D34">
        <f t="shared" si="3"/>
        <v>5.6999999999999948</v>
      </c>
      <c r="E34">
        <f t="shared" si="0"/>
        <v>5.5553333333333264</v>
      </c>
      <c r="F34">
        <f t="shared" si="1"/>
        <v>5.5</v>
      </c>
      <c r="H34">
        <f t="shared" si="4"/>
        <v>9.4999999999999822</v>
      </c>
      <c r="I34">
        <f t="shared" si="5"/>
        <v>11.26166666666664</v>
      </c>
      <c r="J34">
        <f t="shared" si="2"/>
        <v>11.5</v>
      </c>
    </row>
    <row r="35" spans="4:10" x14ac:dyDescent="0.35">
      <c r="D35">
        <f t="shared" si="3"/>
        <v>5.7999999999999945</v>
      </c>
      <c r="E35">
        <f t="shared" si="0"/>
        <v>5.7054999999999918</v>
      </c>
      <c r="F35">
        <f t="shared" si="1"/>
        <v>5.5</v>
      </c>
      <c r="H35">
        <f t="shared" si="4"/>
        <v>9.5999999999999819</v>
      </c>
      <c r="I35">
        <f t="shared" si="5"/>
        <v>11.411833333333307</v>
      </c>
      <c r="J35">
        <f t="shared" si="2"/>
        <v>11.5</v>
      </c>
    </row>
    <row r="36" spans="4:10" x14ac:dyDescent="0.35">
      <c r="D36">
        <f t="shared" si="3"/>
        <v>5.8999999999999941</v>
      </c>
      <c r="E36">
        <f t="shared" si="0"/>
        <v>5.855666666666659</v>
      </c>
      <c r="F36">
        <f t="shared" si="1"/>
        <v>6</v>
      </c>
      <c r="H36">
        <f t="shared" si="4"/>
        <v>9.6999999999999815</v>
      </c>
      <c r="I36">
        <f t="shared" si="5"/>
        <v>11.561999999999973</v>
      </c>
      <c r="J36">
        <f t="shared" si="2"/>
        <v>11.5</v>
      </c>
    </row>
    <row r="37" spans="4:10" x14ac:dyDescent="0.35">
      <c r="D37">
        <f t="shared" si="3"/>
        <v>5.9999999999999938</v>
      </c>
      <c r="E37">
        <f t="shared" si="0"/>
        <v>6.0058333333333245</v>
      </c>
      <c r="F37">
        <f t="shared" si="1"/>
        <v>6</v>
      </c>
      <c r="H37">
        <f t="shared" si="4"/>
        <v>9.7999999999999812</v>
      </c>
      <c r="I37">
        <f t="shared" si="5"/>
        <v>11.712166666666638</v>
      </c>
      <c r="J37">
        <f t="shared" si="2"/>
        <v>11.5</v>
      </c>
    </row>
    <row r="38" spans="4:10" x14ac:dyDescent="0.35">
      <c r="D38">
        <f t="shared" si="3"/>
        <v>6.0999999999999934</v>
      </c>
      <c r="E38">
        <f t="shared" si="0"/>
        <v>6.1559999999999899</v>
      </c>
      <c r="F38">
        <f t="shared" si="1"/>
        <v>6</v>
      </c>
      <c r="H38">
        <f t="shared" si="4"/>
        <v>9.8999999999999808</v>
      </c>
      <c r="I38">
        <f t="shared" si="5"/>
        <v>11.862333333333305</v>
      </c>
      <c r="J38">
        <f t="shared" si="2"/>
        <v>12</v>
      </c>
    </row>
    <row r="39" spans="4:10" x14ac:dyDescent="0.35">
      <c r="D39">
        <f t="shared" si="3"/>
        <v>6.1999999999999931</v>
      </c>
      <c r="E39">
        <f t="shared" si="0"/>
        <v>6.3061666666666572</v>
      </c>
      <c r="F39">
        <f t="shared" si="1"/>
        <v>6.5</v>
      </c>
      <c r="H39">
        <f t="shared" si="4"/>
        <v>9.9999999999999805</v>
      </c>
      <c r="I39">
        <f t="shared" si="5"/>
        <v>12.012499999999971</v>
      </c>
      <c r="J39">
        <f t="shared" si="2"/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W82"/>
  <sheetViews>
    <sheetView tabSelected="1" workbookViewId="0">
      <pane xSplit="1" topLeftCell="F1" activePane="topRight" state="frozen"/>
      <selection activeCell="A31" sqref="A31"/>
      <selection pane="topRight" activeCell="U22" sqref="U22"/>
    </sheetView>
  </sheetViews>
  <sheetFormatPr defaultRowHeight="14.5" x14ac:dyDescent="0.35"/>
  <cols>
    <col min="2" max="2" width="11.90625" bestFit="1" customWidth="1"/>
    <col min="3" max="3" width="15.90625" bestFit="1" customWidth="1"/>
    <col min="4" max="6" width="15.90625" customWidth="1"/>
    <col min="7" max="9" width="15.90625" style="22" customWidth="1"/>
    <col min="10" max="11" width="11.90625" bestFit="1" customWidth="1"/>
    <col min="12" max="12" width="11.90625" style="22" customWidth="1"/>
    <col min="13" max="14" width="11.90625" bestFit="1" customWidth="1"/>
    <col min="15" max="17" width="11.90625" style="22" customWidth="1"/>
    <col min="18" max="18" width="11.6328125" bestFit="1" customWidth="1"/>
    <col min="19" max="19" width="11.6328125" style="22" customWidth="1"/>
    <col min="20" max="20" width="9.08984375" bestFit="1" customWidth="1"/>
    <col min="21" max="21" width="9.08984375" customWidth="1"/>
    <col min="23" max="23" width="16.6328125" bestFit="1" customWidth="1"/>
  </cols>
  <sheetData>
    <row r="1" spans="1:23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W1" t="s">
        <v>349</v>
      </c>
    </row>
    <row r="2" spans="1:23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W2" s="1">
        <v>45990</v>
      </c>
    </row>
    <row r="3" spans="1:23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21">
        <v>27</v>
      </c>
      <c r="S3" s="21">
        <v>85.84</v>
      </c>
    </row>
    <row r="4" spans="1:23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3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21">
        <v>85.84</v>
      </c>
      <c r="V5" t="s">
        <v>370</v>
      </c>
      <c r="W5">
        <v>15</v>
      </c>
    </row>
    <row r="6" spans="1:23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21">
        <v>85.84</v>
      </c>
      <c r="V6" t="s">
        <v>371</v>
      </c>
      <c r="W6">
        <f>27*W5</f>
        <v>405</v>
      </c>
    </row>
    <row r="7" spans="1:23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21">
        <v>85.84</v>
      </c>
      <c r="T7" s="19">
        <v>44.7</v>
      </c>
      <c r="U7" s="19"/>
      <c r="V7" t="s">
        <v>372</v>
      </c>
      <c r="W7">
        <f>1950-W6</f>
        <v>1545</v>
      </c>
    </row>
    <row r="8" spans="1:23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V8" t="s">
        <v>373</v>
      </c>
      <c r="W8">
        <f>W7/18</f>
        <v>85.833333333333329</v>
      </c>
    </row>
    <row r="9" spans="1:23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3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21">
        <v>85.84</v>
      </c>
    </row>
    <row r="11" spans="1:23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21">
        <v>85.84</v>
      </c>
    </row>
    <row r="12" spans="1:23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</row>
    <row r="13" spans="1:23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21">
        <v>85.84</v>
      </c>
    </row>
    <row r="14" spans="1:23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21">
        <v>85.84</v>
      </c>
    </row>
    <row r="15" spans="1:23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21">
        <v>85.84</v>
      </c>
    </row>
    <row r="16" spans="1:23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21">
        <v>85.84</v>
      </c>
    </row>
    <row r="17" spans="1:21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</row>
    <row r="18" spans="1:21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21">
        <v>85.84</v>
      </c>
    </row>
    <row r="19" spans="1:21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21">
        <v>85.84</v>
      </c>
    </row>
    <row r="20" spans="1:21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21">
        <v>85.84</v>
      </c>
    </row>
    <row r="21" spans="1:21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21">
        <v>27</v>
      </c>
      <c r="S21" s="19"/>
    </row>
    <row r="22" spans="1:21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1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21">
        <v>27</v>
      </c>
      <c r="S23" s="19"/>
    </row>
    <row r="24" spans="1:21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</row>
    <row r="25" spans="1:21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1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21">
        <v>27</v>
      </c>
      <c r="T26" s="19">
        <v>45.7</v>
      </c>
      <c r="U26" s="22"/>
    </row>
    <row r="27" spans="1:21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</row>
    <row r="28" spans="1:21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21">
        <v>25</v>
      </c>
      <c r="L28" s="19"/>
      <c r="M28" s="22"/>
      <c r="N28" s="21">
        <v>27</v>
      </c>
      <c r="O28" s="19"/>
      <c r="P28" s="19"/>
      <c r="Q28" s="19"/>
    </row>
    <row r="29" spans="1:21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</row>
    <row r="30" spans="1:21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21">
        <v>85.84</v>
      </c>
    </row>
    <row r="31" spans="1:21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1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21">
        <v>27</v>
      </c>
    </row>
    <row r="33" spans="1:19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19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</row>
    <row r="35" spans="1:19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</row>
    <row r="36" spans="1:19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19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</row>
    <row r="38" spans="1:19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19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21">
        <v>85.84</v>
      </c>
    </row>
    <row r="40" spans="1:19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21">
        <v>27</v>
      </c>
    </row>
    <row r="41" spans="1:19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19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</row>
    <row r="43" spans="1:19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21">
        <v>54</v>
      </c>
    </row>
    <row r="44" spans="1:19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19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19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19" x14ac:dyDescent="0.35">
      <c r="A47" t="s">
        <v>81</v>
      </c>
      <c r="C47" s="19"/>
      <c r="D47" s="19"/>
      <c r="E47" s="19"/>
      <c r="F47" s="19"/>
      <c r="G47" s="19">
        <v>25</v>
      </c>
      <c r="H47" s="19"/>
      <c r="I47" s="19"/>
      <c r="L47" s="19">
        <v>25</v>
      </c>
    </row>
    <row r="48" spans="1:19" x14ac:dyDescent="0.35">
      <c r="A48" t="s">
        <v>78</v>
      </c>
      <c r="C48" s="19"/>
      <c r="D48" s="19"/>
      <c r="E48" s="19"/>
      <c r="F48" s="19"/>
      <c r="G48" s="19">
        <v>25</v>
      </c>
      <c r="H48" s="19"/>
      <c r="I48" s="19"/>
    </row>
    <row r="49" spans="1:19" x14ac:dyDescent="0.35">
      <c r="A49" t="s">
        <v>80</v>
      </c>
      <c r="G49" s="19">
        <v>25</v>
      </c>
      <c r="H49" s="19"/>
      <c r="I49" s="19"/>
    </row>
    <row r="50" spans="1:19" x14ac:dyDescent="0.35">
      <c r="A50" t="s">
        <v>83</v>
      </c>
      <c r="G50" s="19"/>
      <c r="H50" s="19">
        <v>25</v>
      </c>
      <c r="I50" s="19"/>
    </row>
    <row r="51" spans="1:19" x14ac:dyDescent="0.35">
      <c r="A51" t="s">
        <v>86</v>
      </c>
      <c r="G51" s="19"/>
      <c r="H51" s="19">
        <v>25</v>
      </c>
      <c r="I51" s="19"/>
    </row>
    <row r="52" spans="1:19" x14ac:dyDescent="0.35">
      <c r="A52" t="s">
        <v>85</v>
      </c>
      <c r="G52" s="19"/>
      <c r="H52" s="19">
        <v>25</v>
      </c>
      <c r="I52" s="19">
        <v>50</v>
      </c>
    </row>
    <row r="53" spans="1:19" x14ac:dyDescent="0.35">
      <c r="A53" t="s">
        <v>81</v>
      </c>
      <c r="G53" s="19"/>
      <c r="H53" s="19">
        <v>25</v>
      </c>
      <c r="I53" s="19"/>
    </row>
    <row r="54" spans="1:19" x14ac:dyDescent="0.35">
      <c r="A54" t="s">
        <v>84</v>
      </c>
      <c r="G54" s="19"/>
      <c r="H54" s="19">
        <v>50</v>
      </c>
      <c r="I54" s="19">
        <v>77.78</v>
      </c>
      <c r="J54" s="19">
        <v>86.12</v>
      </c>
      <c r="K54" s="19">
        <f>(1800-12*25)/18</f>
        <v>83.333333333333329</v>
      </c>
      <c r="L54" s="19">
        <v>79.17</v>
      </c>
      <c r="M54" s="19">
        <v>76.39</v>
      </c>
      <c r="N54" s="19">
        <v>88.84</v>
      </c>
      <c r="O54" s="19">
        <v>84.34</v>
      </c>
      <c r="P54" s="19">
        <v>54</v>
      </c>
      <c r="Q54" s="19">
        <v>83</v>
      </c>
      <c r="R54" s="19">
        <f>27*2</f>
        <v>54</v>
      </c>
      <c r="S54" s="21">
        <v>85.84</v>
      </c>
    </row>
    <row r="55" spans="1:19" x14ac:dyDescent="0.35">
      <c r="A55" t="s">
        <v>340</v>
      </c>
      <c r="G55" s="19"/>
      <c r="H55" s="19"/>
      <c r="I55" s="19"/>
      <c r="J55" s="19">
        <v>25</v>
      </c>
      <c r="K55" s="19">
        <v>62.5</v>
      </c>
      <c r="L55" s="19">
        <v>79.17</v>
      </c>
    </row>
    <row r="56" spans="1:19" x14ac:dyDescent="0.35">
      <c r="A56" t="s">
        <v>339</v>
      </c>
      <c r="G56" s="19"/>
      <c r="H56" s="19"/>
      <c r="I56" s="19"/>
      <c r="J56" s="19">
        <v>25</v>
      </c>
      <c r="M56" s="19">
        <v>25</v>
      </c>
    </row>
    <row r="57" spans="1:19" x14ac:dyDescent="0.35">
      <c r="A57" t="s">
        <v>344</v>
      </c>
      <c r="G57" s="19"/>
      <c r="H57" s="19"/>
      <c r="I57" s="19"/>
      <c r="J57" s="19">
        <v>25</v>
      </c>
      <c r="L57" s="19">
        <v>50</v>
      </c>
      <c r="M57" s="19">
        <v>25</v>
      </c>
    </row>
    <row r="58" spans="1:19" x14ac:dyDescent="0.35">
      <c r="A58" t="s">
        <v>342</v>
      </c>
      <c r="G58"/>
      <c r="H58"/>
      <c r="I58"/>
      <c r="K58" s="19">
        <v>25</v>
      </c>
      <c r="L58" s="19"/>
      <c r="N58" s="19">
        <v>27</v>
      </c>
      <c r="O58" s="19"/>
      <c r="P58" s="19"/>
      <c r="Q58" s="19"/>
    </row>
    <row r="59" spans="1:19" x14ac:dyDescent="0.35">
      <c r="A59" t="s">
        <v>345</v>
      </c>
      <c r="G59"/>
      <c r="H59"/>
      <c r="I59"/>
      <c r="K59" s="19">
        <v>25</v>
      </c>
      <c r="L59" s="19"/>
    </row>
    <row r="60" spans="1:19" x14ac:dyDescent="0.35">
      <c r="A60" t="s">
        <v>346</v>
      </c>
      <c r="G60"/>
      <c r="H60"/>
      <c r="I60"/>
      <c r="K60" s="19">
        <v>50</v>
      </c>
      <c r="L60" s="19">
        <v>79.17</v>
      </c>
      <c r="M60" s="19">
        <v>75</v>
      </c>
      <c r="N60" s="19">
        <v>88.84</v>
      </c>
      <c r="O60" s="19">
        <f>27*3</f>
        <v>81</v>
      </c>
      <c r="P60" s="19"/>
      <c r="Q60" s="19"/>
      <c r="S60" s="21">
        <v>81</v>
      </c>
    </row>
    <row r="61" spans="1:19" x14ac:dyDescent="0.35">
      <c r="A61" t="s">
        <v>347</v>
      </c>
      <c r="G61"/>
      <c r="H61"/>
      <c r="I61"/>
      <c r="K61" s="19">
        <v>25</v>
      </c>
      <c r="L61" s="19"/>
    </row>
    <row r="62" spans="1:19" x14ac:dyDescent="0.35">
      <c r="A62" t="s">
        <v>354</v>
      </c>
      <c r="G62"/>
      <c r="H62"/>
      <c r="I62"/>
      <c r="K62" s="19"/>
      <c r="L62" s="19">
        <v>25</v>
      </c>
    </row>
    <row r="63" spans="1:19" x14ac:dyDescent="0.35">
      <c r="A63" t="s">
        <v>356</v>
      </c>
      <c r="L63" s="19">
        <v>25</v>
      </c>
    </row>
    <row r="64" spans="1:19" x14ac:dyDescent="0.35">
      <c r="A64" t="s">
        <v>352</v>
      </c>
      <c r="L64" s="19">
        <v>25</v>
      </c>
    </row>
    <row r="65" spans="1:19" x14ac:dyDescent="0.35">
      <c r="A65" t="s">
        <v>350</v>
      </c>
      <c r="L65" s="19">
        <v>25</v>
      </c>
    </row>
    <row r="66" spans="1:19" x14ac:dyDescent="0.35">
      <c r="A66" t="s">
        <v>363</v>
      </c>
      <c r="L66" s="19"/>
      <c r="M66" s="19">
        <v>25</v>
      </c>
    </row>
    <row r="67" spans="1:19" x14ac:dyDescent="0.35">
      <c r="A67" t="s">
        <v>361</v>
      </c>
      <c r="L67" s="19"/>
      <c r="M67" s="19">
        <v>25</v>
      </c>
      <c r="O67" s="19">
        <v>27</v>
      </c>
      <c r="P67" s="19"/>
      <c r="Q67" s="19">
        <v>27</v>
      </c>
      <c r="S67" s="21">
        <v>27</v>
      </c>
    </row>
    <row r="68" spans="1:19" x14ac:dyDescent="0.35">
      <c r="A68" t="s">
        <v>364</v>
      </c>
      <c r="L68" s="19"/>
      <c r="M68" s="19"/>
      <c r="N68" s="19">
        <v>27</v>
      </c>
      <c r="O68" s="19"/>
      <c r="P68" s="19">
        <v>27</v>
      </c>
      <c r="Q68" s="19"/>
    </row>
    <row r="69" spans="1:19" x14ac:dyDescent="0.35">
      <c r="A69" t="s">
        <v>365</v>
      </c>
      <c r="L69" s="19"/>
      <c r="M69" s="19"/>
      <c r="N69" s="19">
        <v>27</v>
      </c>
      <c r="O69" s="19"/>
      <c r="P69" s="19"/>
      <c r="Q69" s="19"/>
    </row>
    <row r="70" spans="1:19" x14ac:dyDescent="0.35">
      <c r="A70" t="s">
        <v>366</v>
      </c>
      <c r="L70" s="19"/>
      <c r="M70" s="19"/>
      <c r="N70" s="19">
        <v>27</v>
      </c>
      <c r="O70" s="19"/>
      <c r="P70" s="19"/>
      <c r="Q70" s="19"/>
    </row>
    <row r="71" spans="1:19" x14ac:dyDescent="0.35">
      <c r="A71" t="s">
        <v>368</v>
      </c>
      <c r="O71" s="19">
        <v>27</v>
      </c>
      <c r="P71" s="19"/>
      <c r="Q71" s="19"/>
      <c r="R71" s="19">
        <v>27</v>
      </c>
      <c r="S71" s="19"/>
    </row>
    <row r="72" spans="1:19" x14ac:dyDescent="0.35">
      <c r="A72" t="s">
        <v>369</v>
      </c>
      <c r="O72" s="19">
        <v>54</v>
      </c>
      <c r="P72" s="19"/>
      <c r="Q72" s="19"/>
    </row>
    <row r="73" spans="1:19" x14ac:dyDescent="0.35">
      <c r="A73" t="s">
        <v>376</v>
      </c>
      <c r="O73" s="19"/>
      <c r="P73" s="19"/>
      <c r="Q73" s="19">
        <v>81</v>
      </c>
      <c r="R73" s="19">
        <f>27*2</f>
        <v>54</v>
      </c>
      <c r="S73" s="21">
        <v>54</v>
      </c>
    </row>
    <row r="74" spans="1:19" x14ac:dyDescent="0.35">
      <c r="A74" t="s">
        <v>374</v>
      </c>
      <c r="O74" s="19"/>
      <c r="P74" s="19"/>
      <c r="Q74" s="19">
        <v>27</v>
      </c>
    </row>
    <row r="75" spans="1:19" x14ac:dyDescent="0.35">
      <c r="A75" t="s">
        <v>375</v>
      </c>
      <c r="O75" s="19"/>
      <c r="P75" s="19"/>
      <c r="Q75" s="19">
        <v>27</v>
      </c>
    </row>
    <row r="76" spans="1:19" x14ac:dyDescent="0.35">
      <c r="A76" t="s">
        <v>377</v>
      </c>
      <c r="O76" s="19"/>
      <c r="P76" s="19"/>
      <c r="Q76" s="19"/>
      <c r="R76" s="19">
        <v>27</v>
      </c>
      <c r="S76" s="19"/>
    </row>
    <row r="77" spans="1:19" x14ac:dyDescent="0.35">
      <c r="A77" t="s">
        <v>378</v>
      </c>
      <c r="O77" s="19"/>
      <c r="P77" s="19"/>
      <c r="Q77" s="19"/>
      <c r="R77" s="19"/>
      <c r="S77" s="21">
        <v>54</v>
      </c>
    </row>
    <row r="78" spans="1:19" x14ac:dyDescent="0.35">
      <c r="A78" t="s">
        <v>380</v>
      </c>
      <c r="O78" s="19"/>
      <c r="P78" s="19"/>
      <c r="Q78" s="19"/>
      <c r="R78" s="19"/>
      <c r="S78" s="21">
        <v>27</v>
      </c>
    </row>
    <row r="80" spans="1:19" x14ac:dyDescent="0.35">
      <c r="A80" t="s">
        <v>74</v>
      </c>
      <c r="B80" s="20">
        <f>SUM(B3:B28)</f>
        <v>1716.6666666666665</v>
      </c>
      <c r="C80" s="20">
        <f>SUM(C3:C35)</f>
        <v>1729.2800000000002</v>
      </c>
      <c r="D80" s="20">
        <f>SUM(D3:D38)</f>
        <v>1754.2800000000002</v>
      </c>
      <c r="E80" s="20">
        <f>SUM(E3:E41)</f>
        <v>1697.26</v>
      </c>
      <c r="F80" s="20">
        <f>SUM(F3:F44)</f>
        <v>1772.26</v>
      </c>
      <c r="G80" s="20">
        <f>SUM(G3:G49)</f>
        <v>1722.2599999999998</v>
      </c>
      <c r="H80" s="20">
        <f>SUM(H3:H54)</f>
        <v>1715.41</v>
      </c>
      <c r="I80" s="20">
        <f>SUM(I3:I54)</f>
        <v>1722.2599999999998</v>
      </c>
      <c r="J80" s="20">
        <f>SUM(J3:J57)</f>
        <v>1714.0399999999995</v>
      </c>
      <c r="K80" s="20">
        <f>SUM(K3:K60)</f>
        <v>1716.6733333333332</v>
      </c>
      <c r="L80" s="20">
        <f>SUM(L3:L60)</f>
        <v>1620.8900000000003</v>
      </c>
      <c r="M80" s="20">
        <f>SUM(M3:M70)</f>
        <v>1723.6300000000003</v>
      </c>
      <c r="N80" s="20">
        <f>SUM(N3:N70)</f>
        <v>1861.2799999999997</v>
      </c>
      <c r="O80" s="20">
        <f>SUM(O3:O72)</f>
        <v>1865.7799999999997</v>
      </c>
      <c r="P80" s="20">
        <f>SUM(P3:P72)</f>
        <v>1864.2799999999997</v>
      </c>
      <c r="Q80" s="20">
        <f>SUM(Q3:Q75)</f>
        <v>1869.11</v>
      </c>
      <c r="R80" s="20">
        <f>SUM(R3:R76)</f>
        <v>1870.7799999999997</v>
      </c>
      <c r="S80" s="20">
        <f>SUM(S3:S78)</f>
        <v>1864.2799999999997</v>
      </c>
    </row>
    <row r="81" spans="1:19" x14ac:dyDescent="0.35">
      <c r="A81" t="s">
        <v>75</v>
      </c>
      <c r="B81" s="20">
        <f>25*12+83.34*17</f>
        <v>1716.78</v>
      </c>
      <c r="C81" s="20">
        <f>22*25+70.84*17</f>
        <v>1754.28</v>
      </c>
      <c r="D81" s="20">
        <f>20*25+70.84*17</f>
        <v>1704.28</v>
      </c>
      <c r="E81" s="20">
        <f>15*25+77.78*17</f>
        <v>1697.26</v>
      </c>
      <c r="F81" s="20">
        <f>18*25+77.78*17</f>
        <v>1772.26</v>
      </c>
      <c r="G81" s="23">
        <f>17*77.78+25*16</f>
        <v>1722.26</v>
      </c>
      <c r="H81" s="23">
        <f>11*25+84.73*17</f>
        <v>1715.41</v>
      </c>
      <c r="I81" s="23">
        <f>17*25+77.78*17</f>
        <v>1747.26</v>
      </c>
      <c r="J81" s="23">
        <f>10*25+86.12*17</f>
        <v>1714.04</v>
      </c>
      <c r="K81" s="23">
        <f>13*25+83.33*17</f>
        <v>1741.61</v>
      </c>
      <c r="L81" s="23">
        <f>15*25+79.17*17</f>
        <v>1720.89</v>
      </c>
      <c r="M81" s="23">
        <f>17*25+76.39*17</f>
        <v>1723.63</v>
      </c>
      <c r="N81" s="23">
        <f>13*27+88.84*17</f>
        <v>1861.28</v>
      </c>
      <c r="O81" s="23">
        <f>16*27+84.34*17</f>
        <v>1865.78</v>
      </c>
      <c r="P81" s="23">
        <f>15*27+85.84*17</f>
        <v>1864.28</v>
      </c>
      <c r="Q81" s="23">
        <f>16*27+82.83*17</f>
        <v>1840.11</v>
      </c>
      <c r="R81" s="23">
        <f>15*27+82.83*17</f>
        <v>1813.11</v>
      </c>
      <c r="S81" s="23">
        <f>1*27+85.84*1</f>
        <v>112.84</v>
      </c>
    </row>
    <row r="82" spans="1:19" x14ac:dyDescent="0.35">
      <c r="B82" s="24">
        <f t="shared" ref="B82:G82" si="1">B81/B80</f>
        <v>1.0000660194174757</v>
      </c>
      <c r="C82" s="24">
        <f t="shared" si="1"/>
        <v>1.0144568837897852</v>
      </c>
      <c r="D82" s="24">
        <f t="shared" si="1"/>
        <v>0.97149827849602099</v>
      </c>
      <c r="E82" s="24">
        <f t="shared" si="1"/>
        <v>1</v>
      </c>
      <c r="F82" s="24">
        <f t="shared" si="1"/>
        <v>1</v>
      </c>
      <c r="G82" s="24">
        <f t="shared" si="1"/>
        <v>1.0000000000000002</v>
      </c>
      <c r="H82" s="24">
        <f t="shared" ref="H82:I82" si="2">H81/H80</f>
        <v>1</v>
      </c>
      <c r="I82" s="24">
        <f t="shared" si="2"/>
        <v>1.0145158106209284</v>
      </c>
      <c r="J82" s="24">
        <f t="shared" ref="J82:K82" si="3">J81/J80</f>
        <v>1.0000000000000002</v>
      </c>
      <c r="K82" s="24">
        <f t="shared" si="3"/>
        <v>1.0145261571799722</v>
      </c>
      <c r="L82" s="24">
        <f t="shared" ref="L82:M82" si="4">L81/L80</f>
        <v>1.0616945011691106</v>
      </c>
      <c r="M82" s="24">
        <f t="shared" si="4"/>
        <v>0.99999999999999989</v>
      </c>
      <c r="N82" s="24">
        <f t="shared" ref="N82:O82" si="5">N81/N80</f>
        <v>1.0000000000000002</v>
      </c>
      <c r="O82" s="24">
        <f t="shared" si="5"/>
        <v>1.0000000000000002</v>
      </c>
      <c r="P82" s="24">
        <f t="shared" ref="P82" si="6">P81/P80</f>
        <v>1.0000000000000002</v>
      </c>
      <c r="Q82" s="24">
        <f>Q81/Q80</f>
        <v>0.98448459427214019</v>
      </c>
      <c r="R82" s="24">
        <f>R81/R80</f>
        <v>0.9691732860090444</v>
      </c>
      <c r="S82" s="24">
        <f>S81/S80</f>
        <v>6.0527388589696834E-2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22"/>
  <sheetViews>
    <sheetView topLeftCell="A198" workbookViewId="0">
      <selection activeCell="B225" sqref="B225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78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78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F77"/>
  <sheetViews>
    <sheetView zoomScaleNormal="100" workbookViewId="0">
      <pane xSplit="1" topLeftCell="AO1" activePane="topRight" state="frozen"/>
      <selection pane="topRight" activeCell="BE74" sqref="BE74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58" width="10.453125" bestFit="1" customWidth="1"/>
  </cols>
  <sheetData>
    <row r="1" spans="1:58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</row>
    <row r="2" spans="1:58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</row>
    <row r="3" spans="1:58" hidden="1" x14ac:dyDescent="0.35">
      <c r="A3" t="s">
        <v>24</v>
      </c>
    </row>
    <row r="4" spans="1:58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58" hidden="1" x14ac:dyDescent="0.35">
      <c r="A5" t="s">
        <v>365</v>
      </c>
    </row>
    <row r="6" spans="1:58" x14ac:dyDescent="0.35">
      <c r="A6" t="s">
        <v>77</v>
      </c>
      <c r="G6">
        <v>3</v>
      </c>
    </row>
    <row r="7" spans="1:58" x14ac:dyDescent="0.35">
      <c r="A7" t="s">
        <v>364</v>
      </c>
      <c r="AH7">
        <v>3</v>
      </c>
      <c r="AQ7">
        <v>2</v>
      </c>
    </row>
    <row r="8" spans="1:58" x14ac:dyDescent="0.35">
      <c r="A8" t="s">
        <v>7</v>
      </c>
      <c r="K8">
        <v>1</v>
      </c>
    </row>
    <row r="9" spans="1:58" x14ac:dyDescent="0.35">
      <c r="A9" t="s">
        <v>353</v>
      </c>
      <c r="G9">
        <v>1</v>
      </c>
    </row>
    <row r="10" spans="1:58" hidden="1" x14ac:dyDescent="0.35">
      <c r="A10" t="s">
        <v>347</v>
      </c>
    </row>
    <row r="11" spans="1:58" x14ac:dyDescent="0.35">
      <c r="A11" t="s">
        <v>48</v>
      </c>
    </row>
    <row r="12" spans="1:58" x14ac:dyDescent="0.35">
      <c r="A12" t="s">
        <v>362</v>
      </c>
    </row>
    <row r="13" spans="1:58" hidden="1" x14ac:dyDescent="0.35">
      <c r="A13" t="s">
        <v>18</v>
      </c>
    </row>
    <row r="14" spans="1:58" x14ac:dyDescent="0.35">
      <c r="A14" t="s">
        <v>25</v>
      </c>
      <c r="C14">
        <v>1</v>
      </c>
      <c r="E14">
        <v>1</v>
      </c>
      <c r="G14">
        <v>1</v>
      </c>
      <c r="J14">
        <v>3</v>
      </c>
      <c r="K14">
        <v>3</v>
      </c>
      <c r="M14">
        <v>1</v>
      </c>
      <c r="R14">
        <v>1</v>
      </c>
      <c r="V14">
        <v>1</v>
      </c>
      <c r="AE14">
        <v>1</v>
      </c>
      <c r="AF14">
        <v>1</v>
      </c>
      <c r="AH14">
        <v>2</v>
      </c>
      <c r="AT14">
        <v>1</v>
      </c>
      <c r="BA14">
        <v>1</v>
      </c>
    </row>
    <row r="15" spans="1:58" x14ac:dyDescent="0.35">
      <c r="A15" t="s">
        <v>14</v>
      </c>
      <c r="E15">
        <v>1</v>
      </c>
      <c r="F15">
        <v>1</v>
      </c>
      <c r="J15">
        <v>1</v>
      </c>
      <c r="P15">
        <v>1</v>
      </c>
      <c r="S15">
        <v>1</v>
      </c>
      <c r="W15">
        <v>1</v>
      </c>
      <c r="Z15">
        <v>2</v>
      </c>
      <c r="AA15">
        <v>0.5</v>
      </c>
      <c r="AK15">
        <v>1</v>
      </c>
      <c r="AR15">
        <v>2</v>
      </c>
      <c r="AX15">
        <v>1</v>
      </c>
    </row>
    <row r="16" spans="1:58" x14ac:dyDescent="0.35">
      <c r="A16" t="s">
        <v>378</v>
      </c>
    </row>
    <row r="17" spans="1:58" x14ac:dyDescent="0.35">
      <c r="A17" t="s">
        <v>54</v>
      </c>
      <c r="C17">
        <v>2</v>
      </c>
      <c r="D17">
        <v>3</v>
      </c>
      <c r="V17">
        <v>2</v>
      </c>
    </row>
    <row r="18" spans="1:58" x14ac:dyDescent="0.35">
      <c r="A18" t="s">
        <v>66</v>
      </c>
      <c r="D18">
        <v>2</v>
      </c>
      <c r="I18">
        <v>3</v>
      </c>
      <c r="J18">
        <v>1</v>
      </c>
      <c r="T18">
        <v>1</v>
      </c>
      <c r="W18">
        <v>1</v>
      </c>
      <c r="X18">
        <v>1</v>
      </c>
      <c r="Y18">
        <v>1</v>
      </c>
      <c r="Z18">
        <v>1</v>
      </c>
      <c r="AA18">
        <v>1</v>
      </c>
      <c r="AC18">
        <v>1</v>
      </c>
      <c r="AD18">
        <v>1</v>
      </c>
      <c r="AH18">
        <v>1</v>
      </c>
      <c r="AI18">
        <v>1</v>
      </c>
      <c r="BA18">
        <v>3</v>
      </c>
    </row>
    <row r="19" spans="1:58" x14ac:dyDescent="0.35">
      <c r="A19" t="s">
        <v>84</v>
      </c>
      <c r="I19">
        <v>2</v>
      </c>
      <c r="J19">
        <v>1</v>
      </c>
      <c r="L19">
        <v>3</v>
      </c>
      <c r="N19">
        <v>2</v>
      </c>
      <c r="O19">
        <v>2</v>
      </c>
      <c r="P19">
        <v>1</v>
      </c>
      <c r="S19">
        <v>2</v>
      </c>
      <c r="V19">
        <v>4</v>
      </c>
      <c r="W19">
        <v>6</v>
      </c>
      <c r="X19">
        <v>3</v>
      </c>
      <c r="AB19">
        <v>1</v>
      </c>
      <c r="AC19">
        <v>2</v>
      </c>
      <c r="AD19">
        <v>3</v>
      </c>
      <c r="AE19">
        <v>1</v>
      </c>
      <c r="AH19">
        <v>4</v>
      </c>
      <c r="AI19">
        <v>5</v>
      </c>
      <c r="AK19">
        <v>1</v>
      </c>
      <c r="AL19">
        <v>1</v>
      </c>
      <c r="AN19">
        <v>2</v>
      </c>
      <c r="AU19">
        <v>4</v>
      </c>
      <c r="AV19">
        <v>1</v>
      </c>
      <c r="AX19">
        <v>1</v>
      </c>
    </row>
    <row r="20" spans="1:58" x14ac:dyDescent="0.35">
      <c r="A20" t="s">
        <v>15</v>
      </c>
      <c r="F20">
        <v>1</v>
      </c>
      <c r="H20">
        <v>2</v>
      </c>
      <c r="I20">
        <v>1</v>
      </c>
      <c r="AK20">
        <v>1</v>
      </c>
      <c r="AL20">
        <v>4</v>
      </c>
      <c r="AO20">
        <v>2</v>
      </c>
      <c r="AR20">
        <v>3</v>
      </c>
      <c r="AS20">
        <v>2</v>
      </c>
      <c r="AT20">
        <v>1</v>
      </c>
      <c r="AY20">
        <v>1</v>
      </c>
      <c r="BE20">
        <v>2</v>
      </c>
      <c r="BF20">
        <v>1</v>
      </c>
    </row>
    <row r="21" spans="1:58" x14ac:dyDescent="0.35">
      <c r="A21" t="s">
        <v>375</v>
      </c>
      <c r="AW21">
        <v>1</v>
      </c>
    </row>
    <row r="22" spans="1:58" x14ac:dyDescent="0.35">
      <c r="A22" t="s">
        <v>6</v>
      </c>
      <c r="B22">
        <v>3</v>
      </c>
      <c r="E22">
        <v>2</v>
      </c>
      <c r="H22">
        <v>1</v>
      </c>
      <c r="L22">
        <v>2</v>
      </c>
      <c r="M22">
        <v>2</v>
      </c>
      <c r="N22">
        <v>6</v>
      </c>
      <c r="O22">
        <v>1</v>
      </c>
      <c r="Q22">
        <v>3</v>
      </c>
      <c r="R22">
        <v>1</v>
      </c>
      <c r="S22">
        <v>1</v>
      </c>
      <c r="T22">
        <v>3</v>
      </c>
      <c r="U22">
        <v>3</v>
      </c>
      <c r="V22">
        <v>6</v>
      </c>
      <c r="W22">
        <v>2</v>
      </c>
      <c r="X22">
        <v>3</v>
      </c>
      <c r="Y22">
        <v>1</v>
      </c>
      <c r="Z22">
        <v>3.5</v>
      </c>
      <c r="AA22">
        <v>3.5</v>
      </c>
      <c r="AB22">
        <v>3</v>
      </c>
      <c r="AC22">
        <v>1</v>
      </c>
      <c r="AE22">
        <v>10</v>
      </c>
      <c r="AF22">
        <v>3</v>
      </c>
      <c r="AG22">
        <v>3</v>
      </c>
      <c r="AH22">
        <v>2</v>
      </c>
      <c r="AJ22">
        <v>3</v>
      </c>
      <c r="AK22">
        <v>3</v>
      </c>
      <c r="AL22">
        <v>5</v>
      </c>
      <c r="AN22">
        <v>1</v>
      </c>
      <c r="AO22">
        <v>6</v>
      </c>
      <c r="AP22">
        <v>4</v>
      </c>
      <c r="AQ22">
        <v>3</v>
      </c>
      <c r="AR22">
        <v>4</v>
      </c>
      <c r="AS22">
        <v>2</v>
      </c>
      <c r="AT22">
        <v>4</v>
      </c>
      <c r="AU22">
        <v>4</v>
      </c>
      <c r="AV22">
        <v>6</v>
      </c>
      <c r="AW22">
        <v>1</v>
      </c>
      <c r="AY22">
        <v>4</v>
      </c>
      <c r="AZ22">
        <v>1</v>
      </c>
      <c r="BA22">
        <v>3</v>
      </c>
      <c r="BC22">
        <v>5</v>
      </c>
      <c r="BD22">
        <v>2</v>
      </c>
      <c r="BE22">
        <v>3</v>
      </c>
      <c r="BF22">
        <v>3</v>
      </c>
    </row>
    <row r="23" spans="1:58" x14ac:dyDescent="0.35">
      <c r="A23" t="s">
        <v>342</v>
      </c>
      <c r="T23">
        <v>4</v>
      </c>
      <c r="AH23">
        <v>1</v>
      </c>
      <c r="AK23">
        <v>1</v>
      </c>
    </row>
    <row r="24" spans="1:58" hidden="1" x14ac:dyDescent="0.35">
      <c r="A24" t="s">
        <v>52</v>
      </c>
    </row>
    <row r="25" spans="1:58" x14ac:dyDescent="0.35">
      <c r="A25" t="s">
        <v>78</v>
      </c>
    </row>
    <row r="26" spans="1:58" x14ac:dyDescent="0.35">
      <c r="A26" t="s">
        <v>12</v>
      </c>
      <c r="N26">
        <v>2</v>
      </c>
      <c r="U26">
        <v>1</v>
      </c>
      <c r="AI26">
        <v>1</v>
      </c>
    </row>
    <row r="27" spans="1:58" x14ac:dyDescent="0.35">
      <c r="A27" t="s">
        <v>4</v>
      </c>
      <c r="E27">
        <v>1</v>
      </c>
      <c r="F27">
        <v>3</v>
      </c>
      <c r="H27">
        <v>1</v>
      </c>
      <c r="J27">
        <v>1</v>
      </c>
      <c r="K27">
        <v>3</v>
      </c>
      <c r="P27">
        <v>3</v>
      </c>
      <c r="U27">
        <v>3</v>
      </c>
      <c r="W27">
        <v>1</v>
      </c>
      <c r="AD27">
        <v>1</v>
      </c>
      <c r="AF27">
        <v>1</v>
      </c>
      <c r="AH27">
        <v>1</v>
      </c>
      <c r="AI27">
        <v>1</v>
      </c>
      <c r="AJ27">
        <v>2</v>
      </c>
      <c r="AO27">
        <v>2</v>
      </c>
      <c r="AP27">
        <v>2</v>
      </c>
      <c r="AQ27">
        <v>4</v>
      </c>
      <c r="AR27">
        <v>2</v>
      </c>
      <c r="AT27">
        <v>1</v>
      </c>
      <c r="AU27">
        <v>2</v>
      </c>
      <c r="AV27">
        <v>1</v>
      </c>
      <c r="AW27">
        <v>1</v>
      </c>
      <c r="AX27">
        <v>1</v>
      </c>
      <c r="AZ27">
        <v>2</v>
      </c>
      <c r="BA27">
        <v>2</v>
      </c>
      <c r="BB27">
        <v>1</v>
      </c>
      <c r="BD27">
        <v>2</v>
      </c>
      <c r="BE27">
        <v>3</v>
      </c>
      <c r="BF27">
        <v>1</v>
      </c>
    </row>
    <row r="28" spans="1:58" x14ac:dyDescent="0.35">
      <c r="A28" t="s">
        <v>361</v>
      </c>
      <c r="AD28">
        <v>2</v>
      </c>
      <c r="AM28">
        <v>1</v>
      </c>
      <c r="AU28">
        <v>1</v>
      </c>
      <c r="BF28">
        <v>3</v>
      </c>
    </row>
    <row r="29" spans="1:58" x14ac:dyDescent="0.35">
      <c r="A29" t="s">
        <v>1</v>
      </c>
      <c r="B29">
        <v>1</v>
      </c>
      <c r="C29">
        <v>1</v>
      </c>
      <c r="D29">
        <v>1</v>
      </c>
      <c r="E29">
        <v>1</v>
      </c>
      <c r="F29">
        <v>2</v>
      </c>
      <c r="I29">
        <v>2</v>
      </c>
      <c r="J29">
        <v>1</v>
      </c>
      <c r="K29">
        <v>2</v>
      </c>
      <c r="L29">
        <v>1</v>
      </c>
      <c r="M29">
        <v>2</v>
      </c>
      <c r="N29">
        <v>1</v>
      </c>
      <c r="O29">
        <v>1</v>
      </c>
      <c r="P29">
        <v>2</v>
      </c>
      <c r="R29">
        <v>1</v>
      </c>
      <c r="T29">
        <v>1</v>
      </c>
      <c r="U29">
        <v>2</v>
      </c>
      <c r="Y29">
        <v>2</v>
      </c>
      <c r="AB29">
        <v>2</v>
      </c>
      <c r="AD29">
        <v>1</v>
      </c>
      <c r="AH29">
        <v>1</v>
      </c>
      <c r="AJ29">
        <v>1</v>
      </c>
      <c r="AN29">
        <v>2</v>
      </c>
      <c r="AO29">
        <v>1</v>
      </c>
      <c r="AP29">
        <v>2</v>
      </c>
      <c r="AQ29">
        <v>1</v>
      </c>
      <c r="AS29">
        <v>2</v>
      </c>
      <c r="AW29">
        <v>1</v>
      </c>
      <c r="AX29">
        <v>1</v>
      </c>
      <c r="AY29">
        <v>2</v>
      </c>
      <c r="AZ29">
        <v>2</v>
      </c>
      <c r="BA29">
        <v>1</v>
      </c>
      <c r="BB29">
        <v>2</v>
      </c>
      <c r="BC29">
        <v>4</v>
      </c>
      <c r="BD29">
        <v>1</v>
      </c>
      <c r="BE29">
        <v>1</v>
      </c>
    </row>
    <row r="30" spans="1:58" hidden="1" x14ac:dyDescent="0.35">
      <c r="A30" t="s">
        <v>351</v>
      </c>
      <c r="Z30">
        <v>1</v>
      </c>
    </row>
    <row r="31" spans="1:58" x14ac:dyDescent="0.35">
      <c r="A31" t="s">
        <v>9</v>
      </c>
      <c r="C31">
        <v>1</v>
      </c>
      <c r="D31">
        <v>1</v>
      </c>
      <c r="G31">
        <v>2</v>
      </c>
      <c r="H31">
        <v>2</v>
      </c>
      <c r="I31">
        <v>1</v>
      </c>
      <c r="J31">
        <v>1</v>
      </c>
      <c r="K31">
        <v>2</v>
      </c>
      <c r="L31">
        <v>5</v>
      </c>
      <c r="M31">
        <v>1</v>
      </c>
      <c r="O31">
        <v>4</v>
      </c>
      <c r="P31">
        <v>1</v>
      </c>
      <c r="Q31">
        <v>2</v>
      </c>
      <c r="T31">
        <v>6</v>
      </c>
      <c r="X31">
        <v>2</v>
      </c>
      <c r="Y31">
        <v>2</v>
      </c>
      <c r="Z31">
        <v>1</v>
      </c>
      <c r="AA31">
        <v>1</v>
      </c>
      <c r="AB31">
        <v>1</v>
      </c>
      <c r="AC31">
        <v>3</v>
      </c>
      <c r="AF31">
        <v>4</v>
      </c>
      <c r="AI31">
        <v>1</v>
      </c>
      <c r="AL31">
        <v>1</v>
      </c>
      <c r="AN31">
        <v>1</v>
      </c>
      <c r="AR31">
        <v>2</v>
      </c>
      <c r="AS31">
        <v>3</v>
      </c>
      <c r="AT31">
        <v>1</v>
      </c>
      <c r="AW31">
        <v>2</v>
      </c>
      <c r="AX31">
        <v>5</v>
      </c>
      <c r="AY31">
        <v>3</v>
      </c>
      <c r="AZ31">
        <v>1</v>
      </c>
      <c r="BA31">
        <v>3</v>
      </c>
      <c r="BB31">
        <v>2</v>
      </c>
      <c r="BD31">
        <v>3</v>
      </c>
      <c r="BF31">
        <v>3</v>
      </c>
    </row>
    <row r="32" spans="1:58" x14ac:dyDescent="0.35">
      <c r="A32" t="s">
        <v>20</v>
      </c>
      <c r="B32">
        <v>1</v>
      </c>
      <c r="D32">
        <v>1</v>
      </c>
      <c r="F32">
        <v>2</v>
      </c>
      <c r="G32">
        <v>2</v>
      </c>
      <c r="H32">
        <v>4</v>
      </c>
      <c r="J32">
        <v>2</v>
      </c>
      <c r="K32">
        <v>2</v>
      </c>
      <c r="L32">
        <v>1</v>
      </c>
      <c r="M32">
        <v>1</v>
      </c>
      <c r="P32">
        <v>1</v>
      </c>
      <c r="Q32">
        <v>1</v>
      </c>
      <c r="R32">
        <v>3</v>
      </c>
      <c r="S32">
        <v>2</v>
      </c>
      <c r="T32">
        <v>2</v>
      </c>
      <c r="U32">
        <v>2</v>
      </c>
      <c r="W32">
        <v>3</v>
      </c>
      <c r="X32">
        <v>3</v>
      </c>
      <c r="Y32">
        <v>2</v>
      </c>
      <c r="AA32">
        <v>2</v>
      </c>
      <c r="AB32">
        <v>2</v>
      </c>
      <c r="AC32">
        <v>2</v>
      </c>
      <c r="AE32">
        <v>2</v>
      </c>
      <c r="AF32">
        <v>1</v>
      </c>
      <c r="AG32">
        <v>2</v>
      </c>
      <c r="AJ32">
        <v>4</v>
      </c>
      <c r="AK32">
        <v>2</v>
      </c>
      <c r="AM32">
        <v>1</v>
      </c>
      <c r="AN32">
        <v>1</v>
      </c>
      <c r="AO32">
        <v>1</v>
      </c>
      <c r="AP32">
        <v>1</v>
      </c>
      <c r="AU32">
        <v>1</v>
      </c>
      <c r="AV32">
        <v>1</v>
      </c>
      <c r="AW32">
        <v>2</v>
      </c>
      <c r="BA32">
        <v>1</v>
      </c>
    </row>
    <row r="33" spans="1:58" x14ac:dyDescent="0.35">
      <c r="A33" t="s">
        <v>80</v>
      </c>
      <c r="F33">
        <v>1</v>
      </c>
    </row>
    <row r="34" spans="1:58" hidden="1" x14ac:dyDescent="0.35">
      <c r="A34" t="s">
        <v>61</v>
      </c>
      <c r="D34">
        <v>1</v>
      </c>
    </row>
    <row r="35" spans="1:58" x14ac:dyDescent="0.35">
      <c r="A35" t="s">
        <v>374</v>
      </c>
      <c r="AW35">
        <v>2</v>
      </c>
    </row>
    <row r="36" spans="1:58" x14ac:dyDescent="0.35">
      <c r="A36" t="s">
        <v>19</v>
      </c>
      <c r="B36">
        <v>2</v>
      </c>
      <c r="C36">
        <v>1</v>
      </c>
      <c r="D36">
        <v>1</v>
      </c>
      <c r="F36">
        <v>4</v>
      </c>
      <c r="G36">
        <v>3</v>
      </c>
      <c r="H36">
        <v>1</v>
      </c>
      <c r="I36">
        <v>1</v>
      </c>
      <c r="M36">
        <v>2</v>
      </c>
      <c r="N36">
        <v>3</v>
      </c>
      <c r="T36">
        <v>1</v>
      </c>
      <c r="X36">
        <v>1</v>
      </c>
      <c r="AA36">
        <v>2</v>
      </c>
      <c r="AB36">
        <v>2</v>
      </c>
      <c r="AC36">
        <v>1</v>
      </c>
      <c r="AD36">
        <v>2</v>
      </c>
      <c r="AE36">
        <v>1</v>
      </c>
      <c r="AG36">
        <v>1</v>
      </c>
      <c r="AH36">
        <v>2</v>
      </c>
      <c r="AJ36">
        <v>1</v>
      </c>
      <c r="AM36">
        <v>4</v>
      </c>
      <c r="AN36">
        <v>1</v>
      </c>
      <c r="AP36">
        <v>1</v>
      </c>
      <c r="AR36">
        <v>1</v>
      </c>
      <c r="AS36">
        <v>1</v>
      </c>
      <c r="AT36">
        <v>1</v>
      </c>
      <c r="AV36">
        <v>1</v>
      </c>
      <c r="AZ36">
        <v>2</v>
      </c>
      <c r="BA36">
        <v>1</v>
      </c>
      <c r="BC36">
        <v>3</v>
      </c>
      <c r="BD36">
        <v>1</v>
      </c>
    </row>
    <row r="37" spans="1:58" x14ac:dyDescent="0.35">
      <c r="A37" t="s">
        <v>43</v>
      </c>
      <c r="AQ37">
        <v>2</v>
      </c>
    </row>
    <row r="38" spans="1:58" x14ac:dyDescent="0.35">
      <c r="A38" t="s">
        <v>68</v>
      </c>
      <c r="E38">
        <v>1</v>
      </c>
      <c r="I38">
        <v>1</v>
      </c>
      <c r="N38">
        <v>1</v>
      </c>
      <c r="W38">
        <v>2</v>
      </c>
      <c r="AQ38">
        <v>1</v>
      </c>
    </row>
    <row r="39" spans="1:58" hidden="1" x14ac:dyDescent="0.35">
      <c r="A39" t="s">
        <v>53</v>
      </c>
      <c r="N39">
        <v>1</v>
      </c>
    </row>
    <row r="40" spans="1:58" x14ac:dyDescent="0.35">
      <c r="A40" t="s">
        <v>368</v>
      </c>
      <c r="AM40">
        <v>5</v>
      </c>
      <c r="BB40">
        <v>9</v>
      </c>
    </row>
    <row r="41" spans="1:58" x14ac:dyDescent="0.35">
      <c r="A41" t="s">
        <v>345</v>
      </c>
      <c r="U41">
        <v>1</v>
      </c>
    </row>
    <row r="42" spans="1:58" x14ac:dyDescent="0.35">
      <c r="A42" t="s">
        <v>343</v>
      </c>
      <c r="AN42">
        <v>1</v>
      </c>
    </row>
    <row r="43" spans="1:58" x14ac:dyDescent="0.35">
      <c r="A43" t="s">
        <v>344</v>
      </c>
      <c r="X43">
        <v>1</v>
      </c>
      <c r="Y43">
        <v>2</v>
      </c>
      <c r="AF43">
        <v>2</v>
      </c>
    </row>
    <row r="44" spans="1:58" x14ac:dyDescent="0.35">
      <c r="A44" t="s">
        <v>10</v>
      </c>
      <c r="B44">
        <v>2</v>
      </c>
      <c r="C44">
        <v>3</v>
      </c>
      <c r="F44">
        <v>2</v>
      </c>
      <c r="I44">
        <v>2</v>
      </c>
      <c r="J44">
        <v>2</v>
      </c>
      <c r="K44">
        <v>1</v>
      </c>
      <c r="L44">
        <v>1</v>
      </c>
      <c r="M44">
        <v>1</v>
      </c>
      <c r="O44">
        <v>2</v>
      </c>
      <c r="R44">
        <v>3</v>
      </c>
      <c r="S44">
        <v>1</v>
      </c>
      <c r="T44">
        <v>1</v>
      </c>
      <c r="V44">
        <v>1</v>
      </c>
      <c r="W44">
        <v>3</v>
      </c>
      <c r="X44">
        <v>1</v>
      </c>
      <c r="Y44">
        <v>1</v>
      </c>
      <c r="Z44">
        <v>1.5</v>
      </c>
      <c r="AC44">
        <v>1</v>
      </c>
      <c r="AD44">
        <v>2</v>
      </c>
      <c r="AE44">
        <v>1</v>
      </c>
      <c r="AF44">
        <v>2</v>
      </c>
      <c r="AH44">
        <v>2</v>
      </c>
      <c r="AL44">
        <v>3</v>
      </c>
      <c r="AP44">
        <v>2</v>
      </c>
      <c r="AQ44">
        <v>4</v>
      </c>
      <c r="AR44">
        <v>3</v>
      </c>
      <c r="AS44">
        <v>0.5</v>
      </c>
      <c r="AU44">
        <v>2</v>
      </c>
      <c r="AV44">
        <v>1</v>
      </c>
      <c r="BC44">
        <v>1</v>
      </c>
      <c r="BD44">
        <v>1</v>
      </c>
      <c r="BE44">
        <v>7</v>
      </c>
    </row>
    <row r="45" spans="1:58" x14ac:dyDescent="0.35">
      <c r="A45" t="s">
        <v>46</v>
      </c>
      <c r="B45">
        <v>1</v>
      </c>
      <c r="O45">
        <v>3</v>
      </c>
      <c r="P45">
        <v>1</v>
      </c>
      <c r="Q45">
        <v>2</v>
      </c>
      <c r="AM45">
        <v>1</v>
      </c>
      <c r="AN45">
        <v>1</v>
      </c>
      <c r="AP45">
        <v>1</v>
      </c>
      <c r="AS45">
        <v>1</v>
      </c>
      <c r="AV45">
        <v>1</v>
      </c>
      <c r="AX45">
        <v>5</v>
      </c>
      <c r="AY45">
        <v>1</v>
      </c>
      <c r="BA45">
        <v>2</v>
      </c>
      <c r="BB45">
        <v>4</v>
      </c>
      <c r="BE45">
        <v>3</v>
      </c>
      <c r="BF45">
        <v>2</v>
      </c>
    </row>
    <row r="46" spans="1:58" x14ac:dyDescent="0.35">
      <c r="A46" t="s">
        <v>377</v>
      </c>
    </row>
    <row r="47" spans="1:58" x14ac:dyDescent="0.35">
      <c r="A47" t="s">
        <v>3</v>
      </c>
      <c r="F47">
        <v>3</v>
      </c>
      <c r="L47">
        <v>1</v>
      </c>
      <c r="S47">
        <v>3</v>
      </c>
      <c r="AH47">
        <v>1</v>
      </c>
    </row>
    <row r="48" spans="1:58" hidden="1" x14ac:dyDescent="0.35">
      <c r="A48" t="s">
        <v>350</v>
      </c>
    </row>
    <row r="49" spans="1:58" x14ac:dyDescent="0.35">
      <c r="A49" t="s">
        <v>56</v>
      </c>
      <c r="C49">
        <v>3</v>
      </c>
      <c r="E49">
        <v>2</v>
      </c>
      <c r="F49">
        <v>1</v>
      </c>
      <c r="G49">
        <v>2</v>
      </c>
      <c r="I49">
        <v>1</v>
      </c>
      <c r="J49">
        <v>1</v>
      </c>
      <c r="K49">
        <v>1</v>
      </c>
      <c r="L49">
        <v>1</v>
      </c>
      <c r="M49">
        <v>1</v>
      </c>
      <c r="P49">
        <v>1</v>
      </c>
      <c r="R49">
        <v>1</v>
      </c>
      <c r="S49">
        <v>4</v>
      </c>
      <c r="T49">
        <v>1</v>
      </c>
      <c r="V49">
        <v>1</v>
      </c>
      <c r="W49">
        <v>2</v>
      </c>
      <c r="Z49">
        <v>2</v>
      </c>
      <c r="AA49">
        <v>1</v>
      </c>
      <c r="AB49">
        <v>4</v>
      </c>
      <c r="AC49">
        <v>1</v>
      </c>
      <c r="AD49">
        <v>1</v>
      </c>
      <c r="AX49">
        <v>1</v>
      </c>
      <c r="AY49">
        <v>1</v>
      </c>
      <c r="AZ49">
        <v>2</v>
      </c>
      <c r="BD49">
        <v>1</v>
      </c>
      <c r="BF49">
        <v>1</v>
      </c>
    </row>
    <row r="50" spans="1:58" x14ac:dyDescent="0.35">
      <c r="A50" t="s">
        <v>369</v>
      </c>
      <c r="AN50">
        <v>3</v>
      </c>
    </row>
    <row r="51" spans="1:58" x14ac:dyDescent="0.35">
      <c r="A51" t="s">
        <v>60</v>
      </c>
      <c r="B51">
        <v>2</v>
      </c>
      <c r="BF51">
        <v>1</v>
      </c>
    </row>
    <row r="52" spans="1:58" x14ac:dyDescent="0.35">
      <c r="A52" t="s">
        <v>340</v>
      </c>
      <c r="Q52">
        <v>1</v>
      </c>
      <c r="U52">
        <v>1</v>
      </c>
      <c r="W52">
        <v>1</v>
      </c>
      <c r="X52">
        <v>3</v>
      </c>
      <c r="Y52">
        <v>1</v>
      </c>
      <c r="Z52">
        <v>1</v>
      </c>
    </row>
    <row r="53" spans="1:58" x14ac:dyDescent="0.35">
      <c r="A53" t="s">
        <v>339</v>
      </c>
    </row>
    <row r="54" spans="1:58" x14ac:dyDescent="0.35">
      <c r="A54" t="s">
        <v>11</v>
      </c>
    </row>
    <row r="55" spans="1:58" x14ac:dyDescent="0.35">
      <c r="A55" t="s">
        <v>55</v>
      </c>
      <c r="B55">
        <v>2</v>
      </c>
      <c r="C55">
        <v>1</v>
      </c>
      <c r="D55">
        <v>1</v>
      </c>
      <c r="E55">
        <v>1</v>
      </c>
      <c r="F55">
        <v>3</v>
      </c>
      <c r="G55">
        <v>2</v>
      </c>
      <c r="H55">
        <v>3</v>
      </c>
      <c r="J55">
        <v>1</v>
      </c>
      <c r="K55">
        <v>1</v>
      </c>
      <c r="M55">
        <v>3</v>
      </c>
      <c r="N55">
        <v>4</v>
      </c>
      <c r="X55">
        <v>6</v>
      </c>
      <c r="Y55">
        <v>5</v>
      </c>
      <c r="Z55">
        <v>1</v>
      </c>
      <c r="AD55">
        <v>2</v>
      </c>
      <c r="AG55">
        <v>3</v>
      </c>
      <c r="AJ55">
        <v>2</v>
      </c>
      <c r="AM55">
        <v>2</v>
      </c>
      <c r="AO55">
        <v>3</v>
      </c>
      <c r="AQ55">
        <v>2</v>
      </c>
      <c r="AT55">
        <v>1</v>
      </c>
      <c r="AU55">
        <v>4</v>
      </c>
      <c r="AV55">
        <v>2</v>
      </c>
      <c r="AX55">
        <v>1</v>
      </c>
      <c r="AY55">
        <v>2</v>
      </c>
      <c r="AZ55">
        <v>1</v>
      </c>
      <c r="BA55">
        <v>4</v>
      </c>
      <c r="BB55">
        <v>2</v>
      </c>
    </row>
    <row r="56" spans="1:58" x14ac:dyDescent="0.35">
      <c r="A56" t="s">
        <v>21</v>
      </c>
    </row>
    <row r="57" spans="1:58" x14ac:dyDescent="0.35">
      <c r="A57" t="s">
        <v>81</v>
      </c>
      <c r="G57">
        <v>3</v>
      </c>
      <c r="K57">
        <v>1</v>
      </c>
    </row>
    <row r="58" spans="1:58" x14ac:dyDescent="0.35">
      <c r="A58" t="s">
        <v>63</v>
      </c>
      <c r="B58">
        <v>2</v>
      </c>
      <c r="D58">
        <v>1</v>
      </c>
      <c r="AF58">
        <v>2</v>
      </c>
      <c r="AQ58">
        <v>3</v>
      </c>
      <c r="BF58">
        <v>1</v>
      </c>
    </row>
    <row r="59" spans="1:58" hidden="1" x14ac:dyDescent="0.35">
      <c r="A59" t="s">
        <v>83</v>
      </c>
    </row>
    <row r="60" spans="1:58" x14ac:dyDescent="0.35">
      <c r="A60" t="s">
        <v>22</v>
      </c>
      <c r="Y60">
        <v>1</v>
      </c>
      <c r="AB60">
        <v>2</v>
      </c>
      <c r="AD60">
        <v>3</v>
      </c>
      <c r="AI60">
        <v>1</v>
      </c>
      <c r="AR60">
        <v>4</v>
      </c>
      <c r="AV60">
        <v>3</v>
      </c>
      <c r="BA60">
        <v>2</v>
      </c>
      <c r="BB60">
        <v>5</v>
      </c>
      <c r="BE60">
        <v>6</v>
      </c>
    </row>
    <row r="61" spans="1:58" x14ac:dyDescent="0.35">
      <c r="A61" t="s">
        <v>376</v>
      </c>
      <c r="AU61">
        <v>1</v>
      </c>
      <c r="AV61">
        <v>1</v>
      </c>
      <c r="AW61">
        <v>3</v>
      </c>
      <c r="AX61">
        <v>1</v>
      </c>
      <c r="AZ61">
        <v>1</v>
      </c>
      <c r="BC61">
        <v>2</v>
      </c>
    </row>
    <row r="62" spans="1:58" x14ac:dyDescent="0.35">
      <c r="A62" t="s">
        <v>44</v>
      </c>
      <c r="N62">
        <v>3</v>
      </c>
      <c r="S62">
        <v>2</v>
      </c>
      <c r="AG62">
        <v>2</v>
      </c>
      <c r="AI62">
        <v>1</v>
      </c>
      <c r="AP62">
        <v>2</v>
      </c>
      <c r="AQ62">
        <v>1</v>
      </c>
      <c r="AR62">
        <v>3</v>
      </c>
      <c r="AW62">
        <v>1</v>
      </c>
      <c r="BA62">
        <v>1</v>
      </c>
      <c r="BE62">
        <v>1</v>
      </c>
    </row>
    <row r="63" spans="1:58" x14ac:dyDescent="0.35">
      <c r="A63" t="s">
        <v>379</v>
      </c>
      <c r="BF63">
        <v>1</v>
      </c>
    </row>
    <row r="64" spans="1:58" x14ac:dyDescent="0.35">
      <c r="A64" t="s">
        <v>8</v>
      </c>
      <c r="B64">
        <v>1</v>
      </c>
      <c r="H64">
        <v>1</v>
      </c>
      <c r="J64">
        <v>2</v>
      </c>
      <c r="Q64">
        <v>2</v>
      </c>
    </row>
    <row r="65" spans="1:58" hidden="1" x14ac:dyDescent="0.35">
      <c r="A65" t="s">
        <v>354</v>
      </c>
    </row>
    <row r="66" spans="1:58" x14ac:dyDescent="0.35">
      <c r="A66" t="s">
        <v>82</v>
      </c>
      <c r="B66">
        <v>2</v>
      </c>
      <c r="C66">
        <v>2</v>
      </c>
      <c r="D66">
        <v>1</v>
      </c>
      <c r="E66">
        <v>2</v>
      </c>
      <c r="F66">
        <v>1</v>
      </c>
      <c r="G66">
        <v>2</v>
      </c>
      <c r="H66">
        <v>2</v>
      </c>
      <c r="I66">
        <v>3</v>
      </c>
      <c r="J66">
        <v>4</v>
      </c>
      <c r="L66">
        <v>4</v>
      </c>
      <c r="M66">
        <v>1</v>
      </c>
      <c r="N66">
        <v>2</v>
      </c>
      <c r="O66">
        <v>1</v>
      </c>
      <c r="P66">
        <v>1</v>
      </c>
      <c r="Q66">
        <v>1</v>
      </c>
      <c r="R66">
        <v>3</v>
      </c>
      <c r="S66">
        <v>3</v>
      </c>
      <c r="U66">
        <v>3</v>
      </c>
      <c r="V66">
        <v>1</v>
      </c>
      <c r="W66">
        <v>3</v>
      </c>
      <c r="AC66">
        <v>1</v>
      </c>
      <c r="AF66">
        <v>1</v>
      </c>
      <c r="AH66">
        <v>2</v>
      </c>
      <c r="AI66">
        <v>3</v>
      </c>
      <c r="AJ66">
        <v>1</v>
      </c>
      <c r="AK66">
        <v>4</v>
      </c>
      <c r="AL66">
        <v>3</v>
      </c>
      <c r="AN66">
        <v>1</v>
      </c>
      <c r="AP66">
        <v>2</v>
      </c>
      <c r="AT66">
        <v>2</v>
      </c>
      <c r="AU66">
        <v>3</v>
      </c>
      <c r="AV66">
        <v>1</v>
      </c>
      <c r="AW66">
        <v>1</v>
      </c>
      <c r="AX66">
        <v>1</v>
      </c>
      <c r="AY66">
        <v>1</v>
      </c>
      <c r="AZ66">
        <v>2</v>
      </c>
      <c r="BC66">
        <v>2</v>
      </c>
      <c r="BD66">
        <v>1</v>
      </c>
      <c r="BF66">
        <v>2</v>
      </c>
    </row>
    <row r="67" spans="1:58" x14ac:dyDescent="0.35">
      <c r="A67" t="s">
        <v>49</v>
      </c>
      <c r="G67">
        <v>2</v>
      </c>
    </row>
    <row r="68" spans="1:58" x14ac:dyDescent="0.35">
      <c r="A68" t="s">
        <v>85</v>
      </c>
      <c r="K68">
        <v>4</v>
      </c>
      <c r="L68">
        <v>2</v>
      </c>
      <c r="M68">
        <v>5</v>
      </c>
    </row>
    <row r="69" spans="1:58" x14ac:dyDescent="0.35">
      <c r="A69" t="s">
        <v>5</v>
      </c>
      <c r="B69">
        <v>1</v>
      </c>
      <c r="C69">
        <v>2</v>
      </c>
      <c r="D69">
        <v>2</v>
      </c>
      <c r="E69">
        <v>3</v>
      </c>
      <c r="F69">
        <v>2</v>
      </c>
      <c r="G69">
        <v>3</v>
      </c>
      <c r="H69">
        <v>1</v>
      </c>
      <c r="M69">
        <v>4</v>
      </c>
      <c r="N69">
        <v>6</v>
      </c>
      <c r="P69">
        <v>2</v>
      </c>
      <c r="Q69">
        <v>1</v>
      </c>
      <c r="R69">
        <v>2</v>
      </c>
      <c r="S69">
        <v>3</v>
      </c>
      <c r="V69">
        <v>2</v>
      </c>
      <c r="W69">
        <v>1</v>
      </c>
      <c r="X69">
        <v>1</v>
      </c>
      <c r="Y69">
        <v>4</v>
      </c>
      <c r="Z69">
        <v>5</v>
      </c>
      <c r="AA69">
        <v>1</v>
      </c>
      <c r="AB69">
        <v>3</v>
      </c>
      <c r="AC69">
        <v>4</v>
      </c>
      <c r="AD69">
        <v>3</v>
      </c>
      <c r="AE69">
        <v>3</v>
      </c>
      <c r="AF69">
        <v>2</v>
      </c>
      <c r="AG69">
        <v>5</v>
      </c>
      <c r="AH69">
        <v>7</v>
      </c>
      <c r="AI69">
        <v>3</v>
      </c>
      <c r="AJ69">
        <v>1</v>
      </c>
      <c r="AK69">
        <v>1</v>
      </c>
      <c r="AL69">
        <v>6</v>
      </c>
      <c r="AR69">
        <v>3</v>
      </c>
      <c r="AS69">
        <v>2</v>
      </c>
      <c r="AV69">
        <v>2</v>
      </c>
      <c r="AW69">
        <v>1</v>
      </c>
      <c r="AX69">
        <v>4</v>
      </c>
      <c r="AY69">
        <v>3</v>
      </c>
      <c r="AZ69">
        <v>4</v>
      </c>
      <c r="BA69">
        <v>5</v>
      </c>
      <c r="BB69">
        <v>6</v>
      </c>
      <c r="BC69">
        <v>2</v>
      </c>
      <c r="BD69">
        <v>2</v>
      </c>
      <c r="BE69">
        <v>7</v>
      </c>
    </row>
    <row r="70" spans="1:58" x14ac:dyDescent="0.35">
      <c r="A70" t="s">
        <v>45</v>
      </c>
      <c r="K70">
        <v>1</v>
      </c>
    </row>
    <row r="71" spans="1:58" x14ac:dyDescent="0.35">
      <c r="A71" t="s">
        <v>367</v>
      </c>
      <c r="B71">
        <v>1</v>
      </c>
      <c r="D71">
        <v>1</v>
      </c>
      <c r="E71">
        <v>3</v>
      </c>
      <c r="O71">
        <v>2</v>
      </c>
      <c r="P71">
        <v>2</v>
      </c>
      <c r="Q71">
        <v>1</v>
      </c>
      <c r="R71">
        <v>1</v>
      </c>
      <c r="AD71">
        <v>1</v>
      </c>
      <c r="AE71">
        <v>1</v>
      </c>
      <c r="AG71">
        <v>1</v>
      </c>
      <c r="AH71">
        <v>2</v>
      </c>
      <c r="AL71">
        <v>3</v>
      </c>
      <c r="AM71">
        <v>2</v>
      </c>
      <c r="AN71">
        <v>1</v>
      </c>
      <c r="AO71">
        <v>1</v>
      </c>
      <c r="AR71">
        <v>1</v>
      </c>
      <c r="AS71">
        <v>1</v>
      </c>
      <c r="AT71">
        <v>1</v>
      </c>
      <c r="AV71">
        <v>1</v>
      </c>
      <c r="AW71">
        <v>2</v>
      </c>
      <c r="BD71">
        <v>1</v>
      </c>
      <c r="BF71">
        <v>1</v>
      </c>
    </row>
    <row r="72" spans="1:58" hidden="1" x14ac:dyDescent="0.35">
      <c r="A72" t="s">
        <v>352</v>
      </c>
      <c r="Z72">
        <v>1</v>
      </c>
    </row>
    <row r="73" spans="1:58" hidden="1" x14ac:dyDescent="0.35">
      <c r="A73" t="s">
        <v>366</v>
      </c>
    </row>
    <row r="74" spans="1:58" x14ac:dyDescent="0.35">
      <c r="A74" t="s">
        <v>17</v>
      </c>
      <c r="F74">
        <v>2</v>
      </c>
      <c r="J74">
        <v>1</v>
      </c>
      <c r="K74">
        <v>1</v>
      </c>
    </row>
    <row r="75" spans="1:58" hidden="1" x14ac:dyDescent="0.35">
      <c r="A75" t="s">
        <v>86</v>
      </c>
      <c r="K75">
        <v>5</v>
      </c>
    </row>
    <row r="76" spans="1:58" x14ac:dyDescent="0.35">
      <c r="A76" t="s">
        <v>16</v>
      </c>
      <c r="C76">
        <v>4</v>
      </c>
      <c r="D76">
        <v>3</v>
      </c>
      <c r="F76">
        <v>2</v>
      </c>
      <c r="G76">
        <v>5</v>
      </c>
      <c r="H76">
        <v>3</v>
      </c>
      <c r="I76">
        <v>2</v>
      </c>
      <c r="J76">
        <v>5</v>
      </c>
      <c r="K76">
        <v>3</v>
      </c>
      <c r="L76">
        <v>2</v>
      </c>
      <c r="M76">
        <v>3</v>
      </c>
      <c r="O76">
        <v>5</v>
      </c>
      <c r="P76">
        <v>5</v>
      </c>
      <c r="Q76">
        <v>3</v>
      </c>
      <c r="R76">
        <v>2</v>
      </c>
      <c r="S76">
        <v>3</v>
      </c>
      <c r="T76">
        <v>1</v>
      </c>
      <c r="U76">
        <v>1</v>
      </c>
      <c r="V76">
        <v>3</v>
      </c>
      <c r="W76">
        <v>3</v>
      </c>
      <c r="X76">
        <v>5</v>
      </c>
      <c r="Y76">
        <v>4</v>
      </c>
      <c r="Z76">
        <v>1</v>
      </c>
      <c r="AA76">
        <v>3</v>
      </c>
      <c r="AC76">
        <v>1</v>
      </c>
      <c r="AE76">
        <v>4</v>
      </c>
      <c r="AF76">
        <v>2</v>
      </c>
      <c r="AG76">
        <v>3</v>
      </c>
      <c r="AH76">
        <v>2</v>
      </c>
      <c r="AI76">
        <v>2</v>
      </c>
      <c r="AJ76">
        <v>7</v>
      </c>
      <c r="AK76">
        <v>3</v>
      </c>
      <c r="AL76">
        <v>5</v>
      </c>
      <c r="AM76">
        <v>1</v>
      </c>
      <c r="AN76">
        <v>4</v>
      </c>
      <c r="AO76">
        <v>3</v>
      </c>
      <c r="AP76">
        <v>6</v>
      </c>
      <c r="AQ76">
        <v>4</v>
      </c>
      <c r="AR76">
        <v>5</v>
      </c>
      <c r="AS76">
        <v>3</v>
      </c>
      <c r="AT76">
        <v>2</v>
      </c>
      <c r="AU76">
        <v>2</v>
      </c>
      <c r="AW76">
        <v>3</v>
      </c>
      <c r="AY76">
        <v>1</v>
      </c>
      <c r="AZ76">
        <v>3</v>
      </c>
      <c r="BB76">
        <v>4</v>
      </c>
      <c r="BC76">
        <v>4</v>
      </c>
      <c r="BD76">
        <v>3</v>
      </c>
      <c r="BF76">
        <v>2</v>
      </c>
    </row>
    <row r="77" spans="1:58" hidden="1" x14ac:dyDescent="0.35">
      <c r="A77" t="s">
        <v>47</v>
      </c>
    </row>
  </sheetData>
  <autoFilter ref="A1:AB77" xr:uid="{130C2564-D265-4C41-A3E0-02A62EDAC91D}">
    <sortState ref="A2:AB77">
      <sortCondition ref="A1:A77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K1" activePane="topRight" state="frozen"/>
      <selection pane="topRight" activeCell="AE17" sqref="AE17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2025-11-29T15:13:10Z</dcterms:modified>
</cp:coreProperties>
</file>