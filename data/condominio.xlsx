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45" documentId="14_{0C1905BB-B4B8-4F5B-9F29-FEFBC7ECF02C}" xr6:coauthVersionLast="36" xr6:coauthVersionMax="36" xr10:uidLastSave="{5A659540-24C7-49CF-A019-BD8AFA929904}"/>
  <bookViews>
    <workbookView xWindow="0" yWindow="0" windowWidth="13800" windowHeight="378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artilharia!$A$1:$AB$89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notas!$A$1:$DB$83</definedName>
  </definedNames>
  <calcPr calcId="191029"/>
</workbook>
</file>

<file path=xl/calcChain.xml><?xml version="1.0" encoding="utf-8"?>
<calcChain xmlns="http://schemas.openxmlformats.org/spreadsheetml/2006/main">
  <c r="CW89" i="1" l="1"/>
  <c r="CX89" i="1"/>
  <c r="CY89" i="1"/>
  <c r="DA89" i="1"/>
  <c r="DB89" i="1"/>
  <c r="CW2" i="1"/>
  <c r="CX2" i="1"/>
  <c r="CW26" i="1" l="1"/>
  <c r="CX26" i="1"/>
  <c r="X92" i="4"/>
  <c r="W92" i="4"/>
  <c r="X90" i="4" l="1"/>
  <c r="X91" i="4" s="1"/>
  <c r="DA87" i="1"/>
  <c r="DA3" i="1"/>
  <c r="DA4" i="1"/>
  <c r="DA5" i="1"/>
  <c r="DA6" i="1"/>
  <c r="DA7" i="1"/>
  <c r="DA8" i="1"/>
  <c r="DA9" i="1"/>
  <c r="DA10" i="1"/>
  <c r="DA12" i="1"/>
  <c r="DA11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7" i="1"/>
  <c r="DA28" i="1"/>
  <c r="DA30" i="1"/>
  <c r="DA29" i="1"/>
  <c r="DA31" i="1"/>
  <c r="DA32" i="1"/>
  <c r="DA26" i="1"/>
  <c r="DA33" i="1"/>
  <c r="DA34" i="1"/>
  <c r="DA35" i="1"/>
  <c r="DA36" i="1"/>
  <c r="DA38" i="1"/>
  <c r="DA37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8" i="1"/>
  <c r="DA57" i="1"/>
  <c r="DA54" i="1"/>
  <c r="DA59" i="1"/>
  <c r="DA55" i="1"/>
  <c r="DA60" i="1"/>
  <c r="DA61" i="1"/>
  <c r="DA56" i="1"/>
  <c r="DA62" i="1"/>
  <c r="DA53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8" i="1"/>
  <c r="DA84" i="1"/>
  <c r="DA85" i="1"/>
  <c r="DA86" i="1"/>
  <c r="DA2" i="1"/>
  <c r="X93" i="4" l="1"/>
  <c r="CW11" i="1" l="1"/>
  <c r="CX11" i="1"/>
  <c r="CW87" i="1" l="1"/>
  <c r="CY87" i="1" s="1"/>
  <c r="CX87" i="1"/>
  <c r="DB87" i="1"/>
  <c r="CW86" i="1" l="1"/>
  <c r="CY86" i="1" s="1"/>
  <c r="CX86" i="1"/>
  <c r="DB86" i="1"/>
  <c r="CW84" i="1"/>
  <c r="CY84" i="1" s="1"/>
  <c r="CX84" i="1"/>
  <c r="DB84" i="1"/>
  <c r="CW85" i="1"/>
  <c r="CY85" i="1" s="1"/>
  <c r="CX85" i="1"/>
  <c r="DB85" i="1"/>
  <c r="CW88" i="1" l="1"/>
  <c r="CY88" i="1" s="1"/>
  <c r="CX88" i="1"/>
  <c r="DB88" i="1"/>
  <c r="W90" i="4" l="1"/>
  <c r="V92" i="4"/>
  <c r="U92" i="4" l="1"/>
  <c r="W19" i="4"/>
  <c r="W91" i="4"/>
  <c r="W93" i="4" l="1"/>
  <c r="CW23" i="1"/>
  <c r="CX23" i="1"/>
  <c r="CW13" i="1"/>
  <c r="CX13" i="1"/>
  <c r="CW18" i="1" l="1"/>
  <c r="CX18" i="1"/>
  <c r="CW17" i="1"/>
  <c r="CX17" i="1"/>
  <c r="CW5" i="1"/>
  <c r="CX5" i="1"/>
  <c r="CW7" i="1"/>
  <c r="CX7" i="1"/>
  <c r="CW6" i="1"/>
  <c r="CX6" i="1"/>
  <c r="CW3" i="1" l="1"/>
  <c r="CX3" i="1"/>
  <c r="U93" i="4" l="1"/>
  <c r="T92" i="4"/>
  <c r="V90" i="4" l="1"/>
  <c r="V81" i="4"/>
  <c r="V91" i="4"/>
  <c r="V93" i="4" l="1"/>
  <c r="CW20" i="1"/>
  <c r="CX20" i="1"/>
  <c r="CW83" i="1" l="1"/>
  <c r="CY83" i="1" s="1"/>
  <c r="CX83" i="1"/>
  <c r="DB83" i="1"/>
  <c r="CY3" i="1"/>
  <c r="DB3" i="1"/>
  <c r="CW4" i="1"/>
  <c r="CY4" i="1" s="1"/>
  <c r="CX4" i="1"/>
  <c r="DB4" i="1"/>
  <c r="CW8" i="1"/>
  <c r="CX8" i="1"/>
  <c r="CY8" i="1"/>
  <c r="DB8" i="1"/>
  <c r="CW9" i="1"/>
  <c r="CY9" i="1" s="1"/>
  <c r="CX9" i="1"/>
  <c r="DB9" i="1"/>
  <c r="CY6" i="1"/>
  <c r="DB6" i="1"/>
  <c r="CY7" i="1"/>
  <c r="DB7" i="1"/>
  <c r="CY5" i="1"/>
  <c r="DB5" i="1"/>
  <c r="CW10" i="1"/>
  <c r="CY10" i="1" s="1"/>
  <c r="CX10" i="1"/>
  <c r="DB10" i="1"/>
  <c r="CW12" i="1"/>
  <c r="CY12" i="1" s="1"/>
  <c r="CX12" i="1"/>
  <c r="DB12" i="1"/>
  <c r="CY11" i="1"/>
  <c r="DB11" i="1"/>
  <c r="CY13" i="1"/>
  <c r="DB13" i="1"/>
  <c r="CW16" i="1"/>
  <c r="CX16" i="1"/>
  <c r="CY16" i="1"/>
  <c r="DB16" i="1"/>
  <c r="CY17" i="1"/>
  <c r="DB17" i="1"/>
  <c r="CY18" i="1"/>
  <c r="DB18" i="1"/>
  <c r="CW21" i="1"/>
  <c r="CY21" i="1" s="1"/>
  <c r="CX21" i="1"/>
  <c r="DB21" i="1"/>
  <c r="CW22" i="1"/>
  <c r="CX22" i="1"/>
  <c r="CY22" i="1"/>
  <c r="DB22" i="1"/>
  <c r="CY20" i="1"/>
  <c r="DB20" i="1"/>
  <c r="CW14" i="1"/>
  <c r="CY14" i="1" s="1"/>
  <c r="CX14" i="1"/>
  <c r="DB14" i="1"/>
  <c r="CW15" i="1"/>
  <c r="CY15" i="1" s="1"/>
  <c r="CX15" i="1"/>
  <c r="DB15" i="1"/>
  <c r="CW19" i="1"/>
  <c r="CY19" i="1" s="1"/>
  <c r="CX19" i="1"/>
  <c r="DB19" i="1"/>
  <c r="CW24" i="1"/>
  <c r="CY24" i="1" s="1"/>
  <c r="CX24" i="1"/>
  <c r="DB24" i="1"/>
  <c r="CY23" i="1"/>
  <c r="DB23" i="1"/>
  <c r="CW25" i="1"/>
  <c r="CY25" i="1" s="1"/>
  <c r="CX25" i="1"/>
  <c r="DB25" i="1"/>
  <c r="CW27" i="1"/>
  <c r="CY27" i="1" s="1"/>
  <c r="CX27" i="1"/>
  <c r="DB27" i="1"/>
  <c r="CW28" i="1"/>
  <c r="CY28" i="1" s="1"/>
  <c r="CX28" i="1"/>
  <c r="DB28" i="1"/>
  <c r="CW30" i="1"/>
  <c r="CY30" i="1" s="1"/>
  <c r="CX30" i="1"/>
  <c r="DB30" i="1"/>
  <c r="CW29" i="1"/>
  <c r="CY29" i="1" s="1"/>
  <c r="CX29" i="1"/>
  <c r="DB29" i="1"/>
  <c r="CW31" i="1"/>
  <c r="CY31" i="1" s="1"/>
  <c r="CX31" i="1"/>
  <c r="DB31" i="1"/>
  <c r="CW32" i="1"/>
  <c r="CY32" i="1" s="1"/>
  <c r="CX32" i="1"/>
  <c r="DB32" i="1"/>
  <c r="CW33" i="1"/>
  <c r="CY33" i="1" s="1"/>
  <c r="CX33" i="1"/>
  <c r="DB33" i="1"/>
  <c r="CW34" i="1"/>
  <c r="CY34" i="1" s="1"/>
  <c r="CX34" i="1"/>
  <c r="DB34" i="1"/>
  <c r="CW35" i="1"/>
  <c r="CY35" i="1" s="1"/>
  <c r="CX35" i="1"/>
  <c r="DB35" i="1"/>
  <c r="CW36" i="1"/>
  <c r="CY36" i="1" s="1"/>
  <c r="CX36" i="1"/>
  <c r="DB36" i="1"/>
  <c r="CW38" i="1"/>
  <c r="CY38" i="1" s="1"/>
  <c r="CX38" i="1"/>
  <c r="DB38" i="1"/>
  <c r="CW37" i="1"/>
  <c r="CY37" i="1" s="1"/>
  <c r="CX37" i="1"/>
  <c r="DB37" i="1"/>
  <c r="CY26" i="1"/>
  <c r="DB26" i="1"/>
  <c r="CW39" i="1"/>
  <c r="CY39" i="1" s="1"/>
  <c r="CX39" i="1"/>
  <c r="DB39" i="1"/>
  <c r="CW40" i="1"/>
  <c r="CY40" i="1" s="1"/>
  <c r="CX40" i="1"/>
  <c r="DB40" i="1"/>
  <c r="CW42" i="1"/>
  <c r="CY42" i="1" s="1"/>
  <c r="CX42" i="1"/>
  <c r="DB42" i="1"/>
  <c r="CW43" i="1"/>
  <c r="CY43" i="1" s="1"/>
  <c r="CX43" i="1"/>
  <c r="DB43" i="1"/>
  <c r="CW44" i="1"/>
  <c r="CY44" i="1" s="1"/>
  <c r="CX44" i="1"/>
  <c r="DB44" i="1"/>
  <c r="CW45" i="1"/>
  <c r="CY45" i="1" s="1"/>
  <c r="CX45" i="1"/>
  <c r="DB45" i="1"/>
  <c r="CW46" i="1"/>
  <c r="CY46" i="1" s="1"/>
  <c r="CX46" i="1"/>
  <c r="DB46" i="1"/>
  <c r="CW47" i="1"/>
  <c r="CY47" i="1" s="1"/>
  <c r="CX47" i="1"/>
  <c r="DB47" i="1"/>
  <c r="CW41" i="1"/>
  <c r="CY41" i="1" s="1"/>
  <c r="CX41" i="1"/>
  <c r="DB41" i="1"/>
  <c r="CW48" i="1"/>
  <c r="CY48" i="1" s="1"/>
  <c r="CX48" i="1"/>
  <c r="DB48" i="1"/>
  <c r="CW49" i="1"/>
  <c r="CY49" i="1" s="1"/>
  <c r="CX49" i="1"/>
  <c r="DB49" i="1"/>
  <c r="CW50" i="1"/>
  <c r="CX50" i="1"/>
  <c r="CY50" i="1"/>
  <c r="DB50" i="1"/>
  <c r="CW58" i="1"/>
  <c r="CY58" i="1" s="1"/>
  <c r="CX58" i="1"/>
  <c r="DB58" i="1"/>
  <c r="CW57" i="1"/>
  <c r="CY57" i="1" s="1"/>
  <c r="CX57" i="1"/>
  <c r="DB57" i="1"/>
  <c r="CW54" i="1"/>
  <c r="CY54" i="1" s="1"/>
  <c r="CX54" i="1"/>
  <c r="DB54" i="1"/>
  <c r="CW59" i="1"/>
  <c r="CY59" i="1" s="1"/>
  <c r="CX59" i="1"/>
  <c r="DB59" i="1"/>
  <c r="CW55" i="1"/>
  <c r="CY55" i="1" s="1"/>
  <c r="CX55" i="1"/>
  <c r="DB55" i="1"/>
  <c r="CW60" i="1"/>
  <c r="CY60" i="1" s="1"/>
  <c r="CX60" i="1"/>
  <c r="DB60" i="1"/>
  <c r="CW51" i="1"/>
  <c r="CY51" i="1" s="1"/>
  <c r="CX51" i="1"/>
  <c r="DB51" i="1"/>
  <c r="CW52" i="1"/>
  <c r="CY52" i="1" s="1"/>
  <c r="CX52" i="1"/>
  <c r="DB52" i="1"/>
  <c r="CW61" i="1"/>
  <c r="CY61" i="1" s="1"/>
  <c r="CX61" i="1"/>
  <c r="DB61" i="1"/>
  <c r="CW56" i="1"/>
  <c r="CY56" i="1" s="1"/>
  <c r="CX56" i="1"/>
  <c r="DB56" i="1"/>
  <c r="CW64" i="1"/>
  <c r="CY64" i="1" s="1"/>
  <c r="CX64" i="1"/>
  <c r="DB64" i="1"/>
  <c r="CW65" i="1"/>
  <c r="CX65" i="1"/>
  <c r="CY65" i="1"/>
  <c r="DB65" i="1"/>
  <c r="CW66" i="1"/>
  <c r="CY66" i="1" s="1"/>
  <c r="CX66" i="1"/>
  <c r="DB66" i="1"/>
  <c r="CW67" i="1"/>
  <c r="CY67" i="1" s="1"/>
  <c r="CX67" i="1"/>
  <c r="DB67" i="1"/>
  <c r="CW68" i="1"/>
  <c r="CY68" i="1" s="1"/>
  <c r="CX68" i="1"/>
  <c r="DB68" i="1"/>
  <c r="CW62" i="1"/>
  <c r="CY62" i="1" s="1"/>
  <c r="CX62" i="1"/>
  <c r="DB62" i="1"/>
  <c r="CW69" i="1"/>
  <c r="CY69" i="1" s="1"/>
  <c r="CX69" i="1"/>
  <c r="DB69" i="1"/>
  <c r="CW53" i="1"/>
  <c r="CY53" i="1" s="1"/>
  <c r="CX53" i="1"/>
  <c r="DB53" i="1"/>
  <c r="CW70" i="1"/>
  <c r="CY70" i="1" s="1"/>
  <c r="CX70" i="1"/>
  <c r="DB70" i="1"/>
  <c r="CW71" i="1"/>
  <c r="CY71" i="1" s="1"/>
  <c r="CX71" i="1"/>
  <c r="DB71" i="1"/>
  <c r="CW72" i="1"/>
  <c r="CY72" i="1" s="1"/>
  <c r="CX72" i="1"/>
  <c r="DB72" i="1"/>
  <c r="CW73" i="1"/>
  <c r="CY73" i="1" s="1"/>
  <c r="CX73" i="1"/>
  <c r="DB73" i="1"/>
  <c r="CW74" i="1"/>
  <c r="CY74" i="1" s="1"/>
  <c r="CX74" i="1"/>
  <c r="DB74" i="1"/>
  <c r="CW75" i="1"/>
  <c r="CY75" i="1" s="1"/>
  <c r="CX75" i="1"/>
  <c r="DB75" i="1"/>
  <c r="CW76" i="1"/>
  <c r="CY76" i="1" s="1"/>
  <c r="CX76" i="1"/>
  <c r="DB76" i="1"/>
  <c r="CW77" i="1"/>
  <c r="CY77" i="1" s="1"/>
  <c r="CX77" i="1"/>
  <c r="DB77" i="1"/>
  <c r="CW78" i="1"/>
  <c r="CY78" i="1" s="1"/>
  <c r="CX78" i="1"/>
  <c r="DB78" i="1"/>
  <c r="CW79" i="1"/>
  <c r="CY79" i="1" s="1"/>
  <c r="CX79" i="1"/>
  <c r="DB79" i="1"/>
  <c r="CW80" i="1"/>
  <c r="CY80" i="1" s="1"/>
  <c r="CX80" i="1"/>
  <c r="DB80" i="1"/>
  <c r="CW81" i="1"/>
  <c r="CY81" i="1" s="1"/>
  <c r="CX81" i="1"/>
  <c r="DB81" i="1"/>
  <c r="CW63" i="1"/>
  <c r="CY63" i="1" s="1"/>
  <c r="CX63" i="1"/>
  <c r="DB63" i="1"/>
  <c r="CW82" i="1"/>
  <c r="CY82" i="1" s="1"/>
  <c r="CX82" i="1"/>
  <c r="DB82" i="1"/>
  <c r="S92" i="4" l="1"/>
  <c r="U90" i="4" l="1"/>
  <c r="T90" i="4"/>
  <c r="S90" i="4"/>
  <c r="Q90" i="4"/>
  <c r="N90" i="4"/>
  <c r="M90" i="4"/>
  <c r="L90" i="4"/>
  <c r="J90" i="4"/>
  <c r="I90" i="4"/>
  <c r="H90" i="4"/>
  <c r="G90" i="4"/>
  <c r="E90" i="4"/>
  <c r="D90" i="4"/>
  <c r="C90" i="4"/>
  <c r="U91" i="4"/>
  <c r="DB2" i="1"/>
  <c r="T91" i="4" l="1"/>
  <c r="R92" i="4"/>
  <c r="N92" i="4"/>
  <c r="K92" i="4"/>
  <c r="T93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92" i="4"/>
  <c r="U6" i="6" l="1"/>
  <c r="W5" i="6"/>
  <c r="Q7" i="6"/>
  <c r="S6" i="6"/>
  <c r="S91" i="4"/>
  <c r="S93" i="4" s="1"/>
  <c r="W6" i="6" l="1"/>
  <c r="U7" i="6"/>
  <c r="S7" i="6"/>
  <c r="Q8" i="6"/>
  <c r="P92" i="4"/>
  <c r="W7" i="6" l="1"/>
  <c r="U8" i="6"/>
  <c r="S8" i="6"/>
  <c r="Q9" i="6"/>
  <c r="R32" i="4"/>
  <c r="R72" i="4"/>
  <c r="R26" i="4"/>
  <c r="R53" i="4"/>
  <c r="R17" i="4"/>
  <c r="R91" i="4" l="1"/>
  <c r="R90" i="4"/>
  <c r="U9" i="6"/>
  <c r="W8" i="6"/>
  <c r="Q10" i="6"/>
  <c r="S9" i="6"/>
  <c r="R93" i="4"/>
  <c r="U10" i="6" l="1"/>
  <c r="W9" i="6"/>
  <c r="Q11" i="6"/>
  <c r="S10" i="6"/>
  <c r="U11" i="6" l="1"/>
  <c r="W10" i="6"/>
  <c r="Q12" i="6"/>
  <c r="S11" i="6"/>
  <c r="CY2" i="1"/>
  <c r="W11" i="6" l="1"/>
  <c r="U12" i="6"/>
  <c r="Q13" i="6"/>
  <c r="S12" i="6"/>
  <c r="U13" i="6" l="1"/>
  <c r="W12" i="6"/>
  <c r="S13" i="6"/>
  <c r="Q14" i="6"/>
  <c r="Q91" i="4"/>
  <c r="Q93" i="4" s="1"/>
  <c r="W13" i="6" l="1"/>
  <c r="U14" i="6"/>
  <c r="Q15" i="6"/>
  <c r="S14" i="6"/>
  <c r="O92" i="4"/>
  <c r="W14" i="6" l="1"/>
  <c r="U15" i="6"/>
  <c r="S15" i="6"/>
  <c r="Q16" i="6"/>
  <c r="P43" i="4"/>
  <c r="P91" i="4" l="1"/>
  <c r="P93" i="4" s="1"/>
  <c r="P90" i="4"/>
  <c r="W15" i="6"/>
  <c r="U16" i="6"/>
  <c r="Q17" i="6"/>
  <c r="S16" i="6"/>
  <c r="W16" i="6" l="1"/>
  <c r="U17" i="6"/>
  <c r="Q18" i="6"/>
  <c r="S17" i="6"/>
  <c r="O30" i="4"/>
  <c r="O59" i="4"/>
  <c r="O91" i="4"/>
  <c r="AB6" i="4"/>
  <c r="O90" i="4" l="1"/>
  <c r="U18" i="6"/>
  <c r="W17" i="6"/>
  <c r="Q19" i="6"/>
  <c r="S18" i="6"/>
  <c r="O93" i="4"/>
  <c r="U19" i="6" l="1"/>
  <c r="W18" i="6"/>
  <c r="Q20" i="6"/>
  <c r="S19" i="6"/>
  <c r="M92" i="4"/>
  <c r="U20" i="6" l="1"/>
  <c r="W19" i="6"/>
  <c r="Q21" i="6"/>
  <c r="S20" i="6"/>
  <c r="L92" i="4"/>
  <c r="AB7" i="4"/>
  <c r="AB8" i="4" s="1"/>
  <c r="M91" i="4"/>
  <c r="N91" i="4"/>
  <c r="U21" i="6" l="1"/>
  <c r="W20" i="6"/>
  <c r="S21" i="6"/>
  <c r="Q22" i="6"/>
  <c r="N93" i="4"/>
  <c r="U22" i="6" l="1"/>
  <c r="W21" i="6"/>
  <c r="Q23" i="6"/>
  <c r="S22" i="6"/>
  <c r="M93" i="4"/>
  <c r="W22" i="6" l="1"/>
  <c r="U23" i="6"/>
  <c r="S23" i="6"/>
  <c r="Q24" i="6"/>
  <c r="L91" i="4"/>
  <c r="W23" i="6" l="1"/>
  <c r="U24" i="6"/>
  <c r="Q25" i="6"/>
  <c r="S24" i="6"/>
  <c r="L93" i="4"/>
  <c r="W24" i="6" l="1"/>
  <c r="U25" i="6"/>
  <c r="S25" i="6"/>
  <c r="Q26" i="6"/>
  <c r="J92" i="4"/>
  <c r="I92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91" i="4" s="1"/>
  <c r="K2" i="4"/>
  <c r="K90" i="4" s="1"/>
  <c r="U27" i="6" l="1"/>
  <c r="W26" i="6"/>
  <c r="Q28" i="6"/>
  <c r="S27" i="6"/>
  <c r="K93" i="4"/>
  <c r="U28" i="6" l="1"/>
  <c r="W27" i="6"/>
  <c r="Q29" i="6"/>
  <c r="S28" i="6"/>
  <c r="J91" i="4"/>
  <c r="U29" i="6" l="1"/>
  <c r="W28" i="6"/>
  <c r="S29" i="6"/>
  <c r="Q30" i="6"/>
  <c r="J93" i="4"/>
  <c r="U30" i="6" l="1"/>
  <c r="W29" i="6"/>
  <c r="Q31" i="6"/>
  <c r="S30" i="6"/>
  <c r="E92" i="4"/>
  <c r="U31" i="6" l="1"/>
  <c r="W30" i="6"/>
  <c r="S31" i="6"/>
  <c r="Q32" i="6"/>
  <c r="G92" i="4"/>
  <c r="H92" i="4"/>
  <c r="W31" i="6" l="1"/>
  <c r="U32" i="6"/>
  <c r="S32" i="6"/>
  <c r="Q33" i="6"/>
  <c r="I91" i="4"/>
  <c r="I93" i="4" s="1"/>
  <c r="U33" i="6" l="1"/>
  <c r="W32" i="6"/>
  <c r="Q34" i="6"/>
  <c r="S33" i="6"/>
  <c r="D92" i="4"/>
  <c r="C92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92" i="4"/>
  <c r="H91" i="4"/>
  <c r="U37" i="6" l="1"/>
  <c r="W36" i="6"/>
  <c r="S37" i="6"/>
  <c r="Q38" i="6"/>
  <c r="H7" i="6"/>
  <c r="I6" i="6"/>
  <c r="J6" i="6" s="1"/>
  <c r="H93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91" i="4"/>
  <c r="I10" i="6" l="1"/>
  <c r="J10" i="6" s="1"/>
  <c r="H11" i="6"/>
  <c r="G93" i="4"/>
  <c r="B92" i="4"/>
  <c r="E91" i="4"/>
  <c r="D91" i="4"/>
  <c r="C91" i="4"/>
  <c r="F20" i="4"/>
  <c r="F19" i="4"/>
  <c r="F90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90" i="4" l="1"/>
  <c r="E93" i="4"/>
  <c r="F91" i="4"/>
  <c r="F93" i="4" s="1"/>
  <c r="H12" i="6"/>
  <c r="I11" i="6"/>
  <c r="J11" i="6" s="1"/>
  <c r="C93" i="4"/>
  <c r="D93" i="4"/>
  <c r="B91" i="4"/>
  <c r="B93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<sst xmlns="http://schemas.openxmlformats.org/spreadsheetml/2006/main" count="9474" uniqueCount="400">
  <si>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</si>
  <si>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</si>
  <si>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</si>
  <si>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</si>
  <si>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</si>
  <si>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</si>
  <si>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</si>
  <si>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</si>
  <si>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</si>
  <si>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</si>
  <si>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</si>
  <si>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</si>
  <si>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</si>
  <si>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</si>
  <si>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</si>
  <si>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</si>
  <si>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</si>
  <si>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</si>
  <si>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</si>
  <si>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</si>
  <si>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</si>
  <si>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</si>
  <si>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</si>
  <si>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</si>
  <si>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</si>
  <si>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</si>
  <si>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</si>
  <si>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</si>
  <si>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</si>
  <si>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</si>
  <si>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</si>
  <si>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</si>
  <si>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</si>
  <si>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</si>
  <si>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</si>
  <si>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</si>
  <si>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</si>
  <si>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</si>
  <si>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</si>
  <si>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</si>
  <si>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</si>
  <si>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</si>
  <si>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</si>
  <si>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</si>
  <si>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</si>
  <si>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</si>
  <si>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</si>
  <si>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</si>
  <si>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</si>
  <si>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</si>
  <si>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</si>
  <si>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</si>
  <si>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</si>
  <si>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</si>
  <si>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</si>
  <si>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</si>
  <si>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</si>
  <si>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</si>
  <si>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</si>
  <si>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</si>
  <si>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</si>
  <si>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</si>
  <si>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</si>
  <si>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</si>
  <si>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</si>
  <si>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</si>
  <si>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</si>
  <si>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</si>
  <si>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</si>
  <si>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</si>
  <si>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</si>
  <si>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</si>
  <si>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</si>
  <si>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</si>
  <si>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</si>
  <si>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</si>
  <si>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</si>
  <si>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</si>
  <si>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</si>
  <si>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</si>
  <si>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</si>
  <si>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</si>
  <si>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</si>
  <si>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</si>
  <si>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</si>
  <si>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</si>
  <si>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</si>
  <si>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</si>
  <si>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</si>
  <si>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</si>
  <si>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</si>
  <si>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</si>
  <si>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</si>
  <si>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</si>
  <si>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</si>
  <si>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</si>
  <si>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</si>
  <si>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</si>
  <si>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</si>
  <si>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</si>
  <si>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</si>
  <si>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</si>
  <si>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</si>
  <si>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</si>
  <si>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</si>
  <si>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</si>
  <si>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</si>
  <si>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</si>
  <si>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</si>
  <si>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</si>
  <si>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</si>
  <si>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</si>
  <si>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</si>
  <si>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</si>
  <si>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</si>
  <si>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</si>
  <si>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</si>
  <si>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</si>
  <si>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</si>
  <si>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</si>
  <si>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</si>
  <si>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</si>
  <si>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</si>
  <si>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</si>
  <si>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</si>
  <si>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</si>
  <si>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</si>
  <si>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</si>
  <si>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</si>
  <si>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</si>
  <si>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</si>
  <si>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</si>
  <si>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</si>
  <si>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</si>
  <si>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</si>
  <si>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</si>
  <si>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</si>
  <si>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</si>
  <si>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</si>
  <si>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</si>
  <si>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</si>
  <si>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</si>
  <si>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</si>
  <si>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</si>
  <si>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</si>
  <si>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</si>
  <si>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</si>
  <si>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</si>
  <si>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</si>
  <si>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</si>
  <si>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</si>
  <si>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</si>
  <si>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</si>
  <si>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</si>
  <si>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</si>
  <si>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</si>
  <si>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</si>
  <si>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</si>
  <si>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</si>
  <si>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</si>
  <si>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</si>
  <si>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</si>
  <si>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</si>
  <si>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</si>
  <si>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</si>
  <si>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</si>
  <si>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</si>
  <si>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</si>
  <si>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</si>
  <si>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</si>
  <si>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</si>
  <si>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</si>
  <si>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</si>
  <si>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</si>
  <si>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</si>
  <si>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</si>
  <si>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</si>
  <si>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</si>
  <si>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</si>
  <si>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</si>
  <si>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</si>
  <si>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</si>
  <si>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</si>
  <si>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</si>
  <si>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</si>
  <si>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</si>
  <si>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</si>
  <si>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</si>
  <si>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</si>
  <si>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</si>
  <si>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</si>
  <si>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</si>
  <si>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</si>
  <si>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</si>
  <si>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</si>
  <si>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</si>
  <si>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</si>
  <si>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</si>
  <si>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</si>
  <si>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</si>
  <si>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</si>
  <si>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</si>
  <si>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</si>
  <si>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</si>
  <si>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</si>
  <si>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</si>
  <si>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</si>
  <si>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</si>
  <si>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</si>
  <si>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</si>
  <si>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</si>
  <si>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</si>
  <si>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</si>
  <si>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</si>
  <si>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</si>
  <si>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</si>
  <si>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</si>
  <si>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</si>
  <si>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</si>
  <si>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</si>
  <si>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</si>
  <si>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</si>
  <si>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</si>
  <si>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</si>
  <si>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</si>
  <si>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</si>
  <si>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</si>
  <si>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</si>
  <si>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</si>
  <si>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</si>
  <si>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</si>
  <si>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</si>
  <si>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</si>
  <si>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</si>
  <si>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</si>
  <si>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</si>
  <si>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</si>
  <si>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</si>
  <si>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</si>
  <si>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</si>
  <si>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</si>
  <si>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</si>
  <si>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</si>
  <si>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</si>
  <si>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</si>
  <si>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</si>
  <si>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</si>
  <si>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</si>
  <si>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</si>
  <si>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</si>
  <si>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</si>
  <si>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</si>
  <si>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</si>
  <si>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</si>
  <si>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</si>
  <si>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</si>
  <si>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</si>
  <si>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</si>
  <si>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</si>
  <si>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</si>
  <si>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</si>
  <si>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</si>
  <si>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</si>
  <si>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</si>
  <si>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</si>
  <si>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</si>
  <si>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</si>
  <si>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</si>
  <si>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</si>
  <si>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</si>
  <si>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</si>
  <si>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</si>
  <si>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</si>
  <si>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</si>
  <si>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</si>
  <si>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</si>
  <si>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</si>
  <si>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</si>
  <si>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</si>
  <si>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</si>
  <si>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</si>
  <si>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</si>
  <si>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</si>
  <si>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</si>
  <si>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</si>
  <si>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</si>
  <si>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</si>
  <si>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</si>
  <si>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</si>
  <si>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</si>
  <si>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</si>
  <si>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</si>
  <si>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</si>
  <si>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</si>
  <si>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</si>
  <si>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</si>
  <si>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</si>
  <si>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</si>
  <si>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</si>
  <si>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</si>
  <si>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</si>
  <si>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</si>
  <si>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</si>
  <si>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</si>
  <si>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</si>
  <si>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</si>
  <si>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</si>
  <si>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</si>
  <si>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</si>
  <si>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</si>
  <si>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</si>
  <si>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</si>
  <si>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</si>
  <si>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</si>
  <si>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</si>
  <si>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</si>
  <si>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</si>
  <si>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</si>
  <si>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</si>
  <si>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</si>
  <si>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</si>
  <si>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</si>
  <si>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</si>
  <si>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</si>
  <si>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</si>
  <si>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</si>
  <si>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</si>
  <si>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</si>
  <si>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</si>
  <si>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</si>
  <si>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</si>
  <si>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</si>
  <si>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</si>
  <si>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</si>
  <si>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</si>
  <si>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</si>
  <si>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</si>
  <si>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</si>
  <si>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</si>
  <si>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</si>
  <si>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</si>
  <si>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</si>
  <si>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</si>
  <si>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</si>
  <si>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</si>
  <si>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</si>
  <si>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</si>
  <si>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</si>
  <si>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</si>
  <si>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</si>
  <si>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</si>
  <si>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</si>
  <si>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</si>
  <si>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</si>
  <si>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</si>
  <si>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</si>
  <si>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</si>
  <si>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</si>
  <si>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</si>
  <si>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</si>
  <si>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</si>
  <si>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</si>
  <si>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</si>
  <si>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</si>
  <si>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</si>
  <si>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</si>
  <si>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</si>
  <si>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</si>
  <si>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</si>
  <si>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</si>
  <si>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</si>
  <si>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</si>
  <si>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</si>
  <si>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</si>
  <si>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</si>
  <si>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</si>
  <si>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</si>
  <si>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</si>
  <si>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</si>
  <si>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</si>
  <si>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</si>
  <si>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</si>
  <si>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</si>
  <si>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</si>
  <si>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</si>
  <si>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</si>
  <si>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</si>
  <si>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</si>
  <si>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</si>
  <si>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</si>
  <si>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</si>
  <si>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</si>
  <si>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Bernardo Impactus</t>
  </si>
  <si>
    <t>Joshua</t>
  </si>
  <si>
    <t>Caio (Octavio)</t>
  </si>
  <si>
    <t>Leo MJ</t>
  </si>
  <si>
    <t>Caio Brandão</t>
  </si>
  <si>
    <t>abr</t>
  </si>
  <si>
    <t>Bernardo (Impactus)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</si>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</sst>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89"/>
  <sheetViews>
    <sheetView topLeftCell="A13" zoomScale="85" zoomScaleNormal="85" workbookViewId="0">
      <pane xSplit="1" topLeftCell="CL1" activePane="topRight" state="frozen"/>
      <selection pane="topRight" activeCell="CU56" sqref="CU56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100" width="11" customWidth="1"/>
  </cols>
  <sheetData>
    <row r="1" spans="1:106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>
        <v>46141</v>
      </c>
      <c r="CT1" s="1">
        <v>46148</v>
      </c>
      <c r="CU1" s="1">
        <v>46155</v>
      </c>
      <c r="CV1" s="1"/>
      <c r="CW1" t="s">
        <v>57</v>
      </c>
      <c r="CX1" t="s">
        <v>58</v>
      </c>
      <c r="CY1" t="s">
        <v>59</v>
      </c>
      <c r="CZ1" t="s">
        <v>62</v>
      </c>
      <c r="DA1" t="s">
        <v>397</v>
      </c>
      <c r="DB1" t="s">
        <v>384</v>
      </c>
    </row>
    <row r="2" spans="1:106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S2">
        <v>5.5</v>
      </c>
      <c r="CT2">
        <v>5.5</v>
      </c>
      <c r="CU2">
        <v>5.5</v>
      </c>
      <c r="CW2">
        <f>COUNT(B2:CU2)</f>
        <v>92</v>
      </c>
      <c r="CX2" s="18">
        <f>AVERAGE(B2:CU2)</f>
        <v>6.0163043478260869</v>
      </c>
      <c r="CY2">
        <f t="shared" ref="CY2:CY33" si="0">IF(CW2&gt;1,_xlfn.STDEV.S(B2:CF2),"")</f>
        <v>1.2512468149547391</v>
      </c>
      <c r="CZ2">
        <v>1</v>
      </c>
      <c r="DA2">
        <f t="shared" ref="DA2:DA33" si="1">COUNT(CO2:CS2)</f>
        <v>5</v>
      </c>
      <c r="DB2">
        <f t="shared" ref="DB2:DB33" si="2">IF(CZ2=0,DA2,0)</f>
        <v>0</v>
      </c>
    </row>
    <row r="3" spans="1:106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S3">
        <v>5.5</v>
      </c>
      <c r="CW3">
        <f>COUNT(B3:CK3)</f>
        <v>79</v>
      </c>
      <c r="CX3" s="18">
        <f>AVERAGE(B3:CK3)</f>
        <v>5.6518987341772151</v>
      </c>
      <c r="CY3">
        <f t="shared" si="0"/>
        <v>1.0518094984498128</v>
      </c>
      <c r="CZ3">
        <v>1</v>
      </c>
      <c r="DA3">
        <f t="shared" si="1"/>
        <v>5</v>
      </c>
      <c r="DB3">
        <f t="shared" si="2"/>
        <v>0</v>
      </c>
    </row>
    <row r="4" spans="1:106" x14ac:dyDescent="0.35">
      <c r="A4" t="s">
        <v>4</v>
      </c>
      <c r="B4">
        <v>3.5</v>
      </c>
      <c r="C4" t="s">
        <v>26</v>
      </c>
      <c r="D4">
        <v>5.5</v>
      </c>
      <c r="E4">
        <v>5</v>
      </c>
      <c r="F4">
        <v>5.5</v>
      </c>
      <c r="G4" t="s">
        <v>26</v>
      </c>
      <c r="H4">
        <v>7</v>
      </c>
      <c r="I4">
        <v>5</v>
      </c>
      <c r="J4">
        <v>5.5</v>
      </c>
      <c r="K4">
        <v>5</v>
      </c>
      <c r="L4">
        <v>7</v>
      </c>
      <c r="M4">
        <v>5.5</v>
      </c>
      <c r="N4">
        <v>7</v>
      </c>
      <c r="O4">
        <v>5</v>
      </c>
      <c r="P4">
        <v>5</v>
      </c>
      <c r="Q4">
        <v>7</v>
      </c>
      <c r="R4">
        <v>5.5</v>
      </c>
      <c r="S4">
        <v>5.5</v>
      </c>
      <c r="T4">
        <v>7</v>
      </c>
      <c r="U4">
        <v>5.5</v>
      </c>
      <c r="V4">
        <v>5</v>
      </c>
      <c r="W4">
        <v>5</v>
      </c>
      <c r="X4">
        <v>5.5</v>
      </c>
      <c r="Y4">
        <v>5</v>
      </c>
      <c r="Z4" t="s">
        <v>26</v>
      </c>
      <c r="AA4">
        <v>7</v>
      </c>
      <c r="AB4">
        <v>5.5</v>
      </c>
      <c r="AC4">
        <v>5.5</v>
      </c>
      <c r="AD4">
        <v>5.5</v>
      </c>
      <c r="AE4">
        <v>8</v>
      </c>
      <c r="AF4">
        <v>7</v>
      </c>
      <c r="AG4">
        <v>7</v>
      </c>
      <c r="AH4">
        <v>5.5</v>
      </c>
      <c r="AI4">
        <v>7</v>
      </c>
      <c r="AJ4" t="s">
        <v>26</v>
      </c>
      <c r="AK4" t="s">
        <v>26</v>
      </c>
      <c r="AL4">
        <v>2.5</v>
      </c>
      <c r="AM4">
        <v>4</v>
      </c>
      <c r="AN4">
        <v>6.5</v>
      </c>
      <c r="AO4">
        <v>5.5</v>
      </c>
      <c r="AP4">
        <v>5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4</v>
      </c>
      <c r="AW4">
        <v>5</v>
      </c>
      <c r="AX4">
        <v>5</v>
      </c>
      <c r="AY4">
        <v>5.5</v>
      </c>
      <c r="AZ4">
        <v>4</v>
      </c>
      <c r="BA4">
        <v>5.5</v>
      </c>
      <c r="BB4">
        <v>5.5</v>
      </c>
      <c r="BC4">
        <v>7</v>
      </c>
      <c r="BD4" t="s">
        <v>26</v>
      </c>
      <c r="BE4" t="s">
        <v>26</v>
      </c>
      <c r="BF4" t="s">
        <v>26</v>
      </c>
      <c r="BG4" t="s">
        <v>26</v>
      </c>
      <c r="BH4">
        <v>6.5</v>
      </c>
      <c r="BI4">
        <v>6.5</v>
      </c>
      <c r="BJ4">
        <v>6.5</v>
      </c>
      <c r="BK4">
        <v>5.5</v>
      </c>
      <c r="BL4">
        <v>5</v>
      </c>
      <c r="BM4">
        <v>5.5</v>
      </c>
      <c r="BN4">
        <v>7</v>
      </c>
      <c r="BO4">
        <v>5.5</v>
      </c>
      <c r="BP4">
        <v>5.5</v>
      </c>
      <c r="BQ4">
        <v>5.5</v>
      </c>
      <c r="BR4">
        <v>5.5</v>
      </c>
      <c r="BS4">
        <v>5.5</v>
      </c>
      <c r="BT4">
        <v>6.5</v>
      </c>
      <c r="BU4">
        <v>6.5</v>
      </c>
      <c r="BV4">
        <v>5.5</v>
      </c>
      <c r="BW4">
        <v>6.5</v>
      </c>
      <c r="BX4">
        <v>5.5</v>
      </c>
      <c r="BY4">
        <v>5.5</v>
      </c>
      <c r="BZ4">
        <v>5.5</v>
      </c>
      <c r="CA4">
        <v>5.5</v>
      </c>
      <c r="CB4">
        <v>5.5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W4">
        <f>COUNT(B4:CI4)</f>
        <v>72</v>
      </c>
      <c r="CX4" s="18">
        <f>AVERAGE(B4:CI4)</f>
        <v>5.708333333333333</v>
      </c>
      <c r="CY4">
        <f t="shared" si="0"/>
        <v>0.96435844595057774</v>
      </c>
      <c r="CZ4">
        <v>0</v>
      </c>
      <c r="DA4">
        <f t="shared" si="1"/>
        <v>0</v>
      </c>
      <c r="DB4">
        <f t="shared" si="2"/>
        <v>0</v>
      </c>
    </row>
    <row r="5" spans="1:106" x14ac:dyDescent="0.35">
      <c r="A5" t="s">
        <v>5</v>
      </c>
      <c r="B5">
        <v>10</v>
      </c>
      <c r="C5">
        <v>9.5</v>
      </c>
      <c r="D5">
        <v>9.5</v>
      </c>
      <c r="E5">
        <v>8</v>
      </c>
      <c r="F5">
        <v>7</v>
      </c>
      <c r="G5">
        <v>8</v>
      </c>
      <c r="H5">
        <v>7</v>
      </c>
      <c r="I5" t="s">
        <v>26</v>
      </c>
      <c r="J5">
        <v>9.5</v>
      </c>
      <c r="K5">
        <v>8</v>
      </c>
      <c r="L5">
        <v>9.5</v>
      </c>
      <c r="M5">
        <v>7</v>
      </c>
      <c r="N5">
        <v>8</v>
      </c>
      <c r="O5">
        <v>8</v>
      </c>
      <c r="P5">
        <v>7</v>
      </c>
      <c r="Q5">
        <v>7</v>
      </c>
      <c r="R5" t="s">
        <v>26</v>
      </c>
      <c r="S5" t="s">
        <v>26</v>
      </c>
      <c r="T5" t="s">
        <v>26</v>
      </c>
      <c r="U5">
        <v>7</v>
      </c>
      <c r="V5">
        <v>5.5</v>
      </c>
      <c r="W5">
        <v>8</v>
      </c>
      <c r="X5">
        <v>7</v>
      </c>
      <c r="Y5">
        <v>7</v>
      </c>
      <c r="Z5">
        <v>7</v>
      </c>
      <c r="AA5">
        <v>7</v>
      </c>
      <c r="AB5" t="s">
        <v>26</v>
      </c>
      <c r="AC5" t="s">
        <v>26</v>
      </c>
      <c r="AD5" t="s">
        <v>26</v>
      </c>
      <c r="AE5" t="s">
        <v>26</v>
      </c>
      <c r="AF5">
        <v>8</v>
      </c>
      <c r="AG5">
        <v>10</v>
      </c>
      <c r="AH5" t="s">
        <v>26</v>
      </c>
      <c r="AI5">
        <v>8</v>
      </c>
      <c r="AJ5">
        <v>6.5</v>
      </c>
      <c r="AK5">
        <v>8</v>
      </c>
      <c r="AL5">
        <v>7</v>
      </c>
      <c r="AM5" t="s">
        <v>26</v>
      </c>
      <c r="AN5" t="s">
        <v>26</v>
      </c>
      <c r="AO5">
        <v>7</v>
      </c>
      <c r="AP5">
        <v>5.5</v>
      </c>
      <c r="AQ5">
        <v>6.5</v>
      </c>
      <c r="AR5">
        <v>8</v>
      </c>
      <c r="AS5">
        <v>7</v>
      </c>
      <c r="AT5">
        <v>6.5</v>
      </c>
      <c r="AU5">
        <v>8</v>
      </c>
      <c r="AV5">
        <v>7</v>
      </c>
      <c r="AW5">
        <v>7</v>
      </c>
      <c r="AX5">
        <v>7</v>
      </c>
      <c r="AY5">
        <v>6.5</v>
      </c>
      <c r="AZ5">
        <v>8.5</v>
      </c>
      <c r="BA5">
        <v>10</v>
      </c>
      <c r="BB5">
        <v>6.5</v>
      </c>
      <c r="BC5">
        <v>5</v>
      </c>
      <c r="BD5">
        <v>6.5</v>
      </c>
      <c r="BE5">
        <v>8</v>
      </c>
      <c r="BF5">
        <v>6.5</v>
      </c>
      <c r="BG5">
        <v>5.5</v>
      </c>
      <c r="BH5" t="s">
        <v>26</v>
      </c>
      <c r="BI5" t="s">
        <v>26</v>
      </c>
      <c r="BJ5" t="s">
        <v>26</v>
      </c>
      <c r="BK5">
        <v>6.5</v>
      </c>
      <c r="BL5">
        <v>7</v>
      </c>
      <c r="BM5" t="s">
        <v>26</v>
      </c>
      <c r="BN5" t="s">
        <v>26</v>
      </c>
      <c r="BO5">
        <v>6.5</v>
      </c>
      <c r="BP5">
        <v>6.5</v>
      </c>
      <c r="BQ5">
        <v>7</v>
      </c>
      <c r="BR5">
        <v>6.5</v>
      </c>
      <c r="BS5">
        <v>7</v>
      </c>
      <c r="BT5">
        <v>7</v>
      </c>
      <c r="BU5">
        <v>8</v>
      </c>
      <c r="BV5">
        <v>6.5</v>
      </c>
      <c r="BW5">
        <v>6.5</v>
      </c>
      <c r="BX5">
        <v>8</v>
      </c>
      <c r="BY5" t="s">
        <v>26</v>
      </c>
      <c r="BZ5">
        <v>7</v>
      </c>
      <c r="CA5">
        <v>6.5</v>
      </c>
      <c r="CB5">
        <v>7</v>
      </c>
      <c r="CD5">
        <v>5.5</v>
      </c>
      <c r="CE5">
        <v>9</v>
      </c>
      <c r="CF5">
        <v>7</v>
      </c>
      <c r="CG5">
        <v>8</v>
      </c>
      <c r="CH5">
        <v>7.5</v>
      </c>
      <c r="CI5">
        <v>6.5</v>
      </c>
      <c r="CJ5">
        <v>5.5</v>
      </c>
      <c r="CK5">
        <v>6.5</v>
      </c>
      <c r="CL5">
        <v>5.5</v>
      </c>
      <c r="CR5">
        <v>5.5</v>
      </c>
      <c r="CW5">
        <f>COUNT(B5:CL5)</f>
        <v>71</v>
      </c>
      <c r="CX5" s="18">
        <f>AVERAGE(B5:CL5)</f>
        <v>7.267605633802817</v>
      </c>
      <c r="CY5">
        <f t="shared" si="0"/>
        <v>1.1294250579557983</v>
      </c>
      <c r="CZ5">
        <v>0</v>
      </c>
      <c r="DA5">
        <f t="shared" si="1"/>
        <v>1</v>
      </c>
      <c r="DB5">
        <f t="shared" si="2"/>
        <v>1</v>
      </c>
    </row>
    <row r="6" spans="1:106" x14ac:dyDescent="0.35">
      <c r="A6" t="s">
        <v>82</v>
      </c>
      <c r="B6">
        <v>10</v>
      </c>
      <c r="C6" t="s">
        <v>26</v>
      </c>
      <c r="D6">
        <v>8</v>
      </c>
      <c r="E6">
        <v>7</v>
      </c>
      <c r="F6">
        <v>5.5</v>
      </c>
      <c r="G6">
        <v>7</v>
      </c>
      <c r="H6">
        <v>5.5</v>
      </c>
      <c r="I6">
        <v>7</v>
      </c>
      <c r="J6">
        <v>7</v>
      </c>
      <c r="K6">
        <v>7</v>
      </c>
      <c r="L6">
        <v>5.5</v>
      </c>
      <c r="M6">
        <v>5.5</v>
      </c>
      <c r="N6">
        <v>7</v>
      </c>
      <c r="O6">
        <v>7</v>
      </c>
      <c r="P6">
        <v>7</v>
      </c>
      <c r="Q6">
        <v>7</v>
      </c>
      <c r="R6">
        <v>8</v>
      </c>
      <c r="S6">
        <v>7</v>
      </c>
      <c r="T6">
        <v>8</v>
      </c>
      <c r="U6">
        <v>7</v>
      </c>
      <c r="V6">
        <v>7</v>
      </c>
      <c r="W6">
        <v>7</v>
      </c>
      <c r="X6">
        <v>5.5</v>
      </c>
      <c r="Y6">
        <v>5.5</v>
      </c>
      <c r="Z6">
        <v>5.5</v>
      </c>
      <c r="AA6">
        <v>7</v>
      </c>
      <c r="AB6">
        <v>7</v>
      </c>
      <c r="AC6">
        <v>7</v>
      </c>
      <c r="AD6" t="s">
        <v>26</v>
      </c>
      <c r="AE6">
        <v>8.5</v>
      </c>
      <c r="AF6">
        <v>7</v>
      </c>
      <c r="AG6">
        <v>7</v>
      </c>
      <c r="AH6">
        <v>5.5</v>
      </c>
      <c r="AI6">
        <v>8</v>
      </c>
      <c r="AJ6">
        <v>6.5</v>
      </c>
      <c r="AK6">
        <v>8</v>
      </c>
      <c r="AL6">
        <v>6.5</v>
      </c>
      <c r="AM6" t="s">
        <v>26</v>
      </c>
      <c r="AN6">
        <v>8</v>
      </c>
      <c r="AO6">
        <v>6.5</v>
      </c>
      <c r="AP6">
        <v>7</v>
      </c>
      <c r="AQ6" t="s">
        <v>26</v>
      </c>
      <c r="AR6" t="s">
        <v>26</v>
      </c>
      <c r="AS6" t="s">
        <v>26</v>
      </c>
      <c r="AT6" t="s">
        <v>26</v>
      </c>
      <c r="AU6" t="s">
        <v>26</v>
      </c>
      <c r="AV6">
        <v>5.5</v>
      </c>
      <c r="AW6" t="s">
        <v>26</v>
      </c>
      <c r="AX6" t="s">
        <v>26</v>
      </c>
      <c r="AY6">
        <v>7</v>
      </c>
      <c r="AZ6" t="s">
        <v>26</v>
      </c>
      <c r="BA6">
        <v>5.5</v>
      </c>
      <c r="BB6">
        <v>7</v>
      </c>
      <c r="BC6">
        <v>5.5</v>
      </c>
      <c r="BD6">
        <v>8</v>
      </c>
      <c r="BE6">
        <v>7</v>
      </c>
      <c r="BF6">
        <v>5.5</v>
      </c>
      <c r="BG6">
        <v>6.5</v>
      </c>
      <c r="BH6">
        <v>6.5</v>
      </c>
      <c r="BI6">
        <v>5.5</v>
      </c>
      <c r="BJ6" t="s">
        <v>26</v>
      </c>
      <c r="BK6" t="s">
        <v>26</v>
      </c>
      <c r="BL6">
        <v>5.5</v>
      </c>
      <c r="BM6">
        <v>6.5</v>
      </c>
      <c r="BN6">
        <v>8</v>
      </c>
      <c r="BO6">
        <v>7</v>
      </c>
      <c r="BP6">
        <v>5.5</v>
      </c>
      <c r="BQ6">
        <v>5.5</v>
      </c>
      <c r="BR6">
        <v>6.5</v>
      </c>
      <c r="BS6">
        <v>6.5</v>
      </c>
      <c r="BT6" t="s">
        <v>26</v>
      </c>
      <c r="BU6" t="s">
        <v>26</v>
      </c>
      <c r="BV6">
        <v>6.5</v>
      </c>
      <c r="BW6">
        <v>5.5</v>
      </c>
      <c r="BX6" t="s">
        <v>26</v>
      </c>
      <c r="BY6">
        <v>6.5</v>
      </c>
      <c r="BZ6" t="s">
        <v>26</v>
      </c>
      <c r="CA6">
        <v>6.5</v>
      </c>
      <c r="CB6">
        <v>5.5</v>
      </c>
      <c r="CC6">
        <v>6.5</v>
      </c>
      <c r="CD6">
        <v>7.5</v>
      </c>
      <c r="CF6">
        <v>6.5</v>
      </c>
      <c r="CG6">
        <v>6.5</v>
      </c>
      <c r="CH6">
        <v>5.5</v>
      </c>
      <c r="CJ6">
        <v>4.5</v>
      </c>
      <c r="CK6">
        <v>6</v>
      </c>
      <c r="CL6">
        <v>6</v>
      </c>
      <c r="CN6">
        <v>6</v>
      </c>
      <c r="CO6">
        <v>6.5</v>
      </c>
      <c r="CQ6">
        <v>6</v>
      </c>
      <c r="CR6">
        <v>5.5</v>
      </c>
      <c r="CS6">
        <v>5.5</v>
      </c>
      <c r="CT6">
        <v>6.5</v>
      </c>
      <c r="CU6">
        <v>6.5</v>
      </c>
      <c r="CW6">
        <f>COUNT(B6:CL6)</f>
        <v>70</v>
      </c>
      <c r="CX6" s="18">
        <f>AVERAGE(B6:CL6)</f>
        <v>6.6142857142857139</v>
      </c>
      <c r="CY6">
        <f t="shared" si="0"/>
        <v>0.9419445925236869</v>
      </c>
      <c r="CZ6">
        <v>1</v>
      </c>
      <c r="DA6">
        <f t="shared" si="1"/>
        <v>4</v>
      </c>
      <c r="DB6">
        <f t="shared" si="2"/>
        <v>0</v>
      </c>
    </row>
    <row r="7" spans="1:106" x14ac:dyDescent="0.35">
      <c r="A7" t="s">
        <v>9</v>
      </c>
      <c r="B7">
        <v>7</v>
      </c>
      <c r="C7" t="s">
        <v>26</v>
      </c>
      <c r="D7">
        <v>7</v>
      </c>
      <c r="E7">
        <v>5.5</v>
      </c>
      <c r="F7">
        <v>8</v>
      </c>
      <c r="G7">
        <v>7</v>
      </c>
      <c r="H7">
        <v>7</v>
      </c>
      <c r="I7" t="s">
        <v>26</v>
      </c>
      <c r="J7">
        <v>5.5</v>
      </c>
      <c r="K7" t="s">
        <v>26</v>
      </c>
      <c r="L7">
        <v>7</v>
      </c>
      <c r="M7">
        <v>7</v>
      </c>
      <c r="N7">
        <v>8</v>
      </c>
      <c r="O7">
        <v>5.5</v>
      </c>
      <c r="P7">
        <v>5.5</v>
      </c>
      <c r="Q7">
        <v>7</v>
      </c>
      <c r="R7" t="s">
        <v>26</v>
      </c>
      <c r="S7">
        <v>5.5</v>
      </c>
      <c r="T7">
        <v>8</v>
      </c>
      <c r="U7" t="s">
        <v>26</v>
      </c>
      <c r="V7">
        <v>5.5</v>
      </c>
      <c r="W7">
        <v>7</v>
      </c>
      <c r="X7">
        <v>7</v>
      </c>
      <c r="Y7" t="s">
        <v>26</v>
      </c>
      <c r="Z7">
        <v>8</v>
      </c>
      <c r="AA7">
        <v>7</v>
      </c>
      <c r="AB7">
        <v>7</v>
      </c>
      <c r="AC7">
        <v>5.5</v>
      </c>
      <c r="AD7">
        <v>7</v>
      </c>
      <c r="AE7">
        <v>10</v>
      </c>
      <c r="AF7">
        <v>8</v>
      </c>
      <c r="AG7" t="s">
        <v>26</v>
      </c>
      <c r="AH7">
        <v>9.5</v>
      </c>
      <c r="AI7">
        <v>6.5</v>
      </c>
      <c r="AJ7">
        <v>6.5</v>
      </c>
      <c r="AK7">
        <v>6.5</v>
      </c>
      <c r="AL7" t="s">
        <v>26</v>
      </c>
      <c r="AM7">
        <v>8.5</v>
      </c>
      <c r="AN7" t="s">
        <v>26</v>
      </c>
      <c r="AO7" t="s">
        <v>26</v>
      </c>
      <c r="AP7" t="s">
        <v>26</v>
      </c>
      <c r="AQ7">
        <v>5.5</v>
      </c>
      <c r="AR7">
        <v>6.5</v>
      </c>
      <c r="AS7">
        <v>5.5</v>
      </c>
      <c r="AT7">
        <v>6.5</v>
      </c>
      <c r="AU7">
        <v>6.5</v>
      </c>
      <c r="AV7">
        <v>6.5</v>
      </c>
      <c r="AW7" t="s">
        <v>26</v>
      </c>
      <c r="AX7">
        <v>7</v>
      </c>
      <c r="AY7">
        <v>8</v>
      </c>
      <c r="AZ7">
        <v>6.5</v>
      </c>
      <c r="BA7">
        <v>6.5</v>
      </c>
      <c r="BB7">
        <v>5</v>
      </c>
      <c r="BC7">
        <v>4</v>
      </c>
      <c r="BD7">
        <v>5</v>
      </c>
      <c r="BE7">
        <v>6.5</v>
      </c>
      <c r="BF7">
        <v>5.5</v>
      </c>
      <c r="BG7">
        <v>5.5</v>
      </c>
      <c r="BH7">
        <v>5.5</v>
      </c>
      <c r="BI7" t="s">
        <v>26</v>
      </c>
      <c r="BJ7" t="s">
        <v>26</v>
      </c>
      <c r="BK7">
        <v>5.5</v>
      </c>
      <c r="BL7">
        <v>6.5</v>
      </c>
      <c r="BM7">
        <v>5.5</v>
      </c>
      <c r="BN7" t="s">
        <v>26</v>
      </c>
      <c r="BO7" t="s">
        <v>26</v>
      </c>
      <c r="BP7">
        <v>6.5</v>
      </c>
      <c r="BQ7">
        <v>8.5</v>
      </c>
      <c r="BR7">
        <v>7</v>
      </c>
      <c r="BS7">
        <v>6.5</v>
      </c>
      <c r="BT7">
        <v>6.5</v>
      </c>
      <c r="BU7">
        <v>6.5</v>
      </c>
      <c r="BV7" t="s">
        <v>26</v>
      </c>
      <c r="BW7">
        <v>7</v>
      </c>
      <c r="BX7" t="s">
        <v>26</v>
      </c>
      <c r="BY7">
        <v>7</v>
      </c>
      <c r="BZ7">
        <v>7</v>
      </c>
      <c r="CA7">
        <v>6.5</v>
      </c>
      <c r="CB7">
        <v>6.5</v>
      </c>
      <c r="CC7">
        <v>6.5</v>
      </c>
      <c r="CD7">
        <v>6</v>
      </c>
      <c r="CE7">
        <v>6</v>
      </c>
      <c r="CF7">
        <v>7</v>
      </c>
      <c r="CG7">
        <v>6.5</v>
      </c>
      <c r="CI7">
        <v>6</v>
      </c>
      <c r="CJ7">
        <v>6.5</v>
      </c>
      <c r="CK7">
        <v>6.5</v>
      </c>
      <c r="CL7">
        <v>6.5</v>
      </c>
      <c r="CO7">
        <v>7.5</v>
      </c>
      <c r="CP7">
        <v>6.5</v>
      </c>
      <c r="CR7">
        <v>6.5</v>
      </c>
      <c r="CS7">
        <v>6.5</v>
      </c>
      <c r="CU7">
        <v>7.5</v>
      </c>
      <c r="CW7">
        <f>COUNT(B7:CL7)</f>
        <v>70</v>
      </c>
      <c r="CX7" s="18">
        <f>AVERAGE(B7:CL7)</f>
        <v>6.6071428571428568</v>
      </c>
      <c r="CY7">
        <f t="shared" si="0"/>
        <v>1.0570846156365068</v>
      </c>
      <c r="CZ7">
        <v>1</v>
      </c>
      <c r="DA7">
        <f t="shared" si="1"/>
        <v>4</v>
      </c>
      <c r="DB7">
        <f t="shared" si="2"/>
        <v>0</v>
      </c>
    </row>
    <row r="8" spans="1:106" x14ac:dyDescent="0.35">
      <c r="A8" t="s">
        <v>6</v>
      </c>
      <c r="B8">
        <v>8</v>
      </c>
      <c r="C8">
        <v>7</v>
      </c>
      <c r="D8">
        <v>7</v>
      </c>
      <c r="E8">
        <v>8</v>
      </c>
      <c r="F8">
        <v>5.5</v>
      </c>
      <c r="G8">
        <v>5.5</v>
      </c>
      <c r="H8" t="s">
        <v>26</v>
      </c>
      <c r="I8">
        <v>8</v>
      </c>
      <c r="J8" t="s">
        <v>26</v>
      </c>
      <c r="K8">
        <v>8</v>
      </c>
      <c r="L8" t="s">
        <v>26</v>
      </c>
      <c r="M8" t="s">
        <v>26</v>
      </c>
      <c r="N8">
        <v>5.5</v>
      </c>
      <c r="O8">
        <v>7</v>
      </c>
      <c r="P8">
        <v>5.5</v>
      </c>
      <c r="Q8" t="s">
        <v>26</v>
      </c>
      <c r="R8" t="s">
        <v>26</v>
      </c>
      <c r="S8">
        <v>5.5</v>
      </c>
      <c r="T8">
        <v>7</v>
      </c>
      <c r="U8">
        <v>7</v>
      </c>
      <c r="V8" t="s">
        <v>26</v>
      </c>
      <c r="W8">
        <v>5.5</v>
      </c>
      <c r="X8">
        <v>5.5</v>
      </c>
      <c r="Y8" t="s">
        <v>26</v>
      </c>
      <c r="Z8" t="s">
        <v>26</v>
      </c>
      <c r="AA8">
        <v>5.5</v>
      </c>
      <c r="AB8" t="s">
        <v>26</v>
      </c>
      <c r="AC8" t="s">
        <v>26</v>
      </c>
      <c r="AD8" t="s">
        <v>26</v>
      </c>
      <c r="AE8">
        <v>7</v>
      </c>
      <c r="AF8">
        <v>8</v>
      </c>
      <c r="AG8">
        <v>8.5</v>
      </c>
      <c r="AH8">
        <v>6.5</v>
      </c>
      <c r="AI8" t="s">
        <v>26</v>
      </c>
      <c r="AJ8">
        <v>6.5</v>
      </c>
      <c r="AK8">
        <v>5.5</v>
      </c>
      <c r="AL8">
        <v>5</v>
      </c>
      <c r="AM8">
        <v>6.5</v>
      </c>
      <c r="AN8">
        <v>8</v>
      </c>
      <c r="AO8">
        <v>7</v>
      </c>
      <c r="AP8">
        <v>5.5</v>
      </c>
      <c r="AQ8">
        <v>6.5</v>
      </c>
      <c r="AR8">
        <v>6.5</v>
      </c>
      <c r="AS8">
        <v>5.5</v>
      </c>
      <c r="AT8">
        <v>6.5</v>
      </c>
      <c r="AU8">
        <v>5.5</v>
      </c>
      <c r="AV8">
        <v>5.5</v>
      </c>
      <c r="AW8" t="s">
        <v>26</v>
      </c>
      <c r="AX8">
        <v>10</v>
      </c>
      <c r="AY8">
        <v>6.5</v>
      </c>
      <c r="AZ8">
        <v>5.5</v>
      </c>
      <c r="BA8">
        <v>5.5</v>
      </c>
      <c r="BB8">
        <v>5</v>
      </c>
      <c r="BC8">
        <v>8.5</v>
      </c>
      <c r="BD8">
        <v>6.5</v>
      </c>
      <c r="BE8">
        <v>8</v>
      </c>
      <c r="BF8">
        <v>5</v>
      </c>
      <c r="BG8">
        <v>5</v>
      </c>
      <c r="BH8">
        <v>9.5</v>
      </c>
      <c r="BI8">
        <v>8</v>
      </c>
      <c r="BJ8">
        <v>7</v>
      </c>
      <c r="BK8">
        <v>6.5</v>
      </c>
      <c r="BL8">
        <v>5.5</v>
      </c>
      <c r="BM8">
        <v>7</v>
      </c>
      <c r="BN8">
        <v>7</v>
      </c>
      <c r="BO8">
        <v>8</v>
      </c>
      <c r="BP8">
        <v>5.5</v>
      </c>
      <c r="BQ8">
        <v>5</v>
      </c>
      <c r="BR8">
        <v>7</v>
      </c>
      <c r="BS8">
        <v>5.5</v>
      </c>
      <c r="BT8">
        <v>6.5</v>
      </c>
      <c r="BU8">
        <v>5</v>
      </c>
      <c r="BV8">
        <v>6.5</v>
      </c>
      <c r="BW8">
        <v>5.5</v>
      </c>
      <c r="BX8">
        <v>5.5</v>
      </c>
      <c r="BY8">
        <v>5.5</v>
      </c>
      <c r="BZ8">
        <v>5.5</v>
      </c>
      <c r="CA8">
        <v>5.5</v>
      </c>
      <c r="CB8">
        <v>7</v>
      </c>
      <c r="CC8">
        <v>5.5</v>
      </c>
      <c r="CD8">
        <v>5.5</v>
      </c>
      <c r="CE8">
        <v>5</v>
      </c>
      <c r="CW8">
        <f>COUNT(B8:CI8)</f>
        <v>68</v>
      </c>
      <c r="CX8" s="18">
        <f>AVERAGE(B8:CI8)</f>
        <v>6.4191176470588234</v>
      </c>
      <c r="CY8">
        <f t="shared" si="0"/>
        <v>1.1769245721961776</v>
      </c>
      <c r="CZ8">
        <v>0</v>
      </c>
      <c r="DA8">
        <f t="shared" si="1"/>
        <v>0</v>
      </c>
      <c r="DB8">
        <f t="shared" si="2"/>
        <v>0</v>
      </c>
    </row>
    <row r="9" spans="1:106" x14ac:dyDescent="0.35">
      <c r="A9" t="s">
        <v>20</v>
      </c>
      <c r="B9" t="s">
        <v>26</v>
      </c>
      <c r="C9" t="s">
        <v>26</v>
      </c>
      <c r="D9">
        <v>7</v>
      </c>
      <c r="E9">
        <v>7</v>
      </c>
      <c r="F9">
        <v>7</v>
      </c>
      <c r="G9">
        <v>7</v>
      </c>
      <c r="H9">
        <v>8</v>
      </c>
      <c r="I9">
        <v>7</v>
      </c>
      <c r="J9">
        <v>8</v>
      </c>
      <c r="K9">
        <v>7</v>
      </c>
      <c r="L9">
        <v>5.5</v>
      </c>
      <c r="M9">
        <v>5</v>
      </c>
      <c r="N9">
        <v>5</v>
      </c>
      <c r="O9" t="s">
        <v>26</v>
      </c>
      <c r="P9">
        <v>7</v>
      </c>
      <c r="Q9">
        <v>3.5</v>
      </c>
      <c r="R9">
        <v>5.5</v>
      </c>
      <c r="S9">
        <v>7</v>
      </c>
      <c r="T9">
        <v>5.5</v>
      </c>
      <c r="U9">
        <v>7</v>
      </c>
      <c r="V9">
        <v>5.5</v>
      </c>
      <c r="W9">
        <v>5.5</v>
      </c>
      <c r="X9">
        <v>5</v>
      </c>
      <c r="Y9">
        <v>5.5</v>
      </c>
      <c r="Z9">
        <v>5.5</v>
      </c>
      <c r="AA9">
        <v>7</v>
      </c>
      <c r="AB9">
        <v>5</v>
      </c>
      <c r="AC9">
        <v>5.5</v>
      </c>
      <c r="AD9">
        <v>7</v>
      </c>
      <c r="AE9">
        <v>7</v>
      </c>
      <c r="AF9">
        <v>7</v>
      </c>
      <c r="AG9">
        <v>8</v>
      </c>
      <c r="AH9" t="s">
        <v>26</v>
      </c>
      <c r="AI9">
        <v>6.5</v>
      </c>
      <c r="AJ9">
        <v>5.5</v>
      </c>
      <c r="AK9">
        <v>6.5</v>
      </c>
      <c r="AL9">
        <v>5.5</v>
      </c>
      <c r="AM9">
        <v>5.5</v>
      </c>
      <c r="AN9">
        <v>6.5</v>
      </c>
      <c r="AO9" t="s">
        <v>26</v>
      </c>
      <c r="AP9">
        <v>5.5</v>
      </c>
      <c r="AQ9">
        <v>5</v>
      </c>
      <c r="AR9">
        <v>5</v>
      </c>
      <c r="AS9" t="s">
        <v>26</v>
      </c>
      <c r="AT9">
        <v>6.5</v>
      </c>
      <c r="AU9">
        <v>6.5</v>
      </c>
      <c r="AV9">
        <v>5.5</v>
      </c>
      <c r="AW9">
        <v>5</v>
      </c>
      <c r="AX9">
        <v>5</v>
      </c>
      <c r="AY9">
        <v>5.5</v>
      </c>
      <c r="AZ9">
        <v>6.5</v>
      </c>
      <c r="BA9" t="s">
        <v>26</v>
      </c>
      <c r="BB9">
        <v>5</v>
      </c>
      <c r="BC9">
        <v>7</v>
      </c>
      <c r="BD9">
        <v>6.5</v>
      </c>
      <c r="BE9">
        <v>4</v>
      </c>
      <c r="BF9">
        <v>5</v>
      </c>
      <c r="BG9">
        <v>6.5</v>
      </c>
      <c r="BH9">
        <v>5.5</v>
      </c>
      <c r="BI9">
        <v>5.5</v>
      </c>
      <c r="BJ9">
        <v>6.5</v>
      </c>
      <c r="BK9" t="s">
        <v>26</v>
      </c>
      <c r="BL9" t="s">
        <v>26</v>
      </c>
      <c r="BM9">
        <v>4</v>
      </c>
      <c r="BN9">
        <v>6.5</v>
      </c>
      <c r="BO9">
        <v>5</v>
      </c>
      <c r="BP9">
        <v>5.5</v>
      </c>
      <c r="BQ9">
        <v>5.5</v>
      </c>
      <c r="BR9">
        <v>5.5</v>
      </c>
      <c r="BS9" t="s">
        <v>26</v>
      </c>
      <c r="BT9">
        <v>6.5</v>
      </c>
      <c r="BU9" t="s">
        <v>26</v>
      </c>
      <c r="BV9" t="s">
        <v>26</v>
      </c>
      <c r="BW9" t="s">
        <v>26</v>
      </c>
      <c r="BX9" t="s">
        <v>26</v>
      </c>
      <c r="BY9" t="s">
        <v>26</v>
      </c>
      <c r="BZ9">
        <v>5.5</v>
      </c>
      <c r="CA9">
        <v>5.5</v>
      </c>
      <c r="CB9" t="s">
        <v>26</v>
      </c>
      <c r="CC9">
        <v>6.5</v>
      </c>
      <c r="CD9">
        <v>7</v>
      </c>
      <c r="CF9">
        <v>5.5</v>
      </c>
      <c r="CI9">
        <v>5.5</v>
      </c>
      <c r="CR9">
        <v>5.5</v>
      </c>
      <c r="CS9">
        <v>5.5</v>
      </c>
      <c r="CW9">
        <f>COUNT(B9:CI9)</f>
        <v>67</v>
      </c>
      <c r="CX9" s="18">
        <f>AVERAGE(B9:CI9)</f>
        <v>5.9701492537313436</v>
      </c>
      <c r="CY9">
        <f t="shared" si="0"/>
        <v>0.96648378625350351</v>
      </c>
      <c r="CZ9">
        <v>0</v>
      </c>
      <c r="DA9">
        <f t="shared" si="1"/>
        <v>2</v>
      </c>
      <c r="DB9">
        <f t="shared" si="2"/>
        <v>2</v>
      </c>
    </row>
    <row r="10" spans="1:106" x14ac:dyDescent="0.35">
      <c r="A10" t="s">
        <v>11</v>
      </c>
      <c r="B10">
        <v>5</v>
      </c>
      <c r="C10" t="s">
        <v>26</v>
      </c>
      <c r="D10">
        <v>8</v>
      </c>
      <c r="E10">
        <v>8</v>
      </c>
      <c r="F10">
        <v>8</v>
      </c>
      <c r="G10">
        <v>5</v>
      </c>
      <c r="H10" t="s">
        <v>26</v>
      </c>
      <c r="I10">
        <v>3.5</v>
      </c>
      <c r="J10">
        <v>7</v>
      </c>
      <c r="K10">
        <v>5.5</v>
      </c>
      <c r="L10" t="s">
        <v>26</v>
      </c>
      <c r="M10" t="s">
        <v>26</v>
      </c>
      <c r="N10">
        <v>5.5</v>
      </c>
      <c r="O10">
        <v>5</v>
      </c>
      <c r="P10">
        <v>5.5</v>
      </c>
      <c r="Q10" t="s">
        <v>26</v>
      </c>
      <c r="R10" t="s">
        <v>26</v>
      </c>
      <c r="S10">
        <v>3.5</v>
      </c>
      <c r="T10">
        <v>7</v>
      </c>
      <c r="U10" t="s">
        <v>26</v>
      </c>
      <c r="V10" t="s">
        <v>26</v>
      </c>
      <c r="W10" t="s">
        <v>26</v>
      </c>
      <c r="X10">
        <v>5.5</v>
      </c>
      <c r="Y10">
        <v>5.5</v>
      </c>
      <c r="Z10" t="s">
        <v>26</v>
      </c>
      <c r="AA10">
        <v>3.5</v>
      </c>
      <c r="AB10" t="s">
        <v>26</v>
      </c>
      <c r="AC10">
        <v>7</v>
      </c>
      <c r="AD10" t="s">
        <v>26</v>
      </c>
      <c r="AE10">
        <v>2.5</v>
      </c>
      <c r="AF10">
        <v>7</v>
      </c>
      <c r="AG10">
        <v>5</v>
      </c>
      <c r="AH10">
        <v>7</v>
      </c>
      <c r="AI10">
        <v>7</v>
      </c>
      <c r="AJ10">
        <v>6.5</v>
      </c>
      <c r="AK10">
        <v>8.5</v>
      </c>
      <c r="AL10">
        <v>5.5</v>
      </c>
      <c r="AM10">
        <v>5</v>
      </c>
      <c r="AN10">
        <v>5</v>
      </c>
      <c r="AO10">
        <v>5.5</v>
      </c>
      <c r="AP10">
        <v>5.5</v>
      </c>
      <c r="AQ10" t="s">
        <v>26</v>
      </c>
      <c r="AR10">
        <v>6.5</v>
      </c>
      <c r="AS10">
        <v>6.5</v>
      </c>
      <c r="AT10">
        <v>5.5</v>
      </c>
      <c r="AU10">
        <v>7</v>
      </c>
      <c r="AV10">
        <v>5.5</v>
      </c>
      <c r="AW10" t="s">
        <v>26</v>
      </c>
      <c r="AX10">
        <v>5.5</v>
      </c>
      <c r="AY10">
        <v>5</v>
      </c>
      <c r="AZ10" t="s">
        <v>26</v>
      </c>
      <c r="BA10" t="s">
        <v>26</v>
      </c>
      <c r="BB10" t="s">
        <v>26</v>
      </c>
      <c r="BC10" t="s">
        <v>26</v>
      </c>
      <c r="BD10">
        <v>4</v>
      </c>
      <c r="BE10">
        <v>7</v>
      </c>
      <c r="BF10" t="s">
        <v>26</v>
      </c>
      <c r="BG10">
        <v>3.5</v>
      </c>
      <c r="BH10">
        <v>6.5</v>
      </c>
      <c r="BI10">
        <v>5.5</v>
      </c>
      <c r="BJ10">
        <v>5.5</v>
      </c>
      <c r="BK10">
        <v>5.5</v>
      </c>
      <c r="BL10" t="s">
        <v>26</v>
      </c>
      <c r="BM10">
        <v>5</v>
      </c>
      <c r="BN10">
        <v>8.5</v>
      </c>
      <c r="BO10">
        <v>5.5</v>
      </c>
      <c r="BP10" t="s">
        <v>26</v>
      </c>
      <c r="BQ10" t="s">
        <v>26</v>
      </c>
      <c r="BR10">
        <v>8.5</v>
      </c>
      <c r="BS10">
        <v>6.5</v>
      </c>
      <c r="BT10">
        <v>6.5</v>
      </c>
      <c r="BU10">
        <v>6.5</v>
      </c>
      <c r="BV10">
        <v>5.5</v>
      </c>
      <c r="BW10">
        <v>5.5</v>
      </c>
      <c r="BX10">
        <v>5.5</v>
      </c>
      <c r="BY10">
        <v>3.5</v>
      </c>
      <c r="BZ10">
        <v>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K10">
        <v>5.5</v>
      </c>
      <c r="CM10">
        <v>7</v>
      </c>
      <c r="CN10">
        <v>7.5</v>
      </c>
      <c r="CO10">
        <v>6</v>
      </c>
      <c r="CP10">
        <v>5.5</v>
      </c>
      <c r="CQ10">
        <v>6</v>
      </c>
      <c r="CR10">
        <v>6</v>
      </c>
      <c r="CW10">
        <f>COUNT(B10:CI10)</f>
        <v>62</v>
      </c>
      <c r="CX10" s="18">
        <f>AVERAGE(B10:CI10)</f>
        <v>5.717741935483871</v>
      </c>
      <c r="CY10">
        <f t="shared" si="0"/>
        <v>1.3617531291315086</v>
      </c>
      <c r="CZ10">
        <v>1</v>
      </c>
      <c r="DA10">
        <f t="shared" si="1"/>
        <v>4</v>
      </c>
      <c r="DB10">
        <f t="shared" si="2"/>
        <v>0</v>
      </c>
    </row>
    <row r="11" spans="1:106" x14ac:dyDescent="0.35">
      <c r="A11" t="s">
        <v>2</v>
      </c>
      <c r="B11">
        <v>7</v>
      </c>
      <c r="C11" t="s">
        <v>26</v>
      </c>
      <c r="D11">
        <v>3.5</v>
      </c>
      <c r="E11">
        <v>3.5</v>
      </c>
      <c r="F11">
        <v>5</v>
      </c>
      <c r="G11">
        <v>5</v>
      </c>
      <c r="H11">
        <v>7</v>
      </c>
      <c r="I11" t="s">
        <v>26</v>
      </c>
      <c r="J11">
        <v>5.5</v>
      </c>
      <c r="K11">
        <v>5.5</v>
      </c>
      <c r="L11">
        <v>5</v>
      </c>
      <c r="M11">
        <v>5.5</v>
      </c>
      <c r="N11" t="s">
        <v>26</v>
      </c>
      <c r="O11">
        <v>5</v>
      </c>
      <c r="P11">
        <v>5.5</v>
      </c>
      <c r="Q11">
        <v>3.5</v>
      </c>
      <c r="R11">
        <v>5.5</v>
      </c>
      <c r="S11">
        <v>7</v>
      </c>
      <c r="T11">
        <v>5</v>
      </c>
      <c r="U11">
        <v>5</v>
      </c>
      <c r="V11">
        <v>5</v>
      </c>
      <c r="W11">
        <v>5</v>
      </c>
      <c r="X11">
        <v>5.5</v>
      </c>
      <c r="Y11">
        <v>5</v>
      </c>
      <c r="Z11" t="s">
        <v>26</v>
      </c>
      <c r="AA11">
        <v>7</v>
      </c>
      <c r="AB11">
        <v>5.5</v>
      </c>
      <c r="AC11">
        <v>5.5</v>
      </c>
      <c r="AD11" t="s">
        <v>26</v>
      </c>
      <c r="AE11">
        <v>8.5</v>
      </c>
      <c r="AF11" t="s">
        <v>26</v>
      </c>
      <c r="AG11" t="s">
        <v>26</v>
      </c>
      <c r="AH11">
        <v>8</v>
      </c>
      <c r="AI11">
        <v>5</v>
      </c>
      <c r="AJ11" t="s">
        <v>26</v>
      </c>
      <c r="AK11">
        <v>5.5</v>
      </c>
      <c r="AL11">
        <v>5.5</v>
      </c>
      <c r="AM11">
        <v>6.5</v>
      </c>
      <c r="AN11">
        <v>4</v>
      </c>
      <c r="AO11" t="s">
        <v>26</v>
      </c>
      <c r="AP11" t="s">
        <v>26</v>
      </c>
      <c r="AQ11" t="s">
        <v>26</v>
      </c>
      <c r="AR11" t="s">
        <v>26</v>
      </c>
      <c r="AS11" t="s">
        <v>26</v>
      </c>
      <c r="AT11">
        <v>5</v>
      </c>
      <c r="AU11" t="s">
        <v>26</v>
      </c>
      <c r="AV11" t="s">
        <v>26</v>
      </c>
      <c r="AW11" t="s">
        <v>26</v>
      </c>
      <c r="AX11" t="s">
        <v>26</v>
      </c>
      <c r="AY11" t="s">
        <v>26</v>
      </c>
      <c r="AZ11">
        <v>5</v>
      </c>
      <c r="BA11" t="s">
        <v>26</v>
      </c>
      <c r="BB11" t="s">
        <v>26</v>
      </c>
      <c r="BC11">
        <v>4</v>
      </c>
      <c r="BD11" t="s">
        <v>26</v>
      </c>
      <c r="BE11" t="s">
        <v>26</v>
      </c>
      <c r="BF11" t="s">
        <v>26</v>
      </c>
      <c r="BG11">
        <v>5</v>
      </c>
      <c r="BH11">
        <v>6.5</v>
      </c>
      <c r="BI11">
        <v>5.5</v>
      </c>
      <c r="BJ11">
        <v>5</v>
      </c>
      <c r="BK11">
        <v>5</v>
      </c>
      <c r="BL11">
        <v>5</v>
      </c>
      <c r="BM11">
        <v>5.5</v>
      </c>
      <c r="BN11">
        <v>6.5</v>
      </c>
      <c r="BO11" t="s">
        <v>26</v>
      </c>
      <c r="BP11" t="s">
        <v>26</v>
      </c>
      <c r="BQ11">
        <v>5.5</v>
      </c>
      <c r="BR11" t="s">
        <v>26</v>
      </c>
      <c r="BS11" t="s">
        <v>26</v>
      </c>
      <c r="BT11" t="s">
        <v>26</v>
      </c>
      <c r="BU11" t="s">
        <v>26</v>
      </c>
      <c r="BV11" t="s">
        <v>26</v>
      </c>
      <c r="BW11">
        <v>5.5</v>
      </c>
      <c r="BX11" t="s">
        <v>26</v>
      </c>
      <c r="BY11">
        <v>4</v>
      </c>
      <c r="BZ11">
        <v>5.5</v>
      </c>
      <c r="CA11">
        <v>5.5</v>
      </c>
      <c r="CB11">
        <v>5</v>
      </c>
      <c r="CC11">
        <v>7</v>
      </c>
      <c r="CD11">
        <v>5</v>
      </c>
      <c r="CE11">
        <v>6.5</v>
      </c>
      <c r="CF11">
        <v>5.5</v>
      </c>
      <c r="CG11">
        <v>5.5</v>
      </c>
      <c r="CJ11">
        <v>5.5</v>
      </c>
      <c r="CK11">
        <v>7</v>
      </c>
      <c r="CL11">
        <v>5.5</v>
      </c>
      <c r="CM11">
        <v>6</v>
      </c>
      <c r="CN11">
        <v>6.5</v>
      </c>
      <c r="CO11">
        <v>6</v>
      </c>
      <c r="CP11">
        <v>6</v>
      </c>
      <c r="CQ11">
        <v>6</v>
      </c>
      <c r="CR11">
        <v>6</v>
      </c>
      <c r="CW11">
        <f>COUNT(B11:CR11)</f>
        <v>62</v>
      </c>
      <c r="CX11" s="18">
        <f>AVERAGE(B11:CR11)</f>
        <v>5.540322580645161</v>
      </c>
      <c r="CY11">
        <f t="shared" si="0"/>
        <v>1.0254583642020354</v>
      </c>
      <c r="CZ11">
        <v>1</v>
      </c>
      <c r="DA11">
        <f t="shared" si="1"/>
        <v>4</v>
      </c>
      <c r="DB11">
        <f t="shared" si="2"/>
        <v>0</v>
      </c>
    </row>
    <row r="12" spans="1:106" x14ac:dyDescent="0.35">
      <c r="A12" t="s">
        <v>16</v>
      </c>
      <c r="B12">
        <v>8</v>
      </c>
      <c r="C12" t="s">
        <v>26</v>
      </c>
      <c r="D12" t="s">
        <v>26</v>
      </c>
      <c r="E12" t="s">
        <v>26</v>
      </c>
      <c r="F12" t="s">
        <v>26</v>
      </c>
      <c r="G12" t="s">
        <v>26</v>
      </c>
      <c r="H12" t="s">
        <v>26</v>
      </c>
      <c r="I12" t="s">
        <v>26</v>
      </c>
      <c r="J12" t="s">
        <v>26</v>
      </c>
      <c r="K12" t="s">
        <v>26</v>
      </c>
      <c r="L12" t="s">
        <v>26</v>
      </c>
      <c r="M12" t="s">
        <v>26</v>
      </c>
      <c r="N12" t="s">
        <v>26</v>
      </c>
      <c r="O12" t="s">
        <v>26</v>
      </c>
      <c r="P12" t="s">
        <v>26</v>
      </c>
      <c r="Q12" t="s">
        <v>26</v>
      </c>
      <c r="R12" t="s">
        <v>26</v>
      </c>
      <c r="S12" t="s">
        <v>26</v>
      </c>
      <c r="T12" t="s">
        <v>26</v>
      </c>
      <c r="U12" t="s">
        <v>26</v>
      </c>
      <c r="V12">
        <v>7</v>
      </c>
      <c r="W12">
        <v>7</v>
      </c>
      <c r="X12">
        <v>5.5</v>
      </c>
      <c r="Y12">
        <v>7</v>
      </c>
      <c r="Z12">
        <v>8</v>
      </c>
      <c r="AA12">
        <v>7</v>
      </c>
      <c r="AB12">
        <v>7</v>
      </c>
      <c r="AC12">
        <v>8</v>
      </c>
      <c r="AD12">
        <v>7</v>
      </c>
      <c r="AE12">
        <v>7</v>
      </c>
      <c r="AF12">
        <v>8</v>
      </c>
      <c r="AG12" t="s">
        <v>26</v>
      </c>
      <c r="AH12">
        <v>8</v>
      </c>
      <c r="AI12">
        <v>8</v>
      </c>
      <c r="AJ12">
        <v>6.5</v>
      </c>
      <c r="AK12">
        <v>6.5</v>
      </c>
      <c r="AL12">
        <v>7</v>
      </c>
      <c r="AM12">
        <v>5.5</v>
      </c>
      <c r="AN12">
        <v>5.5</v>
      </c>
      <c r="AO12">
        <v>5.5</v>
      </c>
      <c r="AP12">
        <v>6.5</v>
      </c>
      <c r="AQ12">
        <v>6.5</v>
      </c>
      <c r="AR12">
        <v>7</v>
      </c>
      <c r="AS12">
        <v>5.5</v>
      </c>
      <c r="AT12">
        <v>6.5</v>
      </c>
      <c r="AU12" t="s">
        <v>26</v>
      </c>
      <c r="AV12">
        <v>5</v>
      </c>
      <c r="AW12" t="s">
        <v>26</v>
      </c>
      <c r="AX12">
        <v>7</v>
      </c>
      <c r="AY12">
        <v>6.5</v>
      </c>
      <c r="AZ12">
        <v>8</v>
      </c>
      <c r="BA12">
        <v>5.5</v>
      </c>
      <c r="BB12">
        <v>5.5</v>
      </c>
      <c r="BC12">
        <v>10</v>
      </c>
      <c r="BD12">
        <v>6.5</v>
      </c>
      <c r="BE12">
        <v>8</v>
      </c>
      <c r="BF12">
        <v>5</v>
      </c>
      <c r="BG12">
        <v>7</v>
      </c>
      <c r="BH12">
        <v>6.5</v>
      </c>
      <c r="BI12">
        <v>8.5</v>
      </c>
      <c r="BJ12">
        <v>6.5</v>
      </c>
      <c r="BK12">
        <v>8</v>
      </c>
      <c r="BL12">
        <v>6.5</v>
      </c>
      <c r="BM12">
        <v>6.5</v>
      </c>
      <c r="BN12">
        <v>5.5</v>
      </c>
      <c r="BO12" t="s">
        <v>26</v>
      </c>
      <c r="BP12">
        <v>6.5</v>
      </c>
      <c r="BQ12">
        <v>5.5</v>
      </c>
      <c r="BR12">
        <v>5.5</v>
      </c>
      <c r="BS12">
        <v>6.5</v>
      </c>
      <c r="BT12" t="s">
        <v>26</v>
      </c>
      <c r="BU12">
        <v>6.5</v>
      </c>
      <c r="BV12">
        <v>7</v>
      </c>
      <c r="BW12">
        <v>6.5</v>
      </c>
      <c r="BX12" t="s">
        <v>26</v>
      </c>
      <c r="BY12">
        <v>5.5</v>
      </c>
      <c r="BZ12">
        <v>5.5</v>
      </c>
      <c r="CA12">
        <v>7</v>
      </c>
      <c r="CB12" t="s">
        <v>26</v>
      </c>
      <c r="CC12">
        <v>7</v>
      </c>
      <c r="CD12">
        <v>5.5</v>
      </c>
      <c r="CE12">
        <v>7.5</v>
      </c>
      <c r="CF12">
        <v>6</v>
      </c>
      <c r="CG12">
        <v>6.5</v>
      </c>
      <c r="CH12">
        <v>6.5</v>
      </c>
      <c r="CL12">
        <v>6.5</v>
      </c>
      <c r="CM12">
        <v>6.5</v>
      </c>
      <c r="CN12">
        <v>7</v>
      </c>
      <c r="CO12">
        <v>6.5</v>
      </c>
      <c r="CQ12">
        <v>7</v>
      </c>
      <c r="CR12">
        <v>6</v>
      </c>
      <c r="CS12">
        <v>6</v>
      </c>
      <c r="CT12">
        <v>6</v>
      </c>
      <c r="CW12">
        <f>COUNT(B12:CI12)</f>
        <v>59</v>
      </c>
      <c r="CX12" s="18">
        <f>AVERAGE(B12:CI12)</f>
        <v>6.6779661016949152</v>
      </c>
      <c r="CY12">
        <f t="shared" si="0"/>
        <v>1.0072574989410263</v>
      </c>
      <c r="CZ12">
        <v>1</v>
      </c>
      <c r="DA12">
        <f t="shared" si="1"/>
        <v>4</v>
      </c>
      <c r="DB12">
        <f t="shared" si="2"/>
        <v>0</v>
      </c>
    </row>
    <row r="13" spans="1:106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S13">
        <v>5.5</v>
      </c>
      <c r="CT13">
        <v>5</v>
      </c>
      <c r="CU13">
        <v>5.5</v>
      </c>
      <c r="CW13">
        <f>COUNT(B13:CN13)</f>
        <v>56</v>
      </c>
      <c r="CX13" s="18">
        <f>AVERAGE(B13:CN13)</f>
        <v>6.3571428571428568</v>
      </c>
      <c r="CY13">
        <f t="shared" si="0"/>
        <v>1.1769469323774333</v>
      </c>
      <c r="CZ13">
        <v>1</v>
      </c>
      <c r="DA13">
        <f t="shared" si="1"/>
        <v>3</v>
      </c>
      <c r="DB13">
        <f t="shared" si="2"/>
        <v>0</v>
      </c>
    </row>
    <row r="14" spans="1:106" x14ac:dyDescent="0.35">
      <c r="A14" t="s">
        <v>367</v>
      </c>
      <c r="B14">
        <v>9.5</v>
      </c>
      <c r="C14" t="s">
        <v>26</v>
      </c>
      <c r="D14" t="s">
        <v>26</v>
      </c>
      <c r="E14">
        <v>7</v>
      </c>
      <c r="F14">
        <v>7</v>
      </c>
      <c r="G14" t="s">
        <v>26</v>
      </c>
      <c r="H14">
        <v>10</v>
      </c>
      <c r="I14">
        <v>7</v>
      </c>
      <c r="J14" t="s">
        <v>26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26</v>
      </c>
      <c r="Z14">
        <v>5.5</v>
      </c>
      <c r="AA14">
        <v>5.5</v>
      </c>
      <c r="AB14" t="s">
        <v>26</v>
      </c>
      <c r="AC14">
        <v>5.5</v>
      </c>
      <c r="AD14" t="s">
        <v>26</v>
      </c>
      <c r="AE14" t="s">
        <v>26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26</v>
      </c>
      <c r="AN14" t="s">
        <v>26</v>
      </c>
      <c r="AO14" t="s">
        <v>26</v>
      </c>
      <c r="AP14" t="s">
        <v>26</v>
      </c>
      <c r="AQ14" t="s">
        <v>26</v>
      </c>
      <c r="AR14" t="s">
        <v>26</v>
      </c>
      <c r="AS14" t="s">
        <v>26</v>
      </c>
      <c r="AT14" t="s">
        <v>26</v>
      </c>
      <c r="AU14" t="s">
        <v>26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26</v>
      </c>
      <c r="BC14" t="s">
        <v>26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26</v>
      </c>
      <c r="BJ14" t="s">
        <v>26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26</v>
      </c>
      <c r="BV14">
        <v>6.5</v>
      </c>
      <c r="BW14">
        <v>5.5</v>
      </c>
      <c r="BX14" t="s">
        <v>26</v>
      </c>
      <c r="BY14">
        <v>5.5</v>
      </c>
      <c r="BZ14" t="s">
        <v>26</v>
      </c>
      <c r="CA14" t="s">
        <v>26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S14">
        <v>5.5</v>
      </c>
      <c r="CT14">
        <v>6</v>
      </c>
      <c r="CU14">
        <v>6</v>
      </c>
      <c r="CW14">
        <f>COUNT(B14:CI14)</f>
        <v>55</v>
      </c>
      <c r="CX14" s="18">
        <f>AVERAGE(B14:CI14)</f>
        <v>6.3181818181818183</v>
      </c>
      <c r="CY14">
        <f t="shared" si="0"/>
        <v>1.1213885273224193</v>
      </c>
      <c r="CZ14">
        <v>1</v>
      </c>
      <c r="DA14">
        <f t="shared" si="1"/>
        <v>3</v>
      </c>
      <c r="DB14">
        <f t="shared" si="2"/>
        <v>0</v>
      </c>
    </row>
    <row r="15" spans="1:106" x14ac:dyDescent="0.35">
      <c r="A15" t="s">
        <v>14</v>
      </c>
      <c r="B15">
        <v>7</v>
      </c>
      <c r="C15" t="s">
        <v>26</v>
      </c>
      <c r="D15">
        <v>8</v>
      </c>
      <c r="E15" t="s">
        <v>26</v>
      </c>
      <c r="F15">
        <v>5.5</v>
      </c>
      <c r="G15">
        <v>7</v>
      </c>
      <c r="H15">
        <v>3.5</v>
      </c>
      <c r="I15">
        <v>5</v>
      </c>
      <c r="J15" t="s">
        <v>26</v>
      </c>
      <c r="K15">
        <v>5.5</v>
      </c>
      <c r="L15">
        <v>5.5</v>
      </c>
      <c r="M15">
        <v>5.5</v>
      </c>
      <c r="N15" t="s">
        <v>26</v>
      </c>
      <c r="O15">
        <v>5.5</v>
      </c>
      <c r="P15">
        <v>5</v>
      </c>
      <c r="Q15">
        <v>5</v>
      </c>
      <c r="R15">
        <v>5.5</v>
      </c>
      <c r="S15">
        <v>3.5</v>
      </c>
      <c r="T15">
        <v>7</v>
      </c>
      <c r="U15" t="s">
        <v>26</v>
      </c>
      <c r="V15">
        <v>5.5</v>
      </c>
      <c r="W15" t="s">
        <v>26</v>
      </c>
      <c r="X15">
        <v>7</v>
      </c>
      <c r="Y15">
        <v>5.5</v>
      </c>
      <c r="Z15" t="s">
        <v>26</v>
      </c>
      <c r="AA15">
        <v>5.5</v>
      </c>
      <c r="AB15">
        <v>5</v>
      </c>
      <c r="AC15">
        <v>5.5</v>
      </c>
      <c r="AD15">
        <v>5</v>
      </c>
      <c r="AE15" t="s">
        <v>26</v>
      </c>
      <c r="AF15" t="s">
        <v>26</v>
      </c>
      <c r="AG15" t="s">
        <v>26</v>
      </c>
      <c r="AH15" t="s">
        <v>26</v>
      </c>
      <c r="AI15">
        <v>5.5</v>
      </c>
      <c r="AJ15" t="s">
        <v>26</v>
      </c>
      <c r="AK15" t="s">
        <v>26</v>
      </c>
      <c r="AL15">
        <v>6.5</v>
      </c>
      <c r="AM15">
        <v>5.5</v>
      </c>
      <c r="AN15">
        <v>5.5</v>
      </c>
      <c r="AO15">
        <v>5.5</v>
      </c>
      <c r="AP15">
        <v>5.5</v>
      </c>
      <c r="AQ15">
        <v>5.5</v>
      </c>
      <c r="AR15">
        <v>5</v>
      </c>
      <c r="AS15">
        <v>6.5</v>
      </c>
      <c r="AT15">
        <v>6.5</v>
      </c>
      <c r="AU15" t="s">
        <v>26</v>
      </c>
      <c r="AV15">
        <v>5.5</v>
      </c>
      <c r="AW15" t="s">
        <v>26</v>
      </c>
      <c r="AX15" t="s">
        <v>26</v>
      </c>
      <c r="AY15">
        <v>5</v>
      </c>
      <c r="AZ15">
        <v>5.5</v>
      </c>
      <c r="BA15" t="s">
        <v>26</v>
      </c>
      <c r="BB15">
        <v>5.5</v>
      </c>
      <c r="BC15">
        <v>7</v>
      </c>
      <c r="BD15">
        <v>7</v>
      </c>
      <c r="BE15">
        <v>7</v>
      </c>
      <c r="BF15">
        <v>5.5</v>
      </c>
      <c r="BG15">
        <v>6.5</v>
      </c>
      <c r="BH15">
        <v>5.5</v>
      </c>
      <c r="BI15">
        <v>5.5</v>
      </c>
      <c r="BJ15" t="s">
        <v>26</v>
      </c>
      <c r="BK15">
        <v>6.5</v>
      </c>
      <c r="BL15">
        <v>5.5</v>
      </c>
      <c r="BM15">
        <v>5.5</v>
      </c>
      <c r="BN15">
        <v>6.5</v>
      </c>
      <c r="BO15">
        <v>5</v>
      </c>
      <c r="BP15">
        <v>5</v>
      </c>
      <c r="BQ15">
        <v>5.5</v>
      </c>
      <c r="BR15">
        <v>5</v>
      </c>
      <c r="BS15" t="s">
        <v>26</v>
      </c>
      <c r="BT15" t="s">
        <v>26</v>
      </c>
      <c r="BU15" t="s">
        <v>26</v>
      </c>
      <c r="BV15" t="s">
        <v>26</v>
      </c>
      <c r="BW15" t="s">
        <v>26</v>
      </c>
      <c r="BX15" t="s">
        <v>26</v>
      </c>
      <c r="BY15" t="s">
        <v>26</v>
      </c>
      <c r="BZ15" t="s">
        <v>26</v>
      </c>
      <c r="CA15" t="s">
        <v>26</v>
      </c>
      <c r="CB15" t="s">
        <v>26</v>
      </c>
      <c r="CF15">
        <v>5.5</v>
      </c>
      <c r="CW15">
        <f>COUNT(B15:CI15)</f>
        <v>52</v>
      </c>
      <c r="CX15" s="18">
        <f>AVERAGE(B15:CI15)</f>
        <v>5.6923076923076925</v>
      </c>
      <c r="CY15">
        <f t="shared" si="0"/>
        <v>0.84687340856573534</v>
      </c>
      <c r="CZ15">
        <v>0</v>
      </c>
      <c r="DA15">
        <f t="shared" si="1"/>
        <v>0</v>
      </c>
      <c r="DB15">
        <f t="shared" si="2"/>
        <v>0</v>
      </c>
    </row>
    <row r="16" spans="1:106" x14ac:dyDescent="0.35">
      <c r="A16" t="s">
        <v>25</v>
      </c>
      <c r="B16" t="s">
        <v>26</v>
      </c>
      <c r="C16" t="s">
        <v>26</v>
      </c>
      <c r="D16" t="s">
        <v>26</v>
      </c>
      <c r="E16">
        <v>3.5</v>
      </c>
      <c r="F16">
        <v>5.5</v>
      </c>
      <c r="G16">
        <v>3</v>
      </c>
      <c r="H16" t="s">
        <v>26</v>
      </c>
      <c r="I16" t="s">
        <v>26</v>
      </c>
      <c r="J16">
        <v>3.5</v>
      </c>
      <c r="K16" t="s">
        <v>26</v>
      </c>
      <c r="L16">
        <v>1</v>
      </c>
      <c r="M16">
        <v>3.5</v>
      </c>
      <c r="N16">
        <v>5</v>
      </c>
      <c r="O16">
        <v>5.5</v>
      </c>
      <c r="P16">
        <v>3.5</v>
      </c>
      <c r="Q16" t="s">
        <v>26</v>
      </c>
      <c r="R16" t="s">
        <v>26</v>
      </c>
      <c r="S16">
        <v>3</v>
      </c>
      <c r="T16">
        <v>5.5</v>
      </c>
      <c r="U16">
        <v>1</v>
      </c>
      <c r="V16">
        <v>5</v>
      </c>
      <c r="W16">
        <v>5.5</v>
      </c>
      <c r="X16">
        <v>5.5</v>
      </c>
      <c r="Y16" t="s">
        <v>26</v>
      </c>
      <c r="Z16">
        <v>5</v>
      </c>
      <c r="AA16" t="s">
        <v>26</v>
      </c>
      <c r="AB16" t="s">
        <v>26</v>
      </c>
      <c r="AC16">
        <v>3</v>
      </c>
      <c r="AD16">
        <v>3.5</v>
      </c>
      <c r="AE16">
        <v>4</v>
      </c>
      <c r="AF16">
        <v>2</v>
      </c>
      <c r="AG16">
        <v>2.5</v>
      </c>
      <c r="AH16">
        <v>5.5</v>
      </c>
      <c r="AI16" t="s">
        <v>26</v>
      </c>
      <c r="AJ16" t="s">
        <v>26</v>
      </c>
      <c r="AK16">
        <v>5.5</v>
      </c>
      <c r="AL16">
        <v>2</v>
      </c>
      <c r="AM16">
        <v>4</v>
      </c>
      <c r="AN16" t="s">
        <v>26</v>
      </c>
      <c r="AO16">
        <v>6.5</v>
      </c>
      <c r="AP16">
        <v>6.5</v>
      </c>
      <c r="AQ16">
        <v>4</v>
      </c>
      <c r="AR16">
        <v>3.5</v>
      </c>
      <c r="AS16" t="s">
        <v>26</v>
      </c>
      <c r="AT16">
        <v>5.5</v>
      </c>
      <c r="AU16">
        <v>4</v>
      </c>
      <c r="AV16" t="s">
        <v>26</v>
      </c>
      <c r="AW16" t="s">
        <v>26</v>
      </c>
      <c r="AX16">
        <v>6.5</v>
      </c>
      <c r="AY16">
        <v>5</v>
      </c>
      <c r="AZ16">
        <v>5</v>
      </c>
      <c r="BA16">
        <v>5.5</v>
      </c>
      <c r="BB16" t="s">
        <v>26</v>
      </c>
      <c r="BC16">
        <v>4</v>
      </c>
      <c r="BD16" t="s">
        <v>26</v>
      </c>
      <c r="BE16">
        <v>5</v>
      </c>
      <c r="BF16" t="s">
        <v>26</v>
      </c>
      <c r="BG16" t="s">
        <v>26</v>
      </c>
      <c r="BH16" t="s">
        <v>26</v>
      </c>
      <c r="BI16" t="s">
        <v>26</v>
      </c>
      <c r="BJ16" t="s">
        <v>26</v>
      </c>
      <c r="BK16">
        <v>5</v>
      </c>
      <c r="BL16">
        <v>4</v>
      </c>
      <c r="BM16">
        <v>5.5</v>
      </c>
      <c r="BN16" t="s">
        <v>26</v>
      </c>
      <c r="BO16">
        <v>5</v>
      </c>
      <c r="BP16" t="s">
        <v>26</v>
      </c>
      <c r="BQ16" t="s">
        <v>26</v>
      </c>
      <c r="BR16">
        <v>5</v>
      </c>
      <c r="BS16" t="s">
        <v>26</v>
      </c>
      <c r="BT16">
        <v>5.5</v>
      </c>
      <c r="BU16" t="s">
        <v>26</v>
      </c>
      <c r="BV16" t="s">
        <v>26</v>
      </c>
      <c r="BW16" t="s">
        <v>26</v>
      </c>
      <c r="BX16" t="s">
        <v>26</v>
      </c>
      <c r="BY16" t="s">
        <v>26</v>
      </c>
      <c r="BZ16" t="s">
        <v>26</v>
      </c>
      <c r="CA16">
        <v>5.5</v>
      </c>
      <c r="CB16" t="s">
        <v>26</v>
      </c>
      <c r="CC16">
        <v>4.5</v>
      </c>
      <c r="CE16">
        <v>5</v>
      </c>
      <c r="CF16">
        <v>5.5</v>
      </c>
      <c r="CW16">
        <f>COUNT(B16:CI16)</f>
        <v>47</v>
      </c>
      <c r="CX16" s="18">
        <f>AVERAGE(B16:CI16)</f>
        <v>4.4255319148936172</v>
      </c>
      <c r="CY16">
        <f t="shared" si="0"/>
        <v>1.3391217246854428</v>
      </c>
      <c r="CZ16">
        <v>0</v>
      </c>
      <c r="DA16">
        <f t="shared" si="1"/>
        <v>0</v>
      </c>
      <c r="DB16">
        <f t="shared" si="2"/>
        <v>0</v>
      </c>
    </row>
    <row r="17" spans="1:106" x14ac:dyDescent="0.35">
      <c r="A17" t="s">
        <v>56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>
        <v>5</v>
      </c>
      <c r="R17" t="s">
        <v>26</v>
      </c>
      <c r="S17">
        <v>7</v>
      </c>
      <c r="T17" t="s">
        <v>26</v>
      </c>
      <c r="U17" t="s">
        <v>26</v>
      </c>
      <c r="V17">
        <v>7</v>
      </c>
      <c r="W17" t="s">
        <v>26</v>
      </c>
      <c r="X17">
        <v>5.5</v>
      </c>
      <c r="Y17">
        <v>7</v>
      </c>
      <c r="Z17">
        <v>7</v>
      </c>
      <c r="AA17" t="s">
        <v>26</v>
      </c>
      <c r="AB17">
        <v>7</v>
      </c>
      <c r="AC17">
        <v>3.5</v>
      </c>
      <c r="AD17">
        <v>7</v>
      </c>
      <c r="AE17">
        <v>7</v>
      </c>
      <c r="AF17">
        <v>5.5</v>
      </c>
      <c r="AG17">
        <v>8</v>
      </c>
      <c r="AH17">
        <v>8</v>
      </c>
      <c r="AI17">
        <v>8</v>
      </c>
      <c r="AJ17">
        <v>5.5</v>
      </c>
      <c r="AK17">
        <v>5.5</v>
      </c>
      <c r="AL17">
        <v>7</v>
      </c>
      <c r="AM17">
        <v>5.5</v>
      </c>
      <c r="AN17" t="s">
        <v>26</v>
      </c>
      <c r="AO17">
        <v>5.5</v>
      </c>
      <c r="AP17">
        <v>6.5</v>
      </c>
      <c r="AQ17">
        <v>5</v>
      </c>
      <c r="AR17">
        <v>5.5</v>
      </c>
      <c r="AS17">
        <v>5.5</v>
      </c>
      <c r="AT17">
        <v>5.5</v>
      </c>
      <c r="AU17">
        <v>7</v>
      </c>
      <c r="AV17">
        <v>5</v>
      </c>
      <c r="AW17">
        <v>5.5</v>
      </c>
      <c r="AX17" t="s">
        <v>26</v>
      </c>
      <c r="AY17" t="s">
        <v>26</v>
      </c>
      <c r="AZ17" t="s">
        <v>26</v>
      </c>
      <c r="BA17" t="s">
        <v>26</v>
      </c>
      <c r="BB17" t="s">
        <v>26</v>
      </c>
      <c r="BC17" t="s">
        <v>26</v>
      </c>
      <c r="BD17" t="s">
        <v>26</v>
      </c>
      <c r="BE17" t="s">
        <v>26</v>
      </c>
      <c r="BF17" t="s">
        <v>26</v>
      </c>
      <c r="BG17" t="s">
        <v>26</v>
      </c>
      <c r="BH17" t="s">
        <v>26</v>
      </c>
      <c r="BI17" t="s">
        <v>26</v>
      </c>
      <c r="BJ17" t="s">
        <v>26</v>
      </c>
      <c r="BK17" t="s">
        <v>26</v>
      </c>
      <c r="BL17" t="s">
        <v>26</v>
      </c>
      <c r="BM17" t="s">
        <v>26</v>
      </c>
      <c r="BN17" t="s">
        <v>26</v>
      </c>
      <c r="BO17" t="s">
        <v>26</v>
      </c>
      <c r="BP17">
        <v>5.5</v>
      </c>
      <c r="BQ17">
        <v>5.5</v>
      </c>
      <c r="BR17">
        <v>6.5</v>
      </c>
      <c r="BS17">
        <v>6.5</v>
      </c>
      <c r="BT17" t="s">
        <v>26</v>
      </c>
      <c r="BU17" t="s">
        <v>26</v>
      </c>
      <c r="BV17">
        <v>5.5</v>
      </c>
      <c r="BW17">
        <v>6.5</v>
      </c>
      <c r="BX17" t="s">
        <v>26</v>
      </c>
      <c r="BY17">
        <v>5</v>
      </c>
      <c r="BZ17" t="s">
        <v>26</v>
      </c>
      <c r="CA17">
        <v>5.5</v>
      </c>
      <c r="CB17">
        <v>6.5</v>
      </c>
      <c r="CC17">
        <v>6</v>
      </c>
      <c r="CD17">
        <v>6</v>
      </c>
      <c r="CE17">
        <v>6</v>
      </c>
      <c r="CF17">
        <v>6.5</v>
      </c>
      <c r="CG17">
        <v>6.5</v>
      </c>
      <c r="CH17">
        <v>5.5</v>
      </c>
      <c r="CI17">
        <v>5.5</v>
      </c>
      <c r="CJ17">
        <v>6</v>
      </c>
      <c r="CK17">
        <v>5</v>
      </c>
      <c r="CL17">
        <v>6</v>
      </c>
      <c r="CN17">
        <v>6</v>
      </c>
      <c r="CO17">
        <v>6</v>
      </c>
      <c r="CP17">
        <v>5.5</v>
      </c>
      <c r="CQ17">
        <v>5.5</v>
      </c>
      <c r="CR17">
        <v>6</v>
      </c>
      <c r="CS17">
        <v>5.5</v>
      </c>
      <c r="CT17">
        <v>6</v>
      </c>
      <c r="CU17">
        <v>6</v>
      </c>
      <c r="CW17">
        <f>COUNT(B17:CL17)</f>
        <v>46</v>
      </c>
      <c r="CX17" s="18">
        <f>AVERAGE(B17:CL17)</f>
        <v>6.0652173913043477</v>
      </c>
      <c r="CY17">
        <f t="shared" si="0"/>
        <v>0.9573434129174403</v>
      </c>
      <c r="CZ17">
        <v>1</v>
      </c>
      <c r="DA17">
        <f t="shared" si="1"/>
        <v>5</v>
      </c>
      <c r="DB17">
        <f t="shared" si="2"/>
        <v>0</v>
      </c>
    </row>
    <row r="18" spans="1:106" x14ac:dyDescent="0.35">
      <c r="A18" t="s">
        <v>44</v>
      </c>
      <c r="B18" t="s">
        <v>26</v>
      </c>
      <c r="C18" t="s">
        <v>26</v>
      </c>
      <c r="D18" t="s">
        <v>26</v>
      </c>
      <c r="E18" t="s">
        <v>26</v>
      </c>
      <c r="F18">
        <v>5</v>
      </c>
      <c r="G18">
        <v>3.5</v>
      </c>
      <c r="H18">
        <v>5.5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 t="s">
        <v>26</v>
      </c>
      <c r="Q18">
        <v>5.5</v>
      </c>
      <c r="R18" t="s">
        <v>26</v>
      </c>
      <c r="S18">
        <v>5.5</v>
      </c>
      <c r="T18">
        <v>5.5</v>
      </c>
      <c r="U18" t="s">
        <v>26</v>
      </c>
      <c r="V18" t="s">
        <v>26</v>
      </c>
      <c r="W18" t="s">
        <v>26</v>
      </c>
      <c r="X18" t="s">
        <v>26</v>
      </c>
      <c r="Y18" t="s">
        <v>26</v>
      </c>
      <c r="Z18" t="s">
        <v>26</v>
      </c>
      <c r="AA18" t="s">
        <v>26</v>
      </c>
      <c r="AB18" t="s">
        <v>26</v>
      </c>
      <c r="AC18" t="s">
        <v>26</v>
      </c>
      <c r="AD18" t="s">
        <v>26</v>
      </c>
      <c r="AE18" t="s">
        <v>26</v>
      </c>
      <c r="AF18" t="s">
        <v>26</v>
      </c>
      <c r="AG18">
        <v>8</v>
      </c>
      <c r="AH18" t="s">
        <v>26</v>
      </c>
      <c r="AI18">
        <v>4</v>
      </c>
      <c r="AJ18">
        <v>3.5</v>
      </c>
      <c r="AK18">
        <v>2.5</v>
      </c>
      <c r="AL18">
        <v>5.5</v>
      </c>
      <c r="AM18" t="s">
        <v>26</v>
      </c>
      <c r="AN18">
        <v>5.5</v>
      </c>
      <c r="AO18">
        <v>5.5</v>
      </c>
      <c r="AP18" t="s">
        <v>26</v>
      </c>
      <c r="AQ18" t="s">
        <v>26</v>
      </c>
      <c r="AR18" t="s">
        <v>26</v>
      </c>
      <c r="AS18" t="s">
        <v>26</v>
      </c>
      <c r="AT18" t="s">
        <v>26</v>
      </c>
      <c r="AU18" t="s">
        <v>26</v>
      </c>
      <c r="AV18" t="s">
        <v>26</v>
      </c>
      <c r="AW18">
        <v>5</v>
      </c>
      <c r="AX18">
        <v>5</v>
      </c>
      <c r="AY18">
        <v>5</v>
      </c>
      <c r="AZ18">
        <v>5</v>
      </c>
      <c r="BA18" t="s">
        <v>26</v>
      </c>
      <c r="BB18">
        <v>6.5</v>
      </c>
      <c r="BC18">
        <v>2</v>
      </c>
      <c r="BD18" t="s">
        <v>26</v>
      </c>
      <c r="BE18">
        <v>4</v>
      </c>
      <c r="BF18">
        <v>5.5</v>
      </c>
      <c r="BG18">
        <v>3.5</v>
      </c>
      <c r="BH18">
        <v>4</v>
      </c>
      <c r="BI18">
        <v>5.5</v>
      </c>
      <c r="BJ18">
        <v>5</v>
      </c>
      <c r="BK18">
        <v>5.5</v>
      </c>
      <c r="BL18">
        <v>5</v>
      </c>
      <c r="BM18" t="s">
        <v>26</v>
      </c>
      <c r="BN18" t="s">
        <v>26</v>
      </c>
      <c r="BO18">
        <v>4</v>
      </c>
      <c r="BP18">
        <v>5.5</v>
      </c>
      <c r="BQ18">
        <v>5</v>
      </c>
      <c r="BR18" t="s">
        <v>26</v>
      </c>
      <c r="BS18">
        <v>5</v>
      </c>
      <c r="BT18">
        <v>5</v>
      </c>
      <c r="BU18" t="s">
        <v>26</v>
      </c>
      <c r="BV18">
        <v>4</v>
      </c>
      <c r="BW18" t="s">
        <v>26</v>
      </c>
      <c r="BX18">
        <v>5.5</v>
      </c>
      <c r="BY18" t="s">
        <v>26</v>
      </c>
      <c r="BZ18" t="s">
        <v>26</v>
      </c>
      <c r="CA18" t="s">
        <v>26</v>
      </c>
      <c r="CB18">
        <v>5.5</v>
      </c>
      <c r="CC18">
        <v>5.5</v>
      </c>
      <c r="CD18">
        <v>4.5</v>
      </c>
      <c r="CE18">
        <v>5.5</v>
      </c>
      <c r="CG18">
        <v>6</v>
      </c>
      <c r="CH18">
        <v>6.5</v>
      </c>
      <c r="CI18">
        <v>5.5</v>
      </c>
      <c r="CJ18">
        <v>4.5</v>
      </c>
      <c r="CK18">
        <v>5.5</v>
      </c>
      <c r="CL18">
        <v>6</v>
      </c>
      <c r="CW18">
        <f>COUNT(B18:CL18)</f>
        <v>44</v>
      </c>
      <c r="CX18" s="18">
        <f>AVERAGE(B18:CL18)</f>
        <v>5.0113636363636367</v>
      </c>
      <c r="CY18">
        <f t="shared" si="0"/>
        <v>1.0645089158214895</v>
      </c>
      <c r="CZ18">
        <v>0</v>
      </c>
      <c r="DA18">
        <f t="shared" si="1"/>
        <v>0</v>
      </c>
      <c r="DB18">
        <f t="shared" si="2"/>
        <v>0</v>
      </c>
    </row>
    <row r="19" spans="1:106" x14ac:dyDescent="0.35">
      <c r="A19" t="s">
        <v>55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>
        <v>5.5</v>
      </c>
      <c r="P19" t="s">
        <v>26</v>
      </c>
      <c r="Q19">
        <v>3.5</v>
      </c>
      <c r="R19" t="s">
        <v>26</v>
      </c>
      <c r="S19" t="s">
        <v>26</v>
      </c>
      <c r="T19">
        <v>7</v>
      </c>
      <c r="U19">
        <v>7</v>
      </c>
      <c r="V19">
        <v>5.5</v>
      </c>
      <c r="W19">
        <v>5.5</v>
      </c>
      <c r="X19">
        <v>5.5</v>
      </c>
      <c r="Y19">
        <v>8</v>
      </c>
      <c r="Z19">
        <v>5.5</v>
      </c>
      <c r="AA19">
        <v>5.5</v>
      </c>
      <c r="AB19" t="s">
        <v>26</v>
      </c>
      <c r="AC19">
        <v>5.5</v>
      </c>
      <c r="AD19">
        <v>7</v>
      </c>
      <c r="AE19" t="s">
        <v>26</v>
      </c>
      <c r="AF19">
        <v>8.5</v>
      </c>
      <c r="AG19">
        <v>8.5</v>
      </c>
      <c r="AH19" t="s">
        <v>26</v>
      </c>
      <c r="AI19" t="s">
        <v>26</v>
      </c>
      <c r="AJ19" t="s">
        <v>26</v>
      </c>
      <c r="AK19" t="s">
        <v>26</v>
      </c>
      <c r="AL19" t="s">
        <v>26</v>
      </c>
      <c r="AM19" t="s">
        <v>26</v>
      </c>
      <c r="AN19" t="s">
        <v>26</v>
      </c>
      <c r="AO19" t="s">
        <v>26</v>
      </c>
      <c r="AP19" t="s">
        <v>26</v>
      </c>
      <c r="AQ19">
        <v>8.5</v>
      </c>
      <c r="AR19">
        <v>8</v>
      </c>
      <c r="AS19">
        <v>5.5</v>
      </c>
      <c r="AT19">
        <v>5.5</v>
      </c>
      <c r="AU19">
        <v>5.5</v>
      </c>
      <c r="AV19">
        <v>5.5</v>
      </c>
      <c r="AW19">
        <v>5.5</v>
      </c>
      <c r="AX19" t="s">
        <v>26</v>
      </c>
      <c r="AY19" t="s">
        <v>26</v>
      </c>
      <c r="AZ19">
        <v>6.5</v>
      </c>
      <c r="BA19" t="s">
        <v>26</v>
      </c>
      <c r="BB19" t="s">
        <v>26</v>
      </c>
      <c r="BC19">
        <v>5</v>
      </c>
      <c r="BD19" t="s">
        <v>26</v>
      </c>
      <c r="BE19">
        <v>6.5</v>
      </c>
      <c r="BF19">
        <v>6.5</v>
      </c>
      <c r="BG19" t="s">
        <v>26</v>
      </c>
      <c r="BH19">
        <v>6.5</v>
      </c>
      <c r="BI19" t="s">
        <v>26</v>
      </c>
      <c r="BJ19">
        <v>5.5</v>
      </c>
      <c r="BK19" t="s">
        <v>26</v>
      </c>
      <c r="BL19" t="s">
        <v>26</v>
      </c>
      <c r="BM19">
        <v>5.5</v>
      </c>
      <c r="BN19">
        <v>5</v>
      </c>
      <c r="BO19">
        <v>6.5</v>
      </c>
      <c r="BP19" t="s">
        <v>26</v>
      </c>
      <c r="BQ19">
        <v>5.5</v>
      </c>
      <c r="BR19">
        <v>7</v>
      </c>
      <c r="BS19">
        <v>6.5</v>
      </c>
      <c r="BT19">
        <v>6.5</v>
      </c>
      <c r="BU19">
        <v>5.5</v>
      </c>
      <c r="BV19" t="s">
        <v>26</v>
      </c>
      <c r="BW19" t="s">
        <v>26</v>
      </c>
      <c r="BX19">
        <v>5.5</v>
      </c>
      <c r="BY19" t="s">
        <v>26</v>
      </c>
      <c r="BZ19">
        <v>5.5</v>
      </c>
      <c r="CA19">
        <v>6.5</v>
      </c>
      <c r="CB19" t="s">
        <v>26</v>
      </c>
      <c r="CK19">
        <v>5.5</v>
      </c>
      <c r="CW19">
        <f>COUNT(B19:CI19)</f>
        <v>38</v>
      </c>
      <c r="CX19" s="18">
        <f>AVERAGE(B19:CI19)</f>
        <v>6.1578947368421053</v>
      </c>
      <c r="CY19">
        <f t="shared" si="0"/>
        <v>1.0973263770680928</v>
      </c>
      <c r="CZ19">
        <v>0</v>
      </c>
      <c r="DA19">
        <f t="shared" si="1"/>
        <v>0</v>
      </c>
      <c r="DB19">
        <f t="shared" si="2"/>
        <v>0</v>
      </c>
    </row>
    <row r="20" spans="1:106" x14ac:dyDescent="0.35">
      <c r="A20" t="s">
        <v>46</v>
      </c>
      <c r="B20" t="s">
        <v>26</v>
      </c>
      <c r="C20" t="s">
        <v>26</v>
      </c>
      <c r="D20" t="s">
        <v>26</v>
      </c>
      <c r="E20" t="s">
        <v>26</v>
      </c>
      <c r="F20" t="s">
        <v>26</v>
      </c>
      <c r="G20" t="s">
        <v>26</v>
      </c>
      <c r="H20">
        <v>5.5</v>
      </c>
      <c r="I20">
        <v>5</v>
      </c>
      <c r="J20">
        <v>5</v>
      </c>
      <c r="K20">
        <v>3</v>
      </c>
      <c r="L20" t="s">
        <v>26</v>
      </c>
      <c r="M20">
        <v>3</v>
      </c>
      <c r="N20">
        <v>3.5</v>
      </c>
      <c r="O20">
        <v>8</v>
      </c>
      <c r="P20">
        <v>7</v>
      </c>
      <c r="Q20">
        <v>3.5</v>
      </c>
      <c r="R20" t="s">
        <v>26</v>
      </c>
      <c r="S20" t="s">
        <v>26</v>
      </c>
      <c r="T20" t="s">
        <v>26</v>
      </c>
      <c r="U20">
        <v>5</v>
      </c>
      <c r="V20" t="s">
        <v>26</v>
      </c>
      <c r="W20" t="s">
        <v>26</v>
      </c>
      <c r="X20" t="s">
        <v>26</v>
      </c>
      <c r="Y20" t="s">
        <v>26</v>
      </c>
      <c r="Z20" t="s">
        <v>26</v>
      </c>
      <c r="AA20" t="s">
        <v>26</v>
      </c>
      <c r="AB20" t="s">
        <v>26</v>
      </c>
      <c r="AC20" t="s">
        <v>26</v>
      </c>
      <c r="AD20" t="s">
        <v>26</v>
      </c>
      <c r="AE20" t="s">
        <v>26</v>
      </c>
      <c r="AF20" t="s">
        <v>26</v>
      </c>
      <c r="AG20" t="s">
        <v>26</v>
      </c>
      <c r="AH20">
        <v>5.5</v>
      </c>
      <c r="AI20">
        <v>6.5</v>
      </c>
      <c r="AJ20">
        <v>3.5</v>
      </c>
      <c r="AK20" t="s">
        <v>26</v>
      </c>
      <c r="AL20" t="s">
        <v>26</v>
      </c>
      <c r="AM20" t="s">
        <v>26</v>
      </c>
      <c r="AN20" t="s">
        <v>26</v>
      </c>
      <c r="AO20" t="s">
        <v>26</v>
      </c>
      <c r="AP20" t="s">
        <v>26</v>
      </c>
      <c r="AQ20" t="s">
        <v>26</v>
      </c>
      <c r="AR20" t="s">
        <v>26</v>
      </c>
      <c r="AS20" t="s">
        <v>26</v>
      </c>
      <c r="AT20" t="s">
        <v>26</v>
      </c>
      <c r="AU20" t="s">
        <v>26</v>
      </c>
      <c r="AV20" t="s">
        <v>26</v>
      </c>
      <c r="AW20" t="s">
        <v>26</v>
      </c>
      <c r="AX20" t="s">
        <v>26</v>
      </c>
      <c r="AY20" t="s">
        <v>26</v>
      </c>
      <c r="AZ20" t="s">
        <v>26</v>
      </c>
      <c r="BA20" t="s">
        <v>26</v>
      </c>
      <c r="BB20" t="s">
        <v>26</v>
      </c>
      <c r="BC20" t="s">
        <v>26</v>
      </c>
      <c r="BD20" t="s">
        <v>26</v>
      </c>
      <c r="BE20" t="s">
        <v>26</v>
      </c>
      <c r="BF20">
        <v>3.5</v>
      </c>
      <c r="BG20">
        <v>5</v>
      </c>
      <c r="BH20">
        <v>4</v>
      </c>
      <c r="BI20">
        <v>5.5</v>
      </c>
      <c r="BJ20">
        <v>3.5</v>
      </c>
      <c r="BK20">
        <v>4</v>
      </c>
      <c r="BL20">
        <v>5.5</v>
      </c>
      <c r="BM20" t="s">
        <v>26</v>
      </c>
      <c r="BN20" t="s">
        <v>26</v>
      </c>
      <c r="BO20">
        <v>5.5</v>
      </c>
      <c r="BP20" t="s">
        <v>26</v>
      </c>
      <c r="BQ20">
        <v>8.5</v>
      </c>
      <c r="BR20">
        <v>5</v>
      </c>
      <c r="BS20" t="s">
        <v>26</v>
      </c>
      <c r="BT20">
        <v>5.5</v>
      </c>
      <c r="BU20">
        <v>6.5</v>
      </c>
      <c r="BV20">
        <v>5</v>
      </c>
      <c r="BW20" t="s">
        <v>26</v>
      </c>
      <c r="BX20">
        <v>5.5</v>
      </c>
      <c r="BY20">
        <v>5.5</v>
      </c>
      <c r="BZ20" t="s">
        <v>26</v>
      </c>
      <c r="CA20">
        <v>5.5</v>
      </c>
      <c r="CB20">
        <v>5.5</v>
      </c>
      <c r="CC20">
        <v>4</v>
      </c>
      <c r="CD20">
        <v>6.5</v>
      </c>
      <c r="CE20">
        <v>6</v>
      </c>
      <c r="CF20">
        <v>6</v>
      </c>
      <c r="CH20">
        <v>5.5</v>
      </c>
      <c r="CI20">
        <v>6</v>
      </c>
      <c r="CJ20">
        <v>5.5</v>
      </c>
      <c r="CM20">
        <v>5.5</v>
      </c>
      <c r="CS20">
        <v>6</v>
      </c>
      <c r="CT20">
        <v>5.5</v>
      </c>
      <c r="CU20">
        <v>5.5</v>
      </c>
      <c r="CW20">
        <f>COUNT(B20:CJ20)</f>
        <v>37</v>
      </c>
      <c r="CX20" s="18">
        <f>AVERAGE(B20:CJ20)</f>
        <v>5.2027027027027026</v>
      </c>
      <c r="CY20">
        <f t="shared" si="0"/>
        <v>1.3241383031954423</v>
      </c>
      <c r="CZ20">
        <v>0</v>
      </c>
      <c r="DA20">
        <f t="shared" si="1"/>
        <v>1</v>
      </c>
      <c r="DB20">
        <f t="shared" si="2"/>
        <v>1</v>
      </c>
    </row>
    <row r="21" spans="1:106" x14ac:dyDescent="0.35">
      <c r="A21" t="s">
        <v>84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 t="s">
        <v>26</v>
      </c>
      <c r="I21" t="s">
        <v>26</v>
      </c>
      <c r="J21" t="s">
        <v>26</v>
      </c>
      <c r="K21" t="s">
        <v>26</v>
      </c>
      <c r="L21" t="s">
        <v>26</v>
      </c>
      <c r="M21" t="s">
        <v>26</v>
      </c>
      <c r="N21" t="s">
        <v>26</v>
      </c>
      <c r="O21" t="s">
        <v>26</v>
      </c>
      <c r="P21" t="s">
        <v>26</v>
      </c>
      <c r="Q21" t="s">
        <v>26</v>
      </c>
      <c r="R21" t="s">
        <v>26</v>
      </c>
      <c r="S21" t="s">
        <v>26</v>
      </c>
      <c r="T21" t="s">
        <v>26</v>
      </c>
      <c r="U21" t="s">
        <v>26</v>
      </c>
      <c r="V21" t="s">
        <v>26</v>
      </c>
      <c r="W21" t="s">
        <v>26</v>
      </c>
      <c r="X21" t="s">
        <v>26</v>
      </c>
      <c r="Y21" t="s">
        <v>26</v>
      </c>
      <c r="Z21" t="s">
        <v>26</v>
      </c>
      <c r="AA21" t="s">
        <v>26</v>
      </c>
      <c r="AB21">
        <v>3.5</v>
      </c>
      <c r="AC21">
        <v>5.5</v>
      </c>
      <c r="AD21" t="s">
        <v>26</v>
      </c>
      <c r="AE21">
        <v>8</v>
      </c>
      <c r="AF21">
        <v>7</v>
      </c>
      <c r="AG21">
        <v>8</v>
      </c>
      <c r="AH21">
        <v>5.5</v>
      </c>
      <c r="AI21">
        <v>6.5</v>
      </c>
      <c r="AJ21" t="s">
        <v>26</v>
      </c>
      <c r="AK21" t="s">
        <v>26</v>
      </c>
      <c r="AL21">
        <v>5.5</v>
      </c>
      <c r="AM21" t="s">
        <v>26</v>
      </c>
      <c r="AN21" t="s">
        <v>26</v>
      </c>
      <c r="AO21">
        <v>6.5</v>
      </c>
      <c r="AP21">
        <v>7</v>
      </c>
      <c r="AQ21">
        <v>6.5</v>
      </c>
      <c r="AR21" t="s">
        <v>26</v>
      </c>
      <c r="AS21" t="s">
        <v>26</v>
      </c>
      <c r="AT21">
        <v>5</v>
      </c>
      <c r="AU21">
        <v>5.5</v>
      </c>
      <c r="AV21">
        <v>5.5</v>
      </c>
      <c r="AW21">
        <v>5</v>
      </c>
      <c r="AX21">
        <v>5.5</v>
      </c>
      <c r="AY21" t="s">
        <v>26</v>
      </c>
      <c r="AZ21">
        <v>5.5</v>
      </c>
      <c r="BA21">
        <v>6.5</v>
      </c>
      <c r="BB21">
        <v>6.5</v>
      </c>
      <c r="BC21">
        <v>4</v>
      </c>
      <c r="BD21">
        <v>5</v>
      </c>
      <c r="BE21">
        <v>5</v>
      </c>
      <c r="BF21">
        <v>5</v>
      </c>
      <c r="BG21">
        <v>5.5</v>
      </c>
      <c r="BH21" t="s">
        <v>26</v>
      </c>
      <c r="BI21">
        <v>5</v>
      </c>
      <c r="BJ21" t="s">
        <v>26</v>
      </c>
      <c r="BK21" t="s">
        <v>26</v>
      </c>
      <c r="BL21">
        <v>5.5</v>
      </c>
      <c r="BM21">
        <v>5.5</v>
      </c>
      <c r="BN21">
        <v>6.5</v>
      </c>
      <c r="BO21">
        <v>5.5</v>
      </c>
      <c r="BP21" t="s">
        <v>26</v>
      </c>
      <c r="BQ21">
        <v>5.5</v>
      </c>
      <c r="BR21">
        <v>5</v>
      </c>
      <c r="BS21" t="s">
        <v>26</v>
      </c>
      <c r="BT21" t="s">
        <v>26</v>
      </c>
      <c r="BU21" t="s">
        <v>26</v>
      </c>
      <c r="BV21" t="s">
        <v>26</v>
      </c>
      <c r="BW21">
        <v>5.5</v>
      </c>
      <c r="BX21" t="s">
        <v>26</v>
      </c>
      <c r="BY21" t="s">
        <v>26</v>
      </c>
      <c r="BZ21" t="s">
        <v>26</v>
      </c>
      <c r="CA21">
        <v>5.5</v>
      </c>
      <c r="CB21">
        <v>6.5</v>
      </c>
      <c r="CC21">
        <v>6</v>
      </c>
      <c r="CD21">
        <v>5.5</v>
      </c>
      <c r="CJ21">
        <v>6</v>
      </c>
      <c r="CK21">
        <v>6.5</v>
      </c>
      <c r="CN21">
        <v>5.5</v>
      </c>
      <c r="CO21">
        <v>5.5</v>
      </c>
      <c r="CR21">
        <v>5.5</v>
      </c>
      <c r="CT21">
        <v>6</v>
      </c>
      <c r="CU21">
        <v>5.5</v>
      </c>
      <c r="CW21">
        <f>COUNT(B21:CI21)</f>
        <v>36</v>
      </c>
      <c r="CX21" s="18">
        <f>AVERAGE(B21:CI21)</f>
        <v>5.7361111111111107</v>
      </c>
      <c r="CY21">
        <f t="shared" si="0"/>
        <v>0.92956296268047622</v>
      </c>
      <c r="CZ21">
        <v>1</v>
      </c>
      <c r="DA21">
        <f t="shared" si="1"/>
        <v>2</v>
      </c>
      <c r="DB21">
        <f t="shared" si="2"/>
        <v>0</v>
      </c>
    </row>
    <row r="22" spans="1:106" x14ac:dyDescent="0.35">
      <c r="A22" t="s">
        <v>15</v>
      </c>
      <c r="B22">
        <v>7</v>
      </c>
      <c r="C22">
        <v>5</v>
      </c>
      <c r="D22" t="s">
        <v>26</v>
      </c>
      <c r="E22" t="s">
        <v>26</v>
      </c>
      <c r="F22" t="s">
        <v>26</v>
      </c>
      <c r="G22">
        <v>5.5</v>
      </c>
      <c r="H22">
        <v>3.5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 t="s">
        <v>26</v>
      </c>
      <c r="P22">
        <v>5.5</v>
      </c>
      <c r="Q22">
        <v>5</v>
      </c>
      <c r="R22">
        <v>7</v>
      </c>
      <c r="S22">
        <v>5.5</v>
      </c>
      <c r="T22">
        <v>5.5</v>
      </c>
      <c r="U22">
        <v>7</v>
      </c>
      <c r="V22">
        <v>5</v>
      </c>
      <c r="W22">
        <v>5.5</v>
      </c>
      <c r="X22">
        <v>5</v>
      </c>
      <c r="Y22">
        <v>7</v>
      </c>
      <c r="Z22" t="s">
        <v>26</v>
      </c>
      <c r="AA22">
        <v>7</v>
      </c>
      <c r="AB22">
        <v>5.5</v>
      </c>
      <c r="AC22" t="s">
        <v>26</v>
      </c>
      <c r="AD22">
        <v>5.5</v>
      </c>
      <c r="AE22" t="s">
        <v>26</v>
      </c>
      <c r="AF22" t="s">
        <v>26</v>
      </c>
      <c r="AG22" t="s">
        <v>26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 t="s">
        <v>26</v>
      </c>
      <c r="AR22" t="s">
        <v>26</v>
      </c>
      <c r="AS22" t="s">
        <v>26</v>
      </c>
      <c r="AT22" t="s">
        <v>26</v>
      </c>
      <c r="AU22" t="s">
        <v>26</v>
      </c>
      <c r="AV22" t="s">
        <v>26</v>
      </c>
      <c r="AW22" t="s">
        <v>26</v>
      </c>
      <c r="AX22" t="s">
        <v>26</v>
      </c>
      <c r="AY22" t="s">
        <v>26</v>
      </c>
      <c r="AZ22" t="s">
        <v>26</v>
      </c>
      <c r="BA22" t="s">
        <v>26</v>
      </c>
      <c r="BB22">
        <v>3.5</v>
      </c>
      <c r="BC22">
        <v>4</v>
      </c>
      <c r="BD22">
        <v>5.5</v>
      </c>
      <c r="BE22">
        <v>8.5</v>
      </c>
      <c r="BF22" t="s">
        <v>26</v>
      </c>
      <c r="BG22" t="s">
        <v>26</v>
      </c>
      <c r="BH22">
        <v>5.5</v>
      </c>
      <c r="BI22" t="s">
        <v>26</v>
      </c>
      <c r="BJ22">
        <v>5</v>
      </c>
      <c r="BK22">
        <v>6.5</v>
      </c>
      <c r="BL22">
        <v>5.5</v>
      </c>
      <c r="BM22">
        <v>5.5</v>
      </c>
      <c r="BN22">
        <v>6.5</v>
      </c>
      <c r="BO22" t="s">
        <v>26</v>
      </c>
      <c r="BP22" t="s">
        <v>26</v>
      </c>
      <c r="BQ22" t="s">
        <v>26</v>
      </c>
      <c r="BR22">
        <v>5.5</v>
      </c>
      <c r="BS22">
        <v>5.5</v>
      </c>
      <c r="BT22" t="s">
        <v>26</v>
      </c>
      <c r="BU22" t="s">
        <v>26</v>
      </c>
      <c r="BV22" t="s">
        <v>26</v>
      </c>
      <c r="BW22">
        <v>6.5</v>
      </c>
      <c r="BX22">
        <v>5.5</v>
      </c>
      <c r="BY22">
        <v>5.5</v>
      </c>
      <c r="BZ22" t="s">
        <v>26</v>
      </c>
      <c r="CA22">
        <v>5</v>
      </c>
      <c r="CB22">
        <v>5.5</v>
      </c>
      <c r="CC22">
        <v>5</v>
      </c>
      <c r="CI22">
        <v>5</v>
      </c>
      <c r="CJ22">
        <v>6</v>
      </c>
      <c r="CK22">
        <v>6</v>
      </c>
      <c r="CL22">
        <v>6</v>
      </c>
      <c r="CM22">
        <v>6.5</v>
      </c>
      <c r="CN22">
        <v>6.5</v>
      </c>
      <c r="CO22">
        <v>6</v>
      </c>
      <c r="CP22">
        <v>5.5</v>
      </c>
      <c r="CQ22">
        <v>6.5</v>
      </c>
      <c r="CR22">
        <v>5.5</v>
      </c>
      <c r="CS22">
        <v>5.5</v>
      </c>
      <c r="CT22">
        <v>6</v>
      </c>
      <c r="CU22">
        <v>6.5</v>
      </c>
      <c r="CW22">
        <f>COUNT(B22:CI22)</f>
        <v>36</v>
      </c>
      <c r="CX22" s="18">
        <f>AVERAGE(B22:CI22)</f>
        <v>5.6111111111111107</v>
      </c>
      <c r="CY22">
        <f t="shared" si="0"/>
        <v>1.0098256776095882</v>
      </c>
      <c r="CZ22">
        <v>1</v>
      </c>
      <c r="DA22">
        <f t="shared" si="1"/>
        <v>5</v>
      </c>
      <c r="DB22">
        <f t="shared" si="2"/>
        <v>0</v>
      </c>
    </row>
    <row r="23" spans="1:106" x14ac:dyDescent="0.35">
      <c r="A23" t="s">
        <v>48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>
        <v>7</v>
      </c>
      <c r="J23" t="s">
        <v>26</v>
      </c>
      <c r="K23">
        <v>7</v>
      </c>
      <c r="L23">
        <v>8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>
        <v>7</v>
      </c>
      <c r="S23" t="s">
        <v>26</v>
      </c>
      <c r="T23" t="s">
        <v>26</v>
      </c>
      <c r="U23">
        <v>7</v>
      </c>
      <c r="V23" t="s">
        <v>26</v>
      </c>
      <c r="W23" t="s">
        <v>26</v>
      </c>
      <c r="X23" t="s">
        <v>26</v>
      </c>
      <c r="Y23" t="s">
        <v>26</v>
      </c>
      <c r="Z23" t="s">
        <v>26</v>
      </c>
      <c r="AA23" t="s">
        <v>26</v>
      </c>
      <c r="AB23" t="s">
        <v>26</v>
      </c>
      <c r="AC23" t="s">
        <v>26</v>
      </c>
      <c r="AD23">
        <v>5.5</v>
      </c>
      <c r="AE23" t="s">
        <v>26</v>
      </c>
      <c r="AF23" t="s">
        <v>26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 t="s">
        <v>26</v>
      </c>
      <c r="AN23" t="s">
        <v>26</v>
      </c>
      <c r="AO23" t="s">
        <v>26</v>
      </c>
      <c r="AP23" t="s">
        <v>26</v>
      </c>
      <c r="AQ23" t="s">
        <v>26</v>
      </c>
      <c r="AR23" t="s">
        <v>26</v>
      </c>
      <c r="AS23">
        <v>5.5</v>
      </c>
      <c r="AT23">
        <v>5.5</v>
      </c>
      <c r="AU23" t="s">
        <v>26</v>
      </c>
      <c r="AV23" t="s">
        <v>26</v>
      </c>
      <c r="AW23" t="s">
        <v>26</v>
      </c>
      <c r="AX23">
        <v>7</v>
      </c>
      <c r="AY23">
        <v>5</v>
      </c>
      <c r="AZ23" t="s">
        <v>26</v>
      </c>
      <c r="BA23" t="s">
        <v>26</v>
      </c>
      <c r="BB23">
        <v>5.5</v>
      </c>
      <c r="BC23" t="s">
        <v>26</v>
      </c>
      <c r="BD23">
        <v>6.5</v>
      </c>
      <c r="BE23" t="s">
        <v>26</v>
      </c>
      <c r="BF23" t="s">
        <v>26</v>
      </c>
      <c r="BG23" t="s">
        <v>26</v>
      </c>
      <c r="BH23" t="s">
        <v>26</v>
      </c>
      <c r="BI23">
        <v>5</v>
      </c>
      <c r="BJ23">
        <v>6.5</v>
      </c>
      <c r="BK23" t="s">
        <v>26</v>
      </c>
      <c r="BL23" t="s">
        <v>26</v>
      </c>
      <c r="BM23" t="s">
        <v>26</v>
      </c>
      <c r="BN23">
        <v>5.5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5.5</v>
      </c>
      <c r="BU23">
        <v>8</v>
      </c>
      <c r="BV23">
        <v>5.5</v>
      </c>
      <c r="BW23" t="s">
        <v>26</v>
      </c>
      <c r="BX23" t="s">
        <v>26</v>
      </c>
      <c r="BY23" t="s">
        <v>26</v>
      </c>
      <c r="BZ23">
        <v>5.5</v>
      </c>
      <c r="CA23" t="s">
        <v>26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T23">
        <v>6.5</v>
      </c>
      <c r="CW23">
        <f>COUNT(B23:CN23)</f>
        <v>30</v>
      </c>
      <c r="CX23" s="18">
        <f>AVERAGE(B23:CN23)</f>
        <v>6.4</v>
      </c>
      <c r="CY23">
        <f t="shared" si="0"/>
        <v>0.90960483309014595</v>
      </c>
      <c r="CZ23">
        <v>0</v>
      </c>
      <c r="DA23">
        <f t="shared" si="1"/>
        <v>0</v>
      </c>
      <c r="DB23">
        <f t="shared" si="2"/>
        <v>0</v>
      </c>
    </row>
    <row r="24" spans="1:106" x14ac:dyDescent="0.35">
      <c r="A24" t="s">
        <v>66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 t="s">
        <v>26</v>
      </c>
      <c r="J24" t="s">
        <v>26</v>
      </c>
      <c r="K24" t="s">
        <v>26</v>
      </c>
      <c r="L24" t="s">
        <v>26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  <c r="U24" t="s">
        <v>26</v>
      </c>
      <c r="V24">
        <v>5.5</v>
      </c>
      <c r="W24">
        <v>5.5</v>
      </c>
      <c r="X24" t="s">
        <v>26</v>
      </c>
      <c r="Y24">
        <v>5.5</v>
      </c>
      <c r="Z24" t="s">
        <v>26</v>
      </c>
      <c r="AA24" t="s">
        <v>26</v>
      </c>
      <c r="AB24">
        <v>7</v>
      </c>
      <c r="AC24">
        <v>5.5</v>
      </c>
      <c r="AD24" t="s">
        <v>26</v>
      </c>
      <c r="AE24">
        <v>7</v>
      </c>
      <c r="AF24">
        <v>5.5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>
        <v>5</v>
      </c>
      <c r="AN24" t="s">
        <v>26</v>
      </c>
      <c r="AO24" t="s">
        <v>26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26</v>
      </c>
      <c r="BD24" t="s">
        <v>26</v>
      </c>
      <c r="BE24" t="s">
        <v>26</v>
      </c>
      <c r="BF24" t="s">
        <v>26</v>
      </c>
      <c r="BG24" t="s">
        <v>26</v>
      </c>
      <c r="BH24" t="s">
        <v>26</v>
      </c>
      <c r="BI24" t="s">
        <v>26</v>
      </c>
      <c r="BJ24" t="s">
        <v>26</v>
      </c>
      <c r="BK24" t="s">
        <v>26</v>
      </c>
      <c r="BL24" t="s">
        <v>26</v>
      </c>
      <c r="BM24" t="s">
        <v>26</v>
      </c>
      <c r="BN24" t="s">
        <v>26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6.5</v>
      </c>
      <c r="BU24" t="s">
        <v>26</v>
      </c>
      <c r="BV24" t="s">
        <v>26</v>
      </c>
      <c r="BW24" t="s">
        <v>26</v>
      </c>
      <c r="BX24" t="s">
        <v>26</v>
      </c>
      <c r="BY24" t="s">
        <v>26</v>
      </c>
      <c r="BZ24">
        <v>4</v>
      </c>
      <c r="CA24" t="s">
        <v>26</v>
      </c>
      <c r="CB24" t="s">
        <v>26</v>
      </c>
      <c r="CD24">
        <v>6</v>
      </c>
      <c r="CI24">
        <v>5</v>
      </c>
      <c r="CN24">
        <v>6</v>
      </c>
      <c r="CR24">
        <v>6</v>
      </c>
      <c r="CU24">
        <v>6</v>
      </c>
      <c r="CW24">
        <f>COUNT(B24:CI24)</f>
        <v>25</v>
      </c>
      <c r="CX24" s="18">
        <f>AVERAGE(B24:CI24)</f>
        <v>5.4</v>
      </c>
      <c r="CY24">
        <f t="shared" si="0"/>
        <v>0.71728150235677346</v>
      </c>
      <c r="CZ24">
        <v>0</v>
      </c>
      <c r="DA24">
        <f t="shared" si="1"/>
        <v>1</v>
      </c>
      <c r="DB24">
        <f t="shared" si="2"/>
        <v>1</v>
      </c>
    </row>
    <row r="25" spans="1:106" x14ac:dyDescent="0.35">
      <c r="A25" t="s">
        <v>3</v>
      </c>
      <c r="B25">
        <v>8</v>
      </c>
      <c r="C25">
        <v>5.5</v>
      </c>
      <c r="D25">
        <v>8</v>
      </c>
      <c r="E25">
        <v>3</v>
      </c>
      <c r="F25">
        <v>5.5</v>
      </c>
      <c r="G25">
        <v>5</v>
      </c>
      <c r="H25">
        <v>3.5</v>
      </c>
      <c r="I25">
        <v>5</v>
      </c>
      <c r="J25">
        <v>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5.5</v>
      </c>
      <c r="Q25">
        <v>5.5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5.5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8</v>
      </c>
      <c r="AF25" t="s">
        <v>26</v>
      </c>
      <c r="AG25" t="s">
        <v>26</v>
      </c>
      <c r="AH25" t="s">
        <v>26</v>
      </c>
      <c r="AI25">
        <v>5.5</v>
      </c>
      <c r="AJ25" t="s">
        <v>26</v>
      </c>
      <c r="AK25" t="s">
        <v>26</v>
      </c>
      <c r="AL25">
        <v>6.5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 t="s">
        <v>26</v>
      </c>
      <c r="AS25" t="s">
        <v>26</v>
      </c>
      <c r="AT25" t="s">
        <v>26</v>
      </c>
      <c r="AU25">
        <v>5.5</v>
      </c>
      <c r="AV25" t="s">
        <v>26</v>
      </c>
      <c r="AW25" t="s">
        <v>26</v>
      </c>
      <c r="AX25" t="s">
        <v>26</v>
      </c>
      <c r="AY25" t="s">
        <v>26</v>
      </c>
      <c r="AZ25" t="s">
        <v>26</v>
      </c>
      <c r="BA25">
        <v>5.5</v>
      </c>
      <c r="BB25" t="s">
        <v>26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 t="s">
        <v>26</v>
      </c>
      <c r="BL25" t="s">
        <v>26</v>
      </c>
      <c r="BM25" t="s">
        <v>26</v>
      </c>
      <c r="BN25" t="s">
        <v>26</v>
      </c>
      <c r="BO25" t="s">
        <v>26</v>
      </c>
      <c r="BP25" t="s">
        <v>26</v>
      </c>
      <c r="BQ25" t="s">
        <v>26</v>
      </c>
      <c r="BR25" t="s">
        <v>26</v>
      </c>
      <c r="BS25" t="s">
        <v>26</v>
      </c>
      <c r="BT25" t="s">
        <v>26</v>
      </c>
      <c r="BU25" t="s">
        <v>26</v>
      </c>
      <c r="BV25" t="s">
        <v>26</v>
      </c>
      <c r="BW25" t="s">
        <v>26</v>
      </c>
      <c r="BX25" t="s">
        <v>26</v>
      </c>
      <c r="BY25" t="s">
        <v>26</v>
      </c>
      <c r="BZ25" t="s">
        <v>26</v>
      </c>
      <c r="CA25" t="s">
        <v>26</v>
      </c>
      <c r="CB25" t="s">
        <v>26</v>
      </c>
      <c r="CW25">
        <f>COUNT(B25:CI25)</f>
        <v>19</v>
      </c>
      <c r="CX25" s="18">
        <f>AVERAGE(B25:CI25)</f>
        <v>5.7894736842105265</v>
      </c>
      <c r="CY25">
        <f t="shared" si="0"/>
        <v>1.3674366679797902</v>
      </c>
      <c r="CZ25">
        <v>0</v>
      </c>
      <c r="DA25">
        <f t="shared" si="1"/>
        <v>0</v>
      </c>
      <c r="DB25">
        <f t="shared" si="2"/>
        <v>0</v>
      </c>
    </row>
    <row r="26" spans="1:106" x14ac:dyDescent="0.35">
      <c r="A26" t="s">
        <v>81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>
        <v>7</v>
      </c>
      <c r="AA26" t="s">
        <v>26</v>
      </c>
      <c r="AB26" t="s">
        <v>26</v>
      </c>
      <c r="AC26" t="s">
        <v>26</v>
      </c>
      <c r="AD26">
        <v>8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 t="s">
        <v>26</v>
      </c>
      <c r="AO26" t="s">
        <v>26</v>
      </c>
      <c r="AP26" t="s">
        <v>26</v>
      </c>
      <c r="AQ26" t="s">
        <v>26</v>
      </c>
      <c r="AR26" t="s">
        <v>26</v>
      </c>
      <c r="AS26">
        <v>5.5</v>
      </c>
      <c r="AT26" t="s">
        <v>26</v>
      </c>
      <c r="AU26" t="s">
        <v>26</v>
      </c>
      <c r="AV26" t="s">
        <v>26</v>
      </c>
      <c r="AW26" t="s">
        <v>26</v>
      </c>
      <c r="AX26" t="s">
        <v>26</v>
      </c>
      <c r="AY26" t="s">
        <v>26</v>
      </c>
      <c r="AZ26" t="s">
        <v>26</v>
      </c>
      <c r="BA26" t="s">
        <v>26</v>
      </c>
      <c r="BB26" t="s">
        <v>26</v>
      </c>
      <c r="BC26" t="s">
        <v>26</v>
      </c>
      <c r="BD26" t="s">
        <v>26</v>
      </c>
      <c r="BE26" t="s">
        <v>26</v>
      </c>
      <c r="BF26" t="s">
        <v>26</v>
      </c>
      <c r="BG26" t="s">
        <v>26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 t="s">
        <v>26</v>
      </c>
      <c r="BW26" t="s">
        <v>26</v>
      </c>
      <c r="BX26" t="s">
        <v>26</v>
      </c>
      <c r="BY26" t="s">
        <v>26</v>
      </c>
      <c r="BZ26">
        <v>6.5</v>
      </c>
      <c r="CA26" t="s">
        <v>26</v>
      </c>
      <c r="CB26" t="s">
        <v>26</v>
      </c>
      <c r="CE26">
        <v>6.5</v>
      </c>
      <c r="CG26">
        <v>6.5</v>
      </c>
      <c r="CH26">
        <v>6</v>
      </c>
      <c r="CI26">
        <v>6</v>
      </c>
      <c r="CJ26">
        <v>6</v>
      </c>
      <c r="CK26">
        <v>6.5</v>
      </c>
      <c r="CL26">
        <v>6.5</v>
      </c>
      <c r="CM26">
        <v>6</v>
      </c>
      <c r="CN26">
        <v>6.5</v>
      </c>
      <c r="CO26">
        <v>6</v>
      </c>
      <c r="CP26">
        <v>6</v>
      </c>
      <c r="CQ26">
        <v>6</v>
      </c>
      <c r="CR26">
        <v>6.5</v>
      </c>
      <c r="CS26">
        <v>5.5</v>
      </c>
      <c r="CT26">
        <v>5</v>
      </c>
      <c r="CW26">
        <f>COUNT(B26:CT26)</f>
        <v>19</v>
      </c>
      <c r="CX26" s="18">
        <f>AVERAGE(B26:CT26)</f>
        <v>6.2368421052631575</v>
      </c>
      <c r="CY26">
        <f t="shared" si="0"/>
        <v>0.90829510622924903</v>
      </c>
      <c r="CZ26">
        <v>1</v>
      </c>
      <c r="DA26">
        <f t="shared" si="1"/>
        <v>5</v>
      </c>
      <c r="DB26">
        <f t="shared" si="2"/>
        <v>0</v>
      </c>
    </row>
    <row r="27" spans="1:106" x14ac:dyDescent="0.35">
      <c r="A27" t="s">
        <v>346</v>
      </c>
      <c r="B27" t="s">
        <v>26</v>
      </c>
      <c r="C27" t="s">
        <v>26</v>
      </c>
      <c r="D27" t="s">
        <v>26</v>
      </c>
      <c r="E27" t="s">
        <v>26</v>
      </c>
      <c r="F27" t="s">
        <v>26</v>
      </c>
      <c r="G27" t="s">
        <v>26</v>
      </c>
      <c r="H27" t="s">
        <v>26</v>
      </c>
      <c r="I27" t="s">
        <v>26</v>
      </c>
      <c r="J27" t="s">
        <v>26</v>
      </c>
      <c r="K27" t="s">
        <v>26</v>
      </c>
      <c r="L27" t="s">
        <v>26</v>
      </c>
      <c r="M27" t="s">
        <v>26</v>
      </c>
      <c r="N27" t="s">
        <v>26</v>
      </c>
      <c r="O27" t="s">
        <v>26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 t="s">
        <v>26</v>
      </c>
      <c r="AB27" t="s">
        <v>26</v>
      </c>
      <c r="AC27" t="s">
        <v>26</v>
      </c>
      <c r="AD27" t="s">
        <v>26</v>
      </c>
      <c r="AE27" t="s">
        <v>26</v>
      </c>
      <c r="AF27" t="s">
        <v>26</v>
      </c>
      <c r="AG27" t="s">
        <v>26</v>
      </c>
      <c r="AH27" t="s">
        <v>26</v>
      </c>
      <c r="AI27" t="s">
        <v>26</v>
      </c>
      <c r="AJ27" t="s">
        <v>26</v>
      </c>
      <c r="AK27" t="s">
        <v>26</v>
      </c>
      <c r="AL27" t="s">
        <v>26</v>
      </c>
      <c r="AM27" t="s">
        <v>26</v>
      </c>
      <c r="AN27">
        <v>6.5</v>
      </c>
      <c r="AO27">
        <v>5.5</v>
      </c>
      <c r="AP27" t="s">
        <v>26</v>
      </c>
      <c r="AQ27">
        <v>7</v>
      </c>
      <c r="AR27" t="s">
        <v>26</v>
      </c>
      <c r="AS27">
        <v>5.5</v>
      </c>
      <c r="AT27">
        <v>5.5</v>
      </c>
      <c r="AU27">
        <v>7</v>
      </c>
      <c r="AV27" t="s">
        <v>26</v>
      </c>
      <c r="AW27">
        <v>5.5</v>
      </c>
      <c r="AX27">
        <v>5</v>
      </c>
      <c r="AY27">
        <v>7</v>
      </c>
      <c r="AZ27">
        <v>6.5</v>
      </c>
      <c r="BA27">
        <v>5.5</v>
      </c>
      <c r="BB27" t="s">
        <v>26</v>
      </c>
      <c r="BC27">
        <v>5</v>
      </c>
      <c r="BD27" t="s">
        <v>26</v>
      </c>
      <c r="BE27">
        <v>5</v>
      </c>
      <c r="BF27">
        <v>6.5</v>
      </c>
      <c r="BG27">
        <v>5.5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>
        <v>5.5</v>
      </c>
      <c r="BW27">
        <v>6.5</v>
      </c>
      <c r="BX27" t="s">
        <v>26</v>
      </c>
      <c r="BY27">
        <v>6.5</v>
      </c>
      <c r="BZ27" t="s">
        <v>26</v>
      </c>
      <c r="CA27" t="s">
        <v>26</v>
      </c>
      <c r="CB27" t="s">
        <v>26</v>
      </c>
      <c r="CW27">
        <f t="shared" ref="CW27:CW58" si="3">COUNT(B27:CI27)</f>
        <v>18</v>
      </c>
      <c r="CX27" s="18">
        <f t="shared" ref="CX27:CX58" si="4">AVERAGE(B27:CI27)</f>
        <v>5.9444444444444446</v>
      </c>
      <c r="CY27">
        <f t="shared" si="0"/>
        <v>0.72535769855270305</v>
      </c>
      <c r="CZ27">
        <v>0</v>
      </c>
      <c r="DA27">
        <f t="shared" si="1"/>
        <v>0</v>
      </c>
      <c r="DB27">
        <f t="shared" si="2"/>
        <v>0</v>
      </c>
    </row>
    <row r="28" spans="1:106" x14ac:dyDescent="0.35">
      <c r="A28" t="s">
        <v>8</v>
      </c>
      <c r="B28">
        <v>5.5</v>
      </c>
      <c r="C28" t="s">
        <v>26</v>
      </c>
      <c r="D28">
        <v>3</v>
      </c>
      <c r="E28" t="s">
        <v>26</v>
      </c>
      <c r="F28" t="s">
        <v>26</v>
      </c>
      <c r="G28">
        <v>5</v>
      </c>
      <c r="H28">
        <v>3</v>
      </c>
      <c r="I28">
        <v>3.5</v>
      </c>
      <c r="J28">
        <v>7</v>
      </c>
      <c r="K28">
        <v>7</v>
      </c>
      <c r="L28" t="s">
        <v>26</v>
      </c>
      <c r="M28" t="s">
        <v>26</v>
      </c>
      <c r="N28" t="s">
        <v>26</v>
      </c>
      <c r="O28">
        <v>5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>
        <v>5.5</v>
      </c>
      <c r="V28" t="s">
        <v>26</v>
      </c>
      <c r="W28" t="s">
        <v>26</v>
      </c>
      <c r="X28" t="s">
        <v>26</v>
      </c>
      <c r="Y28" t="s">
        <v>26</v>
      </c>
      <c r="Z28" t="s">
        <v>26</v>
      </c>
      <c r="AA28">
        <v>7</v>
      </c>
      <c r="AB28" t="s">
        <v>26</v>
      </c>
      <c r="AC28">
        <v>7</v>
      </c>
      <c r="AD28" t="s">
        <v>26</v>
      </c>
      <c r="AE28" t="s">
        <v>26</v>
      </c>
      <c r="AF28" t="s">
        <v>26</v>
      </c>
      <c r="AG28" t="s">
        <v>26</v>
      </c>
      <c r="AH28" t="s">
        <v>26</v>
      </c>
      <c r="AI28">
        <v>5.5</v>
      </c>
      <c r="AJ28">
        <v>5.5</v>
      </c>
      <c r="AK28" t="s">
        <v>26</v>
      </c>
      <c r="AL28" t="s">
        <v>26</v>
      </c>
      <c r="AM28" t="s">
        <v>26</v>
      </c>
      <c r="AN28">
        <v>5.5</v>
      </c>
      <c r="AO28" t="s">
        <v>26</v>
      </c>
      <c r="AP28">
        <v>6.5</v>
      </c>
      <c r="AQ28">
        <v>4</v>
      </c>
      <c r="AR28" t="s">
        <v>26</v>
      </c>
      <c r="AS28" t="s">
        <v>26</v>
      </c>
      <c r="AT28" t="s">
        <v>26</v>
      </c>
      <c r="AU28" t="s">
        <v>26</v>
      </c>
      <c r="AV28">
        <v>5</v>
      </c>
      <c r="AW28" t="s">
        <v>26</v>
      </c>
      <c r="AX28" t="s">
        <v>26</v>
      </c>
      <c r="AY28" t="s">
        <v>26</v>
      </c>
      <c r="AZ28" t="s">
        <v>26</v>
      </c>
      <c r="BA28" t="s">
        <v>26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 t="s">
        <v>26</v>
      </c>
      <c r="BJ28" t="s">
        <v>26</v>
      </c>
      <c r="BK28" t="s">
        <v>26</v>
      </c>
      <c r="BL28" t="s">
        <v>26</v>
      </c>
      <c r="BM28" t="s">
        <v>26</v>
      </c>
      <c r="BN28" t="s">
        <v>26</v>
      </c>
      <c r="BO28" t="s">
        <v>26</v>
      </c>
      <c r="BP28" t="s">
        <v>26</v>
      </c>
      <c r="BQ28" t="s">
        <v>26</v>
      </c>
      <c r="BR28" t="s">
        <v>26</v>
      </c>
      <c r="BS28" t="s">
        <v>26</v>
      </c>
      <c r="BT28" t="s">
        <v>26</v>
      </c>
      <c r="BU28" t="s">
        <v>26</v>
      </c>
      <c r="BV28" t="s">
        <v>26</v>
      </c>
      <c r="BW28" t="s">
        <v>26</v>
      </c>
      <c r="BX28" t="s">
        <v>26</v>
      </c>
      <c r="BY28" t="s">
        <v>26</v>
      </c>
      <c r="BZ28" t="s">
        <v>26</v>
      </c>
      <c r="CA28" t="s">
        <v>26</v>
      </c>
      <c r="CB28" t="s">
        <v>26</v>
      </c>
      <c r="CW28">
        <f t="shared" si="3"/>
        <v>17</v>
      </c>
      <c r="CX28" s="18">
        <f t="shared" si="4"/>
        <v>5.3235294117647056</v>
      </c>
      <c r="CY28">
        <f t="shared" si="0"/>
        <v>1.3456083251473603</v>
      </c>
      <c r="CZ28">
        <v>0</v>
      </c>
      <c r="DA28">
        <f t="shared" si="1"/>
        <v>0</v>
      </c>
      <c r="DB28">
        <f t="shared" si="2"/>
        <v>0</v>
      </c>
    </row>
    <row r="29" spans="1:106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8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 t="s">
        <v>26</v>
      </c>
      <c r="AO29" t="s">
        <v>26</v>
      </c>
      <c r="AP29" t="s">
        <v>26</v>
      </c>
      <c r="AQ29" t="s">
        <v>26</v>
      </c>
      <c r="AR29">
        <v>6.5</v>
      </c>
      <c r="AS29" t="s">
        <v>26</v>
      </c>
      <c r="AT29" t="s">
        <v>26</v>
      </c>
      <c r="AU29">
        <v>6.5</v>
      </c>
      <c r="AV29" t="s">
        <v>26</v>
      </c>
      <c r="AW29">
        <v>5</v>
      </c>
      <c r="AX29" t="s">
        <v>26</v>
      </c>
      <c r="AY29" t="s">
        <v>26</v>
      </c>
      <c r="AZ29" t="s">
        <v>26</v>
      </c>
      <c r="BA29" t="s">
        <v>26</v>
      </c>
      <c r="BB29">
        <v>6.5</v>
      </c>
      <c r="BC29" t="s">
        <v>26</v>
      </c>
      <c r="BD29" t="s">
        <v>26</v>
      </c>
      <c r="BE29" t="s">
        <v>26</v>
      </c>
      <c r="BF29" t="s">
        <v>26</v>
      </c>
      <c r="BG29" t="s">
        <v>26</v>
      </c>
      <c r="BH29" t="s">
        <v>26</v>
      </c>
      <c r="BI29" t="s">
        <v>26</v>
      </c>
      <c r="BJ29" t="s">
        <v>26</v>
      </c>
      <c r="BK29">
        <v>7</v>
      </c>
      <c r="BL29" t="s">
        <v>26</v>
      </c>
      <c r="BM29" t="s">
        <v>26</v>
      </c>
      <c r="BN29" t="s">
        <v>26</v>
      </c>
      <c r="BO29">
        <v>6.5</v>
      </c>
      <c r="BP29" t="s">
        <v>26</v>
      </c>
      <c r="BQ29" t="s">
        <v>26</v>
      </c>
      <c r="BR29" t="s">
        <v>26</v>
      </c>
      <c r="BS29" t="s">
        <v>26</v>
      </c>
      <c r="BT29">
        <v>6.5</v>
      </c>
      <c r="BU29">
        <v>7</v>
      </c>
      <c r="BV29" t="s">
        <v>26</v>
      </c>
      <c r="BW29" t="s">
        <v>26</v>
      </c>
      <c r="BX29">
        <v>7</v>
      </c>
      <c r="BY29" t="s">
        <v>26</v>
      </c>
      <c r="BZ29" t="s">
        <v>26</v>
      </c>
      <c r="CA29" t="s">
        <v>26</v>
      </c>
      <c r="CB29" t="s">
        <v>26</v>
      </c>
      <c r="CL29">
        <v>6.5</v>
      </c>
      <c r="CM29">
        <v>7.5</v>
      </c>
      <c r="CN29">
        <v>6</v>
      </c>
      <c r="CO29">
        <v>6.5</v>
      </c>
      <c r="CQ29">
        <v>6.5</v>
      </c>
      <c r="CW29">
        <f t="shared" si="3"/>
        <v>16</v>
      </c>
      <c r="CX29" s="18">
        <f t="shared" si="4"/>
        <v>6.65625</v>
      </c>
      <c r="CY29">
        <f t="shared" si="0"/>
        <v>0.74651970279870483</v>
      </c>
      <c r="CZ29">
        <v>1</v>
      </c>
      <c r="DA29">
        <f t="shared" si="1"/>
        <v>2</v>
      </c>
      <c r="DB29">
        <f t="shared" si="2"/>
        <v>0</v>
      </c>
    </row>
    <row r="30" spans="1:106" x14ac:dyDescent="0.35">
      <c r="A30" t="s">
        <v>68</v>
      </c>
      <c r="B30" t="s">
        <v>26</v>
      </c>
      <c r="C30" t="s">
        <v>26</v>
      </c>
      <c r="D30" t="s">
        <v>26</v>
      </c>
      <c r="E30" t="s">
        <v>26</v>
      </c>
      <c r="F30" t="s">
        <v>26</v>
      </c>
      <c r="G30" t="s">
        <v>26</v>
      </c>
      <c r="H30" t="s">
        <v>26</v>
      </c>
      <c r="I30" t="s">
        <v>26</v>
      </c>
      <c r="J30" t="s">
        <v>26</v>
      </c>
      <c r="K30" t="s">
        <v>26</v>
      </c>
      <c r="L30" t="s">
        <v>26</v>
      </c>
      <c r="M30" t="s">
        <v>26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>
        <v>5.5</v>
      </c>
      <c r="Y30" t="s">
        <v>26</v>
      </c>
      <c r="Z30">
        <v>5</v>
      </c>
      <c r="AA30">
        <v>3</v>
      </c>
      <c r="AB30">
        <v>1.5</v>
      </c>
      <c r="AC30" t="s">
        <v>26</v>
      </c>
      <c r="AD30" t="s">
        <v>26</v>
      </c>
      <c r="AE30" t="s">
        <v>26</v>
      </c>
      <c r="AF30" t="s">
        <v>26</v>
      </c>
      <c r="AG30">
        <v>7</v>
      </c>
      <c r="AH30">
        <v>5.5</v>
      </c>
      <c r="AI30" t="s">
        <v>26</v>
      </c>
      <c r="AJ30">
        <v>5</v>
      </c>
      <c r="AK30">
        <v>5.5</v>
      </c>
      <c r="AL30" t="s">
        <v>26</v>
      </c>
      <c r="AM30" t="s">
        <v>26</v>
      </c>
      <c r="AN30" t="s">
        <v>26</v>
      </c>
      <c r="AO30">
        <v>4</v>
      </c>
      <c r="AP30">
        <v>6.5</v>
      </c>
      <c r="AQ30" t="s">
        <v>26</v>
      </c>
      <c r="AR30">
        <v>3.5</v>
      </c>
      <c r="AS30" t="s">
        <v>26</v>
      </c>
      <c r="AT30" t="s">
        <v>26</v>
      </c>
      <c r="AU30" t="s">
        <v>26</v>
      </c>
      <c r="AV30" t="s">
        <v>26</v>
      </c>
      <c r="AW30">
        <v>3.5</v>
      </c>
      <c r="AX30" t="s">
        <v>26</v>
      </c>
      <c r="AY30" t="s">
        <v>26</v>
      </c>
      <c r="AZ30" t="s">
        <v>26</v>
      </c>
      <c r="BA30">
        <v>2.5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>
        <v>6.5</v>
      </c>
      <c r="BK30">
        <v>4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>
        <v>4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 t="s">
        <v>26</v>
      </c>
      <c r="CB30" t="s">
        <v>26</v>
      </c>
      <c r="CW30">
        <f t="shared" si="3"/>
        <v>16</v>
      </c>
      <c r="CX30" s="18">
        <f t="shared" si="4"/>
        <v>4.53125</v>
      </c>
      <c r="CY30">
        <f t="shared" si="0"/>
        <v>1.5434674167816653</v>
      </c>
      <c r="CZ30">
        <v>0</v>
      </c>
      <c r="DA30">
        <f t="shared" si="1"/>
        <v>0</v>
      </c>
      <c r="DB30">
        <f t="shared" si="2"/>
        <v>0</v>
      </c>
    </row>
    <row r="31" spans="1:106" x14ac:dyDescent="0.35">
      <c r="A31" t="s">
        <v>7</v>
      </c>
      <c r="B31">
        <v>5.5</v>
      </c>
      <c r="C31">
        <v>0</v>
      </c>
      <c r="D31">
        <v>3.5</v>
      </c>
      <c r="E31">
        <v>3</v>
      </c>
      <c r="F31">
        <v>8</v>
      </c>
      <c r="G31">
        <v>5</v>
      </c>
      <c r="H31">
        <v>5.5</v>
      </c>
      <c r="I31">
        <v>3.5</v>
      </c>
      <c r="J31">
        <v>1.5</v>
      </c>
      <c r="K31">
        <v>5</v>
      </c>
      <c r="L31">
        <v>1</v>
      </c>
      <c r="M31">
        <v>0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>
        <v>5.5</v>
      </c>
      <c r="AE31" t="s">
        <v>26</v>
      </c>
      <c r="AF31" t="s">
        <v>26</v>
      </c>
      <c r="AG31" t="s">
        <v>26</v>
      </c>
      <c r="AH31" t="s">
        <v>26</v>
      </c>
      <c r="AI31" t="s">
        <v>26</v>
      </c>
      <c r="AJ31" t="s">
        <v>26</v>
      </c>
      <c r="AK31" t="s">
        <v>26</v>
      </c>
      <c r="AL31" t="s">
        <v>26</v>
      </c>
      <c r="AM31" t="s">
        <v>26</v>
      </c>
      <c r="AN31" t="s">
        <v>26</v>
      </c>
      <c r="AO31" t="s">
        <v>26</v>
      </c>
      <c r="AP31" t="s">
        <v>26</v>
      </c>
      <c r="AQ31" t="s">
        <v>26</v>
      </c>
      <c r="AR31" t="s">
        <v>26</v>
      </c>
      <c r="AS31" t="s">
        <v>26</v>
      </c>
      <c r="AT31" t="s">
        <v>26</v>
      </c>
      <c r="AU31" t="s">
        <v>26</v>
      </c>
      <c r="AV31" t="s">
        <v>26</v>
      </c>
      <c r="AW31" t="s">
        <v>26</v>
      </c>
      <c r="AX31" t="s">
        <v>26</v>
      </c>
      <c r="AY31" t="s">
        <v>26</v>
      </c>
      <c r="AZ31" t="s">
        <v>26</v>
      </c>
      <c r="BA31" t="s">
        <v>26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 t="s">
        <v>26</v>
      </c>
      <c r="BJ31" t="s">
        <v>26</v>
      </c>
      <c r="BK31" t="s">
        <v>26</v>
      </c>
      <c r="BL31" t="s">
        <v>26</v>
      </c>
      <c r="BM31" t="s">
        <v>26</v>
      </c>
      <c r="BN31" t="s">
        <v>26</v>
      </c>
      <c r="BO31" t="s">
        <v>26</v>
      </c>
      <c r="BP31" t="s">
        <v>26</v>
      </c>
      <c r="BQ31" t="s">
        <v>26</v>
      </c>
      <c r="BR31" t="s">
        <v>26</v>
      </c>
      <c r="BS31" t="s">
        <v>26</v>
      </c>
      <c r="BT31" t="s">
        <v>26</v>
      </c>
      <c r="BU31" t="s">
        <v>26</v>
      </c>
      <c r="BV31" t="s">
        <v>26</v>
      </c>
      <c r="BW31" t="s">
        <v>26</v>
      </c>
      <c r="BX31" t="s">
        <v>26</v>
      </c>
      <c r="BY31" t="s">
        <v>26</v>
      </c>
      <c r="BZ31" t="s">
        <v>26</v>
      </c>
      <c r="CA31">
        <v>5.5</v>
      </c>
      <c r="CB31">
        <v>5.5</v>
      </c>
      <c r="CW31">
        <f t="shared" si="3"/>
        <v>15</v>
      </c>
      <c r="CX31" s="18">
        <f t="shared" si="4"/>
        <v>3.8666666666666667</v>
      </c>
      <c r="CY31">
        <f t="shared" si="0"/>
        <v>2.3563490726929555</v>
      </c>
      <c r="CZ31">
        <v>0</v>
      </c>
      <c r="DA31">
        <f t="shared" si="1"/>
        <v>0</v>
      </c>
      <c r="DB31">
        <f t="shared" si="2"/>
        <v>0</v>
      </c>
    </row>
    <row r="32" spans="1:106" x14ac:dyDescent="0.35">
      <c r="A32" t="s">
        <v>63</v>
      </c>
      <c r="B32" t="s">
        <v>26</v>
      </c>
      <c r="C32" t="s">
        <v>26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 t="s">
        <v>26</v>
      </c>
      <c r="S32">
        <v>3.5</v>
      </c>
      <c r="T32" t="s">
        <v>26</v>
      </c>
      <c r="U32">
        <v>3.5</v>
      </c>
      <c r="V32" t="s">
        <v>26</v>
      </c>
      <c r="W32">
        <v>5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E32" t="s">
        <v>26</v>
      </c>
      <c r="AF32" t="s">
        <v>26</v>
      </c>
      <c r="AG32" t="s">
        <v>26</v>
      </c>
      <c r="AH32" t="s">
        <v>26</v>
      </c>
      <c r="AI32" t="s">
        <v>26</v>
      </c>
      <c r="AJ32" t="s">
        <v>26</v>
      </c>
      <c r="AK32">
        <v>3.5</v>
      </c>
      <c r="AL32" t="s">
        <v>26</v>
      </c>
      <c r="AM32" t="s">
        <v>26</v>
      </c>
      <c r="AN32" t="s">
        <v>26</v>
      </c>
      <c r="AO32" t="s">
        <v>26</v>
      </c>
      <c r="AP32" t="s">
        <v>26</v>
      </c>
      <c r="AQ32" t="s">
        <v>26</v>
      </c>
      <c r="AR32" t="s">
        <v>26</v>
      </c>
      <c r="AS32" t="s">
        <v>26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>
        <v>5</v>
      </c>
      <c r="AZ32" t="s">
        <v>26</v>
      </c>
      <c r="BA32" t="s">
        <v>26</v>
      </c>
      <c r="BB32" t="s">
        <v>26</v>
      </c>
      <c r="BC32" t="s">
        <v>26</v>
      </c>
      <c r="BD32" t="s">
        <v>26</v>
      </c>
      <c r="BE32" t="s">
        <v>26</v>
      </c>
      <c r="BF32" t="s">
        <v>26</v>
      </c>
      <c r="BG32" t="s">
        <v>26</v>
      </c>
      <c r="BH32" t="s">
        <v>26</v>
      </c>
      <c r="BI32">
        <v>5</v>
      </c>
      <c r="BJ32">
        <v>6.5</v>
      </c>
      <c r="BK32" t="s">
        <v>26</v>
      </c>
      <c r="BL32">
        <v>5</v>
      </c>
      <c r="BM32" t="s">
        <v>26</v>
      </c>
      <c r="BN32">
        <v>5</v>
      </c>
      <c r="BO32" t="s">
        <v>26</v>
      </c>
      <c r="BP32">
        <v>5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>
        <v>5.5</v>
      </c>
      <c r="BW32" t="s">
        <v>26</v>
      </c>
      <c r="BX32" t="s">
        <v>26</v>
      </c>
      <c r="BY32">
        <v>5.5</v>
      </c>
      <c r="BZ32" t="s">
        <v>26</v>
      </c>
      <c r="CA32" t="s">
        <v>26</v>
      </c>
      <c r="CB32" t="s">
        <v>26</v>
      </c>
      <c r="CF32">
        <v>5.5</v>
      </c>
      <c r="CI32">
        <v>4</v>
      </c>
      <c r="CL32">
        <v>5.5</v>
      </c>
      <c r="CP32">
        <v>6</v>
      </c>
      <c r="CU32">
        <v>5.5</v>
      </c>
      <c r="CW32">
        <f t="shared" si="3"/>
        <v>14</v>
      </c>
      <c r="CX32" s="18">
        <f t="shared" si="4"/>
        <v>4.8214285714285712</v>
      </c>
      <c r="CY32">
        <f t="shared" si="0"/>
        <v>0.89335151148745728</v>
      </c>
      <c r="CZ32">
        <v>0</v>
      </c>
      <c r="DA32">
        <f t="shared" si="1"/>
        <v>1</v>
      </c>
      <c r="DB32">
        <f t="shared" si="2"/>
        <v>1</v>
      </c>
    </row>
    <row r="33" spans="1:106" x14ac:dyDescent="0.35">
      <c r="A33" t="s">
        <v>12</v>
      </c>
      <c r="B33">
        <v>9.5</v>
      </c>
      <c r="C33" t="s">
        <v>26</v>
      </c>
      <c r="D33">
        <v>8</v>
      </c>
      <c r="E33">
        <v>8</v>
      </c>
      <c r="F33" t="s">
        <v>26</v>
      </c>
      <c r="G33" t="s">
        <v>26</v>
      </c>
      <c r="H33">
        <v>5.5</v>
      </c>
      <c r="I33">
        <v>8</v>
      </c>
      <c r="J33" t="s">
        <v>26</v>
      </c>
      <c r="K33">
        <v>5.5</v>
      </c>
      <c r="L33">
        <v>8</v>
      </c>
      <c r="M33">
        <v>7</v>
      </c>
      <c r="N33">
        <v>5.5</v>
      </c>
      <c r="O33" t="s">
        <v>26</v>
      </c>
      <c r="P33" t="s">
        <v>26</v>
      </c>
      <c r="Q33" t="s">
        <v>26</v>
      </c>
      <c r="R33">
        <v>10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E33" t="s">
        <v>26</v>
      </c>
      <c r="AF33" t="s">
        <v>26</v>
      </c>
      <c r="AG33">
        <v>8</v>
      </c>
      <c r="AH33" t="s">
        <v>26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>
        <v>7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>
        <v>5.5</v>
      </c>
      <c r="BC33" t="s">
        <v>26</v>
      </c>
      <c r="BD33" t="s">
        <v>26</v>
      </c>
      <c r="BE33" t="s">
        <v>26</v>
      </c>
      <c r="BF33" t="s">
        <v>26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 t="s">
        <v>26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 t="s">
        <v>26</v>
      </c>
      <c r="CB33" t="s">
        <v>26</v>
      </c>
      <c r="CU33">
        <v>6</v>
      </c>
      <c r="CW33">
        <f t="shared" si="3"/>
        <v>13</v>
      </c>
      <c r="CX33" s="18">
        <f t="shared" si="4"/>
        <v>7.3461538461538458</v>
      </c>
      <c r="CY33">
        <f t="shared" si="0"/>
        <v>1.5191090506255012</v>
      </c>
      <c r="CZ33">
        <v>0</v>
      </c>
      <c r="DA33">
        <f t="shared" si="1"/>
        <v>0</v>
      </c>
      <c r="DB33">
        <f t="shared" si="2"/>
        <v>0</v>
      </c>
    </row>
    <row r="34" spans="1:106" x14ac:dyDescent="0.35">
      <c r="A34" t="s">
        <v>17</v>
      </c>
      <c r="B34" t="s">
        <v>26</v>
      </c>
      <c r="C34">
        <v>5</v>
      </c>
      <c r="D34" t="s">
        <v>26</v>
      </c>
      <c r="E34" t="s">
        <v>26</v>
      </c>
      <c r="F34" t="s">
        <v>26</v>
      </c>
      <c r="G34" t="s">
        <v>26</v>
      </c>
      <c r="H34" t="s">
        <v>26</v>
      </c>
      <c r="I34" t="s">
        <v>26</v>
      </c>
      <c r="J34" t="s">
        <v>26</v>
      </c>
      <c r="K34" t="s">
        <v>26</v>
      </c>
      <c r="L34" t="s">
        <v>26</v>
      </c>
      <c r="M34" t="s">
        <v>26</v>
      </c>
      <c r="N34" t="s">
        <v>26</v>
      </c>
      <c r="O34" t="s">
        <v>26</v>
      </c>
      <c r="P34" t="s">
        <v>26</v>
      </c>
      <c r="Q34" t="s">
        <v>26</v>
      </c>
      <c r="R34">
        <v>3.5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>
        <v>5</v>
      </c>
      <c r="Z34">
        <v>5</v>
      </c>
      <c r="AA34" t="s">
        <v>26</v>
      </c>
      <c r="AB34">
        <v>5</v>
      </c>
      <c r="AC34">
        <v>5</v>
      </c>
      <c r="AD34">
        <v>3</v>
      </c>
      <c r="AE34" t="s">
        <v>26</v>
      </c>
      <c r="AF34" t="s">
        <v>26</v>
      </c>
      <c r="AG34" t="s">
        <v>26</v>
      </c>
      <c r="AH34">
        <v>4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 t="s">
        <v>26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 t="s">
        <v>26</v>
      </c>
      <c r="BC34" t="s">
        <v>26</v>
      </c>
      <c r="BD34" t="s">
        <v>26</v>
      </c>
      <c r="BE34">
        <v>5.5</v>
      </c>
      <c r="BF34">
        <v>5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>
        <v>5.5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W34">
        <f t="shared" si="3"/>
        <v>11</v>
      </c>
      <c r="CX34" s="18">
        <f t="shared" si="4"/>
        <v>4.6818181818181817</v>
      </c>
      <c r="CY34">
        <f t="shared" ref="CY34:CY65" si="5">IF(CW34&gt;1,_xlfn.STDEV.S(B34:CF34),"")</f>
        <v>0.81463879335344846</v>
      </c>
      <c r="CZ34">
        <v>0</v>
      </c>
      <c r="DA34">
        <f t="shared" ref="DA34:DA65" si="6">COUNT(CO34:CS34)</f>
        <v>0</v>
      </c>
      <c r="DB34">
        <f t="shared" ref="DB34:DB65" si="7">IF(CZ34=0,DA34,0)</f>
        <v>0</v>
      </c>
    </row>
    <row r="35" spans="1:106" x14ac:dyDescent="0.35">
      <c r="A35" t="s">
        <v>45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>
        <v>8</v>
      </c>
      <c r="H35">
        <v>8</v>
      </c>
      <c r="I35" t="s">
        <v>26</v>
      </c>
      <c r="J35">
        <v>9.5</v>
      </c>
      <c r="K35">
        <v>9.5</v>
      </c>
      <c r="L35">
        <v>8</v>
      </c>
      <c r="M35">
        <v>8</v>
      </c>
      <c r="N35">
        <v>8</v>
      </c>
      <c r="O35">
        <v>10</v>
      </c>
      <c r="P35">
        <v>9.5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 t="s">
        <v>26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 t="s">
        <v>26</v>
      </c>
      <c r="BH35" t="s">
        <v>26</v>
      </c>
      <c r="BI35" t="s">
        <v>26</v>
      </c>
      <c r="BJ35" t="s">
        <v>26</v>
      </c>
      <c r="BK35" t="s">
        <v>26</v>
      </c>
      <c r="BL35" t="s">
        <v>26</v>
      </c>
      <c r="BM35" t="s">
        <v>26</v>
      </c>
      <c r="BN35" t="s">
        <v>26</v>
      </c>
      <c r="BO35" t="s">
        <v>26</v>
      </c>
      <c r="BP35" t="s">
        <v>26</v>
      </c>
      <c r="BQ35" t="s">
        <v>26</v>
      </c>
      <c r="BR35" t="s">
        <v>26</v>
      </c>
      <c r="BS35" t="s">
        <v>26</v>
      </c>
      <c r="BT35" t="s">
        <v>26</v>
      </c>
      <c r="BU35" t="s">
        <v>26</v>
      </c>
      <c r="BV35" t="s">
        <v>26</v>
      </c>
      <c r="BW35" t="s">
        <v>26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C35">
        <v>6</v>
      </c>
      <c r="CW35">
        <f t="shared" si="3"/>
        <v>10</v>
      </c>
      <c r="CX35" s="18">
        <f t="shared" si="4"/>
        <v>8.4499999999999993</v>
      </c>
      <c r="CY35">
        <f t="shared" si="5"/>
        <v>1.1890705987824657</v>
      </c>
      <c r="CZ35">
        <v>0</v>
      </c>
      <c r="DA35">
        <f t="shared" si="6"/>
        <v>0</v>
      </c>
      <c r="DB35">
        <f t="shared" si="7"/>
        <v>0</v>
      </c>
    </row>
    <row r="36" spans="1:106" x14ac:dyDescent="0.35">
      <c r="A36" t="s">
        <v>343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>
        <v>1</v>
      </c>
      <c r="K36" t="s">
        <v>26</v>
      </c>
      <c r="L36" t="s">
        <v>26</v>
      </c>
      <c r="M36">
        <v>3.5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 t="s">
        <v>26</v>
      </c>
      <c r="AK36" t="s">
        <v>26</v>
      </c>
      <c r="AL36" t="s">
        <v>26</v>
      </c>
      <c r="AM36" t="s">
        <v>26</v>
      </c>
      <c r="AN36">
        <v>2</v>
      </c>
      <c r="AO36" t="s">
        <v>26</v>
      </c>
      <c r="AP36" t="s">
        <v>26</v>
      </c>
      <c r="AQ36" t="s">
        <v>26</v>
      </c>
      <c r="AR36" t="s">
        <v>26</v>
      </c>
      <c r="AS36" t="s">
        <v>26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>
        <v>5.5</v>
      </c>
      <c r="BH36">
        <v>5</v>
      </c>
      <c r="BI36">
        <v>5</v>
      </c>
      <c r="BJ36" t="s">
        <v>26</v>
      </c>
      <c r="BK36" t="s">
        <v>26</v>
      </c>
      <c r="BL36" t="s">
        <v>26</v>
      </c>
      <c r="BM36">
        <v>5.5</v>
      </c>
      <c r="BN36">
        <v>5.5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 t="s">
        <v>26</v>
      </c>
      <c r="BX36" t="s">
        <v>26</v>
      </c>
      <c r="BY36" t="s">
        <v>26</v>
      </c>
      <c r="BZ36" t="s">
        <v>26</v>
      </c>
      <c r="CA36" t="s">
        <v>26</v>
      </c>
      <c r="CB36" t="s">
        <v>26</v>
      </c>
      <c r="CK36">
        <v>6</v>
      </c>
      <c r="CL36">
        <v>5.5</v>
      </c>
      <c r="CM36">
        <v>6.5</v>
      </c>
      <c r="CO36">
        <v>6</v>
      </c>
      <c r="CQ36">
        <v>6</v>
      </c>
      <c r="CR36">
        <v>6</v>
      </c>
      <c r="CU36">
        <v>6</v>
      </c>
      <c r="CW36">
        <f t="shared" si="3"/>
        <v>8</v>
      </c>
      <c r="CX36" s="18">
        <f t="shared" si="4"/>
        <v>4.125</v>
      </c>
      <c r="CY36">
        <f t="shared" si="5"/>
        <v>1.7677669529663689</v>
      </c>
      <c r="CZ36">
        <v>1</v>
      </c>
      <c r="DA36">
        <f t="shared" si="6"/>
        <v>3</v>
      </c>
      <c r="DB36">
        <f t="shared" si="7"/>
        <v>0</v>
      </c>
    </row>
    <row r="37" spans="1:106" x14ac:dyDescent="0.35">
      <c r="A37" t="s">
        <v>376</v>
      </c>
      <c r="B37" t="s">
        <v>26</v>
      </c>
      <c r="C37" t="s">
        <v>26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AE37" t="s">
        <v>26</v>
      </c>
      <c r="AF37" t="s">
        <v>26</v>
      </c>
      <c r="AG37" t="s">
        <v>26</v>
      </c>
      <c r="AH37" t="s">
        <v>26</v>
      </c>
      <c r="AI37" t="s">
        <v>26</v>
      </c>
      <c r="AJ37" t="s">
        <v>26</v>
      </c>
      <c r="AK37" t="s">
        <v>26</v>
      </c>
      <c r="AL37" t="s">
        <v>26</v>
      </c>
      <c r="AM37" t="s">
        <v>26</v>
      </c>
      <c r="AN37" t="s">
        <v>26</v>
      </c>
      <c r="AO37" t="s">
        <v>26</v>
      </c>
      <c r="AP37" t="s">
        <v>26</v>
      </c>
      <c r="AQ37" t="s">
        <v>26</v>
      </c>
      <c r="AR37" t="s">
        <v>26</v>
      </c>
      <c r="AS37" t="s">
        <v>26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 t="s">
        <v>26</v>
      </c>
      <c r="BF37" t="s">
        <v>26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>
        <v>6.5</v>
      </c>
      <c r="BO37">
        <v>5.5</v>
      </c>
      <c r="BP37">
        <v>5.5</v>
      </c>
      <c r="BQ37">
        <v>5.5</v>
      </c>
      <c r="BR37" t="s">
        <v>26</v>
      </c>
      <c r="BS37">
        <v>5.5</v>
      </c>
      <c r="BT37" t="s">
        <v>26</v>
      </c>
      <c r="BU37" t="s">
        <v>26</v>
      </c>
      <c r="BV37">
        <v>6.5</v>
      </c>
      <c r="BW37">
        <v>5.5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CN37">
        <v>6</v>
      </c>
      <c r="CO37">
        <v>5.5</v>
      </c>
      <c r="CQ37">
        <v>7.5</v>
      </c>
      <c r="CS37">
        <v>6</v>
      </c>
      <c r="CT37">
        <v>6</v>
      </c>
      <c r="CU37">
        <v>6.5</v>
      </c>
      <c r="CW37">
        <f t="shared" si="3"/>
        <v>7</v>
      </c>
      <c r="CX37" s="18">
        <f t="shared" si="4"/>
        <v>5.7857142857142856</v>
      </c>
      <c r="CY37">
        <f t="shared" si="5"/>
        <v>0.4879500364742666</v>
      </c>
      <c r="CZ37">
        <v>1</v>
      </c>
      <c r="DA37">
        <f t="shared" si="6"/>
        <v>3</v>
      </c>
      <c r="DB37">
        <f t="shared" si="7"/>
        <v>0</v>
      </c>
    </row>
    <row r="38" spans="1:106" x14ac:dyDescent="0.35">
      <c r="A38" t="s">
        <v>340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>
        <v>5.5</v>
      </c>
      <c r="AK38" t="s">
        <v>26</v>
      </c>
      <c r="AL38" t="s">
        <v>26</v>
      </c>
      <c r="AM38" t="s">
        <v>26</v>
      </c>
      <c r="AN38">
        <v>6.5</v>
      </c>
      <c r="AO38">
        <v>5</v>
      </c>
      <c r="AP38">
        <v>5.5</v>
      </c>
      <c r="AQ38">
        <v>6.5</v>
      </c>
      <c r="AR38">
        <v>5.5</v>
      </c>
      <c r="AS38">
        <v>5.5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 t="s">
        <v>26</v>
      </c>
      <c r="BO38" t="s">
        <v>26</v>
      </c>
      <c r="BP38" t="s">
        <v>26</v>
      </c>
      <c r="BQ38" t="s">
        <v>26</v>
      </c>
      <c r="BR38" t="s">
        <v>26</v>
      </c>
      <c r="BS38" t="s">
        <v>26</v>
      </c>
      <c r="BT38" t="s">
        <v>26</v>
      </c>
      <c r="BU38" t="s">
        <v>26</v>
      </c>
      <c r="BV38" t="s">
        <v>26</v>
      </c>
      <c r="BW38" t="s">
        <v>26</v>
      </c>
      <c r="BX38" t="s">
        <v>26</v>
      </c>
      <c r="BY38" t="s">
        <v>26</v>
      </c>
      <c r="BZ38" t="s">
        <v>26</v>
      </c>
      <c r="CA38" t="s">
        <v>26</v>
      </c>
      <c r="CB38" t="s">
        <v>26</v>
      </c>
      <c r="CL38">
        <v>6</v>
      </c>
      <c r="CW38">
        <f t="shared" si="3"/>
        <v>7</v>
      </c>
      <c r="CX38" s="18">
        <f t="shared" si="4"/>
        <v>5.7142857142857144</v>
      </c>
      <c r="CY38">
        <f t="shared" si="5"/>
        <v>0.56694670951384085</v>
      </c>
      <c r="CZ38">
        <v>0</v>
      </c>
      <c r="DA38">
        <f t="shared" si="6"/>
        <v>0</v>
      </c>
      <c r="DB38">
        <f t="shared" si="7"/>
        <v>0</v>
      </c>
    </row>
    <row r="39" spans="1:106" x14ac:dyDescent="0.35">
      <c r="A39" t="s">
        <v>378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 t="s">
        <v>26</v>
      </c>
      <c r="AK39" t="s">
        <v>26</v>
      </c>
      <c r="AL39" t="s">
        <v>26</v>
      </c>
      <c r="AM39" t="s">
        <v>26</v>
      </c>
      <c r="AN39" t="s">
        <v>26</v>
      </c>
      <c r="AO39" t="s">
        <v>26</v>
      </c>
      <c r="AP39" t="s">
        <v>26</v>
      </c>
      <c r="AQ39" t="s">
        <v>26</v>
      </c>
      <c r="AR39" t="s">
        <v>26</v>
      </c>
      <c r="AS39" t="s">
        <v>26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>
        <v>5.5</v>
      </c>
      <c r="BX39" t="s">
        <v>26</v>
      </c>
      <c r="BY39">
        <v>5</v>
      </c>
      <c r="BZ39">
        <v>5</v>
      </c>
      <c r="CA39" t="s">
        <v>26</v>
      </c>
      <c r="CB39" t="s">
        <v>26</v>
      </c>
      <c r="CE39">
        <v>5.5</v>
      </c>
      <c r="CG39">
        <v>4.5</v>
      </c>
      <c r="CH39">
        <v>5.5</v>
      </c>
      <c r="CK39">
        <v>5</v>
      </c>
      <c r="CM39">
        <v>5</v>
      </c>
      <c r="CN39">
        <v>5</v>
      </c>
      <c r="CO39">
        <v>5.5</v>
      </c>
      <c r="CP39">
        <v>6</v>
      </c>
      <c r="CQ39">
        <v>5.5</v>
      </c>
      <c r="CW39">
        <f t="shared" si="3"/>
        <v>6</v>
      </c>
      <c r="CX39" s="18">
        <f t="shared" si="4"/>
        <v>5.166666666666667</v>
      </c>
      <c r="CY39">
        <f t="shared" si="5"/>
        <v>0.28867513459481287</v>
      </c>
      <c r="CZ39">
        <v>1</v>
      </c>
      <c r="DA39">
        <f t="shared" si="6"/>
        <v>3</v>
      </c>
      <c r="DB39">
        <f t="shared" si="7"/>
        <v>0</v>
      </c>
    </row>
    <row r="40" spans="1:106" x14ac:dyDescent="0.35">
      <c r="A40" t="s">
        <v>24</v>
      </c>
      <c r="B40" t="s">
        <v>26</v>
      </c>
      <c r="C40" t="s">
        <v>26</v>
      </c>
      <c r="D40" t="s">
        <v>26</v>
      </c>
      <c r="E40">
        <v>8</v>
      </c>
      <c r="F40" t="s">
        <v>26</v>
      </c>
      <c r="G40" t="s">
        <v>26</v>
      </c>
      <c r="H40" t="s">
        <v>26</v>
      </c>
      <c r="I40" t="s">
        <v>26</v>
      </c>
      <c r="J40">
        <v>9.5</v>
      </c>
      <c r="K40" t="s">
        <v>26</v>
      </c>
      <c r="L40">
        <v>8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 t="s">
        <v>26</v>
      </c>
      <c r="AF40" t="s">
        <v>26</v>
      </c>
      <c r="AG40" t="s">
        <v>26</v>
      </c>
      <c r="AH40" t="s">
        <v>26</v>
      </c>
      <c r="AI40" t="s">
        <v>26</v>
      </c>
      <c r="AJ40" t="s">
        <v>26</v>
      </c>
      <c r="AK40" t="s">
        <v>26</v>
      </c>
      <c r="AL40" t="s">
        <v>26</v>
      </c>
      <c r="AM40" t="s">
        <v>26</v>
      </c>
      <c r="AN40" t="s">
        <v>26</v>
      </c>
      <c r="AO40" t="s">
        <v>26</v>
      </c>
      <c r="AP40" t="s">
        <v>26</v>
      </c>
      <c r="AQ40" t="s">
        <v>26</v>
      </c>
      <c r="AR40" t="s">
        <v>26</v>
      </c>
      <c r="AS40" t="s">
        <v>26</v>
      </c>
      <c r="AT40" t="s">
        <v>26</v>
      </c>
      <c r="AU40" t="s">
        <v>26</v>
      </c>
      <c r="AV40" t="s">
        <v>26</v>
      </c>
      <c r="AW40" t="s">
        <v>26</v>
      </c>
      <c r="AX40" t="s">
        <v>26</v>
      </c>
      <c r="AY40" t="s">
        <v>26</v>
      </c>
      <c r="AZ40" t="s">
        <v>26</v>
      </c>
      <c r="BA40" t="s">
        <v>26</v>
      </c>
      <c r="BB40" t="s">
        <v>26</v>
      </c>
      <c r="BC40" t="s">
        <v>26</v>
      </c>
      <c r="BD40" t="s">
        <v>26</v>
      </c>
      <c r="BE40" t="s">
        <v>26</v>
      </c>
      <c r="BF40" t="s">
        <v>26</v>
      </c>
      <c r="BG40" t="s">
        <v>26</v>
      </c>
      <c r="BH40" t="s">
        <v>26</v>
      </c>
      <c r="BI40" t="s">
        <v>26</v>
      </c>
      <c r="BJ40" t="s">
        <v>26</v>
      </c>
      <c r="BK40" t="s">
        <v>26</v>
      </c>
      <c r="BL40" t="s">
        <v>26</v>
      </c>
      <c r="BM40" t="s">
        <v>26</v>
      </c>
      <c r="BN40" t="s">
        <v>26</v>
      </c>
      <c r="BO40" t="s">
        <v>26</v>
      </c>
      <c r="BP40" t="s">
        <v>26</v>
      </c>
      <c r="BQ40" t="s">
        <v>26</v>
      </c>
      <c r="BR40" t="s">
        <v>26</v>
      </c>
      <c r="BS40" t="s">
        <v>26</v>
      </c>
      <c r="BT40" t="s">
        <v>26</v>
      </c>
      <c r="BU40" t="s">
        <v>26</v>
      </c>
      <c r="BV40" t="s">
        <v>26</v>
      </c>
      <c r="BW40" t="s">
        <v>26</v>
      </c>
      <c r="BX40" t="s">
        <v>26</v>
      </c>
      <c r="BY40" t="s">
        <v>26</v>
      </c>
      <c r="BZ40" t="s">
        <v>26</v>
      </c>
      <c r="CA40" t="s">
        <v>26</v>
      </c>
      <c r="CB40" t="s">
        <v>26</v>
      </c>
      <c r="CH40">
        <v>6.5</v>
      </c>
      <c r="CW40">
        <f t="shared" si="3"/>
        <v>5</v>
      </c>
      <c r="CX40" s="18">
        <f t="shared" si="4"/>
        <v>7.8</v>
      </c>
      <c r="CY40">
        <f t="shared" si="5"/>
        <v>1.0307764064044151</v>
      </c>
      <c r="CZ40">
        <v>0</v>
      </c>
      <c r="DA40">
        <f t="shared" si="6"/>
        <v>0</v>
      </c>
      <c r="DB40">
        <f t="shared" si="7"/>
        <v>0</v>
      </c>
    </row>
    <row r="41" spans="1:106" x14ac:dyDescent="0.35">
      <c r="A41" t="s">
        <v>60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3.5</v>
      </c>
      <c r="S41" t="s">
        <v>26</v>
      </c>
      <c r="T41">
        <v>3</v>
      </c>
      <c r="U41">
        <v>3</v>
      </c>
      <c r="V41" t="s">
        <v>26</v>
      </c>
      <c r="W41" t="s">
        <v>26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 t="s">
        <v>26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>
        <v>4</v>
      </c>
      <c r="BZ41" t="s">
        <v>26</v>
      </c>
      <c r="CA41" t="s">
        <v>26</v>
      </c>
      <c r="CB41" t="s">
        <v>26</v>
      </c>
      <c r="CM41">
        <v>5.5</v>
      </c>
      <c r="CW41">
        <f t="shared" si="3"/>
        <v>4</v>
      </c>
      <c r="CX41" s="18">
        <f t="shared" si="4"/>
        <v>3.375</v>
      </c>
      <c r="CY41">
        <f t="shared" si="5"/>
        <v>0.47871355387816905</v>
      </c>
      <c r="CZ41">
        <v>0</v>
      </c>
      <c r="DA41">
        <f t="shared" si="6"/>
        <v>0</v>
      </c>
      <c r="DB41">
        <f t="shared" si="7"/>
        <v>0</v>
      </c>
    </row>
    <row r="42" spans="1:106" x14ac:dyDescent="0.35">
      <c r="A42" t="s">
        <v>61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 t="s">
        <v>26</v>
      </c>
      <c r="N42" t="s">
        <v>26</v>
      </c>
      <c r="O42" t="s">
        <v>26</v>
      </c>
      <c r="P42" t="s">
        <v>26</v>
      </c>
      <c r="Q42" t="s">
        <v>26</v>
      </c>
      <c r="R42">
        <v>7</v>
      </c>
      <c r="S42">
        <v>5</v>
      </c>
      <c r="T42">
        <v>5</v>
      </c>
      <c r="U42" t="s">
        <v>26</v>
      </c>
      <c r="V42" t="s">
        <v>26</v>
      </c>
      <c r="W42">
        <v>5.5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E42" t="s">
        <v>26</v>
      </c>
      <c r="AF42" t="s">
        <v>26</v>
      </c>
      <c r="AG42" t="s">
        <v>26</v>
      </c>
      <c r="AH42" t="s">
        <v>26</v>
      </c>
      <c r="AI42" t="s">
        <v>26</v>
      </c>
      <c r="AJ42" t="s">
        <v>26</v>
      </c>
      <c r="AK42" t="s">
        <v>26</v>
      </c>
      <c r="AL42" t="s">
        <v>26</v>
      </c>
      <c r="AM42" t="s">
        <v>26</v>
      </c>
      <c r="AN42" t="s">
        <v>26</v>
      </c>
      <c r="AO42" t="s">
        <v>26</v>
      </c>
      <c r="AP42" t="s">
        <v>26</v>
      </c>
      <c r="AQ42" t="s">
        <v>26</v>
      </c>
      <c r="AR42" t="s">
        <v>26</v>
      </c>
      <c r="AS42" t="s">
        <v>26</v>
      </c>
      <c r="AT42" t="s">
        <v>26</v>
      </c>
      <c r="AU42" t="s">
        <v>26</v>
      </c>
      <c r="AV42" t="s">
        <v>26</v>
      </c>
      <c r="AW42" t="s">
        <v>26</v>
      </c>
      <c r="AX42" t="s">
        <v>26</v>
      </c>
      <c r="AY42" t="s">
        <v>26</v>
      </c>
      <c r="AZ42" t="s">
        <v>26</v>
      </c>
      <c r="BA42" t="s">
        <v>26</v>
      </c>
      <c r="BB42" t="s">
        <v>26</v>
      </c>
      <c r="BC42" t="s">
        <v>26</v>
      </c>
      <c r="BD42" t="s">
        <v>26</v>
      </c>
      <c r="BE42" t="s">
        <v>26</v>
      </c>
      <c r="BF42" t="s">
        <v>26</v>
      </c>
      <c r="BG42" t="s">
        <v>26</v>
      </c>
      <c r="BH42" t="s">
        <v>26</v>
      </c>
      <c r="BI42" t="s">
        <v>26</v>
      </c>
      <c r="BJ42" t="s">
        <v>26</v>
      </c>
      <c r="BK42" t="s">
        <v>26</v>
      </c>
      <c r="BL42" t="s">
        <v>26</v>
      </c>
      <c r="BM42" t="s">
        <v>26</v>
      </c>
      <c r="BN42" t="s">
        <v>26</v>
      </c>
      <c r="BO42" t="s">
        <v>26</v>
      </c>
      <c r="BP42" t="s">
        <v>26</v>
      </c>
      <c r="BQ42" t="s">
        <v>26</v>
      </c>
      <c r="BR42" t="s">
        <v>26</v>
      </c>
      <c r="BS42" t="s">
        <v>26</v>
      </c>
      <c r="BT42" t="s">
        <v>26</v>
      </c>
      <c r="BU42" t="s">
        <v>26</v>
      </c>
      <c r="BV42" t="s">
        <v>26</v>
      </c>
      <c r="BW42" t="s">
        <v>26</v>
      </c>
      <c r="BX42" t="s">
        <v>26</v>
      </c>
      <c r="BY42" t="s">
        <v>26</v>
      </c>
      <c r="BZ42" t="s">
        <v>26</v>
      </c>
      <c r="CA42" t="s">
        <v>26</v>
      </c>
      <c r="CB42" t="s">
        <v>26</v>
      </c>
      <c r="CW42">
        <f t="shared" si="3"/>
        <v>4</v>
      </c>
      <c r="CX42" s="18">
        <f t="shared" si="4"/>
        <v>5.625</v>
      </c>
      <c r="CY42">
        <f t="shared" si="5"/>
        <v>0.9464847243000456</v>
      </c>
      <c r="CZ42">
        <v>0</v>
      </c>
      <c r="DA42">
        <f t="shared" si="6"/>
        <v>0</v>
      </c>
      <c r="DB42">
        <f t="shared" si="7"/>
        <v>0</v>
      </c>
    </row>
    <row r="43" spans="1:106" x14ac:dyDescent="0.35">
      <c r="A43" t="s">
        <v>54</v>
      </c>
      <c r="B43" t="s">
        <v>26</v>
      </c>
      <c r="C43" t="s">
        <v>26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>
        <v>5.5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>
        <v>7</v>
      </c>
      <c r="W43">
        <v>8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 t="s">
        <v>26</v>
      </c>
      <c r="AF43" t="s">
        <v>26</v>
      </c>
      <c r="AG43" t="s">
        <v>26</v>
      </c>
      <c r="AH43" t="s">
        <v>26</v>
      </c>
      <c r="AI43" t="s">
        <v>26</v>
      </c>
      <c r="AJ43" t="s">
        <v>26</v>
      </c>
      <c r="AK43" t="s">
        <v>26</v>
      </c>
      <c r="AL43" t="s">
        <v>26</v>
      </c>
      <c r="AM43" t="s">
        <v>26</v>
      </c>
      <c r="AN43" t="s">
        <v>26</v>
      </c>
      <c r="AO43">
        <v>6.5</v>
      </c>
      <c r="AP43" t="s">
        <v>26</v>
      </c>
      <c r="AQ43" t="s">
        <v>26</v>
      </c>
      <c r="AR43" t="s">
        <v>26</v>
      </c>
      <c r="AS43" t="s">
        <v>26</v>
      </c>
      <c r="AT43" t="s">
        <v>26</v>
      </c>
      <c r="AU43" t="s">
        <v>26</v>
      </c>
      <c r="AV43" t="s">
        <v>26</v>
      </c>
      <c r="AW43" t="s">
        <v>26</v>
      </c>
      <c r="AX43" t="s">
        <v>26</v>
      </c>
      <c r="AY43" t="s">
        <v>26</v>
      </c>
      <c r="AZ43" t="s">
        <v>26</v>
      </c>
      <c r="BA43" t="s">
        <v>26</v>
      </c>
      <c r="BB43" t="s">
        <v>26</v>
      </c>
      <c r="BC43" t="s">
        <v>26</v>
      </c>
      <c r="BD43" t="s">
        <v>26</v>
      </c>
      <c r="BE43" t="s">
        <v>26</v>
      </c>
      <c r="BF43" t="s">
        <v>26</v>
      </c>
      <c r="BG43" t="s">
        <v>26</v>
      </c>
      <c r="BH43" t="s">
        <v>26</v>
      </c>
      <c r="BI43" t="s">
        <v>26</v>
      </c>
      <c r="BJ43" t="s">
        <v>26</v>
      </c>
      <c r="BK43" t="s">
        <v>26</v>
      </c>
      <c r="BL43" t="s">
        <v>26</v>
      </c>
      <c r="BM43" t="s">
        <v>26</v>
      </c>
      <c r="BN43" t="s">
        <v>26</v>
      </c>
      <c r="BO43" t="s">
        <v>26</v>
      </c>
      <c r="BP43" t="s">
        <v>26</v>
      </c>
      <c r="BQ43" t="s">
        <v>26</v>
      </c>
      <c r="BR43" t="s">
        <v>26</v>
      </c>
      <c r="BS43" t="s">
        <v>26</v>
      </c>
      <c r="BT43" t="s">
        <v>26</v>
      </c>
      <c r="BU43" t="s">
        <v>26</v>
      </c>
      <c r="BV43" t="s">
        <v>26</v>
      </c>
      <c r="BW43" t="s">
        <v>26</v>
      </c>
      <c r="BX43" t="s">
        <v>26</v>
      </c>
      <c r="BY43" t="s">
        <v>26</v>
      </c>
      <c r="BZ43" t="s">
        <v>26</v>
      </c>
      <c r="CA43" t="s">
        <v>26</v>
      </c>
      <c r="CB43" t="s">
        <v>26</v>
      </c>
      <c r="CW43">
        <f t="shared" si="3"/>
        <v>4</v>
      </c>
      <c r="CX43" s="18">
        <f t="shared" si="4"/>
        <v>6.75</v>
      </c>
      <c r="CY43">
        <f t="shared" si="5"/>
        <v>1.0408329997330663</v>
      </c>
      <c r="CZ43">
        <v>0</v>
      </c>
      <c r="DA43">
        <f t="shared" si="6"/>
        <v>0</v>
      </c>
      <c r="DB43">
        <f t="shared" si="7"/>
        <v>0</v>
      </c>
    </row>
    <row r="44" spans="1:106" x14ac:dyDescent="0.35">
      <c r="A44" t="s">
        <v>21</v>
      </c>
      <c r="B44" t="s">
        <v>26</v>
      </c>
      <c r="C44" t="s">
        <v>26</v>
      </c>
      <c r="D44">
        <v>1.5</v>
      </c>
      <c r="E44" t="s">
        <v>26</v>
      </c>
      <c r="F44" t="s">
        <v>26</v>
      </c>
      <c r="G44">
        <v>0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>
        <v>0</v>
      </c>
      <c r="AF44" t="s">
        <v>26</v>
      </c>
      <c r="AG44" t="s">
        <v>26</v>
      </c>
      <c r="AH44" t="s">
        <v>26</v>
      </c>
      <c r="AI44" t="s">
        <v>26</v>
      </c>
      <c r="AJ44" t="s">
        <v>26</v>
      </c>
      <c r="AK44" t="s">
        <v>26</v>
      </c>
      <c r="AL44" t="s">
        <v>26</v>
      </c>
      <c r="AM44" t="s">
        <v>26</v>
      </c>
      <c r="AN44" t="s">
        <v>26</v>
      </c>
      <c r="AO44" t="s">
        <v>26</v>
      </c>
      <c r="AP44" t="s">
        <v>26</v>
      </c>
      <c r="AQ44" t="s">
        <v>26</v>
      </c>
      <c r="AR44" t="s">
        <v>26</v>
      </c>
      <c r="AS44" t="s">
        <v>26</v>
      </c>
      <c r="AT44" t="s">
        <v>26</v>
      </c>
      <c r="AU44">
        <v>4</v>
      </c>
      <c r="AV44" t="s">
        <v>26</v>
      </c>
      <c r="AW44" t="s">
        <v>26</v>
      </c>
      <c r="AX44" t="s">
        <v>26</v>
      </c>
      <c r="AY44" t="s">
        <v>26</v>
      </c>
      <c r="AZ44" t="s">
        <v>26</v>
      </c>
      <c r="BA44" t="s">
        <v>26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W44">
        <f t="shared" si="3"/>
        <v>4</v>
      </c>
      <c r="CX44" s="18">
        <f t="shared" si="4"/>
        <v>1.375</v>
      </c>
      <c r="CY44">
        <f t="shared" si="5"/>
        <v>1.8874586088176875</v>
      </c>
      <c r="CZ44">
        <v>0</v>
      </c>
      <c r="DA44">
        <f t="shared" si="6"/>
        <v>0</v>
      </c>
      <c r="DB44">
        <f t="shared" si="7"/>
        <v>0</v>
      </c>
    </row>
    <row r="45" spans="1:106" x14ac:dyDescent="0.35">
      <c r="A45" t="s">
        <v>344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>
        <v>5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>
        <v>3.5</v>
      </c>
      <c r="AR45">
        <v>3.5</v>
      </c>
      <c r="AS45" t="s">
        <v>26</v>
      </c>
      <c r="AT45" t="s">
        <v>26</v>
      </c>
      <c r="AU45" t="s">
        <v>26</v>
      </c>
      <c r="AV45" t="s">
        <v>26</v>
      </c>
      <c r="AW45" t="s">
        <v>26</v>
      </c>
      <c r="AX45" t="s">
        <v>26</v>
      </c>
      <c r="AY45">
        <v>6.5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 t="s">
        <v>26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 t="s">
        <v>26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 t="s">
        <v>26</v>
      </c>
      <c r="BZ45" t="s">
        <v>26</v>
      </c>
      <c r="CA45" t="s">
        <v>26</v>
      </c>
      <c r="CB45" t="s">
        <v>26</v>
      </c>
      <c r="CW45">
        <f t="shared" si="3"/>
        <v>4</v>
      </c>
      <c r="CX45" s="18">
        <f t="shared" si="4"/>
        <v>4.625</v>
      </c>
      <c r="CY45">
        <f t="shared" si="5"/>
        <v>1.4361406616345072</v>
      </c>
      <c r="CZ45">
        <v>0</v>
      </c>
      <c r="DA45">
        <f t="shared" si="6"/>
        <v>0</v>
      </c>
      <c r="DB45">
        <f t="shared" si="7"/>
        <v>0</v>
      </c>
    </row>
    <row r="46" spans="1:106" x14ac:dyDescent="0.35">
      <c r="A46" t="s">
        <v>361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>
        <v>5.5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>
        <v>5.5</v>
      </c>
      <c r="BG46" t="s">
        <v>26</v>
      </c>
      <c r="BH46" t="s">
        <v>26</v>
      </c>
      <c r="BI46" t="s">
        <v>26</v>
      </c>
      <c r="BJ46" t="s">
        <v>26</v>
      </c>
      <c r="BK46" t="s">
        <v>26</v>
      </c>
      <c r="BL46" t="s">
        <v>26</v>
      </c>
      <c r="BM46" t="s">
        <v>26</v>
      </c>
      <c r="BN46">
        <v>7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 t="s">
        <v>26</v>
      </c>
      <c r="BU46" t="s">
        <v>26</v>
      </c>
      <c r="BV46" t="s">
        <v>26</v>
      </c>
      <c r="BW46" t="s">
        <v>26</v>
      </c>
      <c r="BX46" t="s">
        <v>26</v>
      </c>
      <c r="BY46">
        <v>7</v>
      </c>
      <c r="BZ46" t="s">
        <v>26</v>
      </c>
      <c r="CA46" t="s">
        <v>26</v>
      </c>
      <c r="CB46" t="s">
        <v>26</v>
      </c>
      <c r="CW46">
        <f t="shared" si="3"/>
        <v>4</v>
      </c>
      <c r="CX46" s="18">
        <f t="shared" si="4"/>
        <v>6.25</v>
      </c>
      <c r="CY46">
        <f t="shared" si="5"/>
        <v>0.8660254037844386</v>
      </c>
      <c r="CZ46">
        <v>0</v>
      </c>
      <c r="DA46">
        <f t="shared" si="6"/>
        <v>0</v>
      </c>
      <c r="DB46">
        <f t="shared" si="7"/>
        <v>0</v>
      </c>
    </row>
    <row r="47" spans="1:106" x14ac:dyDescent="0.35">
      <c r="A47" t="s">
        <v>43</v>
      </c>
      <c r="B47" t="s">
        <v>26</v>
      </c>
      <c r="C47">
        <v>0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1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>
        <v>5.5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>
        <v>5</v>
      </c>
      <c r="BU47" t="s">
        <v>26</v>
      </c>
      <c r="BV47" t="s">
        <v>26</v>
      </c>
      <c r="BW47" t="s">
        <v>26</v>
      </c>
      <c r="BX47" t="s">
        <v>26</v>
      </c>
      <c r="BY47" t="s">
        <v>26</v>
      </c>
      <c r="BZ47" t="s">
        <v>26</v>
      </c>
      <c r="CA47" t="s">
        <v>26</v>
      </c>
      <c r="CB47" t="s">
        <v>26</v>
      </c>
      <c r="CW47">
        <f t="shared" si="3"/>
        <v>4</v>
      </c>
      <c r="CX47" s="18">
        <f t="shared" si="4"/>
        <v>2.875</v>
      </c>
      <c r="CY47">
        <f t="shared" si="5"/>
        <v>2.7801378862687129</v>
      </c>
      <c r="CZ47">
        <v>0</v>
      </c>
      <c r="DA47">
        <f t="shared" si="6"/>
        <v>0</v>
      </c>
      <c r="DB47">
        <f t="shared" si="7"/>
        <v>0</v>
      </c>
    </row>
    <row r="48" spans="1:106" x14ac:dyDescent="0.35">
      <c r="A48" t="s">
        <v>18</v>
      </c>
      <c r="B48" t="s">
        <v>26</v>
      </c>
      <c r="C48">
        <v>3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5.5</v>
      </c>
      <c r="R48">
        <v>5.5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 t="s">
        <v>26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 t="s">
        <v>26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W48">
        <f t="shared" si="3"/>
        <v>3</v>
      </c>
      <c r="CX48" s="18">
        <f t="shared" si="4"/>
        <v>4.666666666666667</v>
      </c>
      <c r="CY48">
        <f t="shared" si="5"/>
        <v>1.4433756729740652</v>
      </c>
      <c r="CZ48">
        <v>0</v>
      </c>
      <c r="DA48">
        <f t="shared" si="6"/>
        <v>0</v>
      </c>
      <c r="DB48">
        <f t="shared" si="7"/>
        <v>0</v>
      </c>
    </row>
    <row r="49" spans="1:106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8.5</v>
      </c>
      <c r="AF49">
        <v>10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 t="s">
        <v>26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W49">
        <f t="shared" si="3"/>
        <v>3</v>
      </c>
      <c r="CX49" s="18">
        <f t="shared" si="4"/>
        <v>8.5</v>
      </c>
      <c r="CY49">
        <f t="shared" si="5"/>
        <v>1.5</v>
      </c>
      <c r="CZ49">
        <v>0</v>
      </c>
      <c r="DA49">
        <f t="shared" si="6"/>
        <v>0</v>
      </c>
      <c r="DB49">
        <f t="shared" si="7"/>
        <v>0</v>
      </c>
    </row>
    <row r="50" spans="1:106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>
        <v>2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 t="s">
        <v>26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W50">
        <f t="shared" si="3"/>
        <v>3</v>
      </c>
      <c r="CX50" s="18">
        <f t="shared" si="4"/>
        <v>4</v>
      </c>
      <c r="CY50">
        <f t="shared" si="5"/>
        <v>1.7320508075688772</v>
      </c>
      <c r="CZ50">
        <v>0</v>
      </c>
      <c r="DA50">
        <f t="shared" si="6"/>
        <v>0</v>
      </c>
      <c r="DB50">
        <f t="shared" si="7"/>
        <v>0</v>
      </c>
    </row>
    <row r="51" spans="1:106" x14ac:dyDescent="0.35">
      <c r="A51" t="s">
        <v>52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>
        <v>5.5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 t="s">
        <v>26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>
        <v>5.5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CG51">
        <v>6</v>
      </c>
      <c r="CW51">
        <f t="shared" si="3"/>
        <v>3</v>
      </c>
      <c r="CX51" s="18">
        <f t="shared" si="4"/>
        <v>5.666666666666667</v>
      </c>
      <c r="CY51">
        <f t="shared" si="5"/>
        <v>0</v>
      </c>
      <c r="CZ51">
        <v>0</v>
      </c>
      <c r="DA51">
        <f t="shared" si="6"/>
        <v>0</v>
      </c>
      <c r="DB51">
        <f t="shared" si="7"/>
        <v>0</v>
      </c>
    </row>
    <row r="52" spans="1:106" x14ac:dyDescent="0.35">
      <c r="A52" t="s">
        <v>368</v>
      </c>
      <c r="B52" t="s">
        <v>26</v>
      </c>
      <c r="C52" t="s">
        <v>26</v>
      </c>
      <c r="D52" t="s">
        <v>26</v>
      </c>
      <c r="E52" t="s">
        <v>26</v>
      </c>
      <c r="F52" t="s">
        <v>26</v>
      </c>
      <c r="G52" t="s">
        <v>26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 t="s">
        <v>26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 t="s">
        <v>26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 t="s">
        <v>26</v>
      </c>
      <c r="BB52" t="s">
        <v>26</v>
      </c>
      <c r="BC52" t="s">
        <v>26</v>
      </c>
      <c r="BD52" t="s">
        <v>26</v>
      </c>
      <c r="BE52" t="s">
        <v>26</v>
      </c>
      <c r="BF52">
        <v>9.5</v>
      </c>
      <c r="BG52" t="s">
        <v>26</v>
      </c>
      <c r="BH52" t="s">
        <v>26</v>
      </c>
      <c r="BI52" t="s">
        <v>26</v>
      </c>
      <c r="BJ52" t="s">
        <v>26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>
        <v>10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CG52">
        <v>6</v>
      </c>
      <c r="CW52">
        <f t="shared" si="3"/>
        <v>3</v>
      </c>
      <c r="CX52" s="18">
        <f t="shared" si="4"/>
        <v>8.5</v>
      </c>
      <c r="CY52">
        <f t="shared" si="5"/>
        <v>0.35355339059327379</v>
      </c>
      <c r="CZ52">
        <v>0</v>
      </c>
      <c r="DA52">
        <f t="shared" si="6"/>
        <v>0</v>
      </c>
      <c r="DB52">
        <f t="shared" si="7"/>
        <v>0</v>
      </c>
    </row>
    <row r="53" spans="1:106" x14ac:dyDescent="0.35">
      <c r="A53" t="s">
        <v>345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 t="s">
        <v>26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 t="s">
        <v>26</v>
      </c>
      <c r="AH53" t="s">
        <v>26</v>
      </c>
      <c r="AI53" t="s">
        <v>26</v>
      </c>
      <c r="AJ53" t="s">
        <v>26</v>
      </c>
      <c r="AK53" t="s">
        <v>26</v>
      </c>
      <c r="AL53" t="s">
        <v>26</v>
      </c>
      <c r="AM53" t="s">
        <v>26</v>
      </c>
      <c r="AN53">
        <v>2.5</v>
      </c>
      <c r="AO53" t="s">
        <v>26</v>
      </c>
      <c r="AP53" t="s">
        <v>26</v>
      </c>
      <c r="AQ53" t="s">
        <v>26</v>
      </c>
      <c r="AR53" t="s">
        <v>26</v>
      </c>
      <c r="AS53" t="s">
        <v>26</v>
      </c>
      <c r="AT53" t="s">
        <v>26</v>
      </c>
      <c r="AU53" t="s">
        <v>26</v>
      </c>
      <c r="AV53" t="s">
        <v>26</v>
      </c>
      <c r="AW53" t="s">
        <v>26</v>
      </c>
      <c r="AX53" t="s">
        <v>26</v>
      </c>
      <c r="AY53" t="s">
        <v>26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CI53">
        <v>6</v>
      </c>
      <c r="CJ53">
        <v>4</v>
      </c>
      <c r="CK53">
        <v>3.5</v>
      </c>
      <c r="CL53">
        <v>5.5</v>
      </c>
      <c r="CM53">
        <v>5.5</v>
      </c>
      <c r="CO53">
        <v>4.5</v>
      </c>
      <c r="CW53">
        <f t="shared" si="3"/>
        <v>2</v>
      </c>
      <c r="CX53" s="18">
        <f t="shared" si="4"/>
        <v>4.25</v>
      </c>
      <c r="CY53" t="e">
        <f t="shared" si="5"/>
        <v>#DIV/0!</v>
      </c>
      <c r="CZ53">
        <v>0</v>
      </c>
      <c r="DA53">
        <f t="shared" si="6"/>
        <v>1</v>
      </c>
      <c r="DB53">
        <f t="shared" si="7"/>
        <v>1</v>
      </c>
    </row>
    <row r="54" spans="1:106" x14ac:dyDescent="0.35">
      <c r="A54" t="s">
        <v>53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>
        <v>5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>
        <v>5.5</v>
      </c>
      <c r="AH54" t="s">
        <v>26</v>
      </c>
      <c r="AI54" t="s">
        <v>26</v>
      </c>
      <c r="AJ54" t="s">
        <v>26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 t="s">
        <v>26</v>
      </c>
      <c r="AX54" t="s">
        <v>26</v>
      </c>
      <c r="AY54" t="s">
        <v>26</v>
      </c>
      <c r="AZ54" t="s">
        <v>26</v>
      </c>
      <c r="BA54" t="s">
        <v>26</v>
      </c>
      <c r="BB54" t="s">
        <v>26</v>
      </c>
      <c r="BC54" t="s">
        <v>26</v>
      </c>
      <c r="BD54" t="s">
        <v>26</v>
      </c>
      <c r="BE54" t="s">
        <v>26</v>
      </c>
      <c r="BF54" t="s">
        <v>26</v>
      </c>
      <c r="BG54" t="s">
        <v>26</v>
      </c>
      <c r="BH54" t="s">
        <v>26</v>
      </c>
      <c r="BI54" t="s">
        <v>26</v>
      </c>
      <c r="BJ54" t="s">
        <v>26</v>
      </c>
      <c r="BK54" t="s">
        <v>26</v>
      </c>
      <c r="BL54" t="s">
        <v>26</v>
      </c>
      <c r="BM54" t="s">
        <v>26</v>
      </c>
      <c r="BN54" t="s">
        <v>26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 t="s">
        <v>26</v>
      </c>
      <c r="BZ54" t="s">
        <v>26</v>
      </c>
      <c r="CA54" t="s">
        <v>26</v>
      </c>
      <c r="CB54" t="s">
        <v>26</v>
      </c>
      <c r="CS54">
        <v>5.5</v>
      </c>
      <c r="CW54">
        <f t="shared" si="3"/>
        <v>2</v>
      </c>
      <c r="CX54" s="18">
        <f t="shared" si="4"/>
        <v>5.25</v>
      </c>
      <c r="CY54">
        <f t="shared" si="5"/>
        <v>0.35355339059327379</v>
      </c>
      <c r="CZ54">
        <v>0</v>
      </c>
      <c r="DA54">
        <f t="shared" si="6"/>
        <v>1</v>
      </c>
      <c r="DB54">
        <f t="shared" si="7"/>
        <v>1</v>
      </c>
    </row>
    <row r="55" spans="1:106" x14ac:dyDescent="0.35">
      <c r="A55" t="s">
        <v>342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 t="s">
        <v>26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>
        <v>7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>
        <v>4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 t="s">
        <v>26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 t="s">
        <v>26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CJ55">
        <v>5.5</v>
      </c>
      <c r="CO55">
        <v>6</v>
      </c>
      <c r="CU55">
        <v>5.5</v>
      </c>
      <c r="CW55">
        <f t="shared" si="3"/>
        <v>2</v>
      </c>
      <c r="CX55" s="18">
        <f t="shared" si="4"/>
        <v>5.5</v>
      </c>
      <c r="CY55">
        <f t="shared" si="5"/>
        <v>2.1213203435596424</v>
      </c>
      <c r="CZ55">
        <v>0</v>
      </c>
      <c r="DA55">
        <f t="shared" si="6"/>
        <v>1</v>
      </c>
      <c r="DB55">
        <f t="shared" si="7"/>
        <v>1</v>
      </c>
    </row>
    <row r="56" spans="1:106" x14ac:dyDescent="0.35">
      <c r="A56" t="s">
        <v>390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 t="s">
        <v>26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 t="s">
        <v>26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 t="s">
        <v>26</v>
      </c>
      <c r="BH56" t="s">
        <v>26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CE56">
        <v>7</v>
      </c>
      <c r="CH56">
        <v>7</v>
      </c>
      <c r="CS56">
        <v>6.5</v>
      </c>
      <c r="CT56">
        <v>6</v>
      </c>
      <c r="CU56">
        <v>6</v>
      </c>
      <c r="CW56">
        <f t="shared" si="3"/>
        <v>2</v>
      </c>
      <c r="CX56" s="18">
        <f t="shared" si="4"/>
        <v>7</v>
      </c>
      <c r="CY56" t="e">
        <f t="shared" si="5"/>
        <v>#DIV/0!</v>
      </c>
      <c r="CZ56">
        <v>0</v>
      </c>
      <c r="DA56">
        <f t="shared" si="6"/>
        <v>1</v>
      </c>
      <c r="DB56">
        <f t="shared" si="7"/>
        <v>1</v>
      </c>
    </row>
    <row r="57" spans="1:106" x14ac:dyDescent="0.35">
      <c r="A57" t="s">
        <v>364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AE57" t="s">
        <v>26</v>
      </c>
      <c r="AF57" t="s">
        <v>26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 t="s">
        <v>26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>
        <v>6.5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>
        <v>6.5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 t="s">
        <v>26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CL57">
        <v>6.5</v>
      </c>
      <c r="CM57">
        <v>5.5</v>
      </c>
      <c r="CN57">
        <v>6</v>
      </c>
      <c r="CW57">
        <f t="shared" si="3"/>
        <v>2</v>
      </c>
      <c r="CX57" s="18">
        <f t="shared" si="4"/>
        <v>6.5</v>
      </c>
      <c r="CY57">
        <f t="shared" si="5"/>
        <v>0</v>
      </c>
      <c r="CZ57">
        <v>0</v>
      </c>
      <c r="DA57">
        <f t="shared" si="6"/>
        <v>0</v>
      </c>
      <c r="DB57">
        <f t="shared" si="7"/>
        <v>0</v>
      </c>
    </row>
    <row r="58" spans="1:106" x14ac:dyDescent="0.35">
      <c r="A58" t="s">
        <v>362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 t="s">
        <v>26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>
        <v>5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 t="s">
        <v>26</v>
      </c>
      <c r="BG58" t="s">
        <v>26</v>
      </c>
      <c r="BH58" t="s">
        <v>26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 t="s">
        <v>26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CD58">
        <v>5.5</v>
      </c>
      <c r="CW58">
        <f t="shared" si="3"/>
        <v>2</v>
      </c>
      <c r="CX58" s="18">
        <f t="shared" si="4"/>
        <v>5.25</v>
      </c>
      <c r="CY58">
        <f t="shared" si="5"/>
        <v>0.35355339059327379</v>
      </c>
      <c r="CZ58">
        <v>0</v>
      </c>
      <c r="DA58">
        <f t="shared" si="6"/>
        <v>0</v>
      </c>
      <c r="DB58">
        <f t="shared" si="7"/>
        <v>0</v>
      </c>
    </row>
    <row r="59" spans="1:106" x14ac:dyDescent="0.35">
      <c r="A59" t="s">
        <v>339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>
        <v>8.5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>
        <v>5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 t="s">
        <v>26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 t="s">
        <v>26</v>
      </c>
      <c r="BV59" t="s">
        <v>26</v>
      </c>
      <c r="BW59" t="s">
        <v>26</v>
      </c>
      <c r="BX59" t="s">
        <v>26</v>
      </c>
      <c r="BY59" t="s">
        <v>26</v>
      </c>
      <c r="BZ59" t="s">
        <v>26</v>
      </c>
      <c r="CA59" t="s">
        <v>26</v>
      </c>
      <c r="CB59" t="s">
        <v>26</v>
      </c>
      <c r="CW59">
        <f t="shared" ref="CW59:CW88" si="8">COUNT(B59:CI59)</f>
        <v>2</v>
      </c>
      <c r="CX59" s="18">
        <f t="shared" ref="CX59:CX88" si="9">AVERAGE(B59:CI59)</f>
        <v>6.75</v>
      </c>
      <c r="CY59">
        <f t="shared" si="5"/>
        <v>2.4748737341529163</v>
      </c>
      <c r="CZ59">
        <v>0</v>
      </c>
      <c r="DA59">
        <f t="shared" si="6"/>
        <v>0</v>
      </c>
      <c r="DB59">
        <f t="shared" si="7"/>
        <v>0</v>
      </c>
    </row>
    <row r="60" spans="1:106" x14ac:dyDescent="0.35">
      <c r="A60" t="s">
        <v>369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 t="s">
        <v>26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>
        <v>6.5</v>
      </c>
      <c r="BH60">
        <v>5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W60">
        <f t="shared" si="8"/>
        <v>2</v>
      </c>
      <c r="CX60" s="18">
        <f t="shared" si="9"/>
        <v>5.75</v>
      </c>
      <c r="CY60">
        <f t="shared" si="5"/>
        <v>1.0606601717798212</v>
      </c>
      <c r="CZ60">
        <v>0</v>
      </c>
      <c r="DA60">
        <f t="shared" si="6"/>
        <v>0</v>
      </c>
      <c r="DB60">
        <f t="shared" si="7"/>
        <v>0</v>
      </c>
    </row>
    <row r="61" spans="1:106" x14ac:dyDescent="0.35">
      <c r="A61" t="s">
        <v>379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 t="s">
        <v>26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>
        <v>5.5</v>
      </c>
      <c r="BZ61">
        <v>5.5</v>
      </c>
      <c r="CA61" t="s">
        <v>26</v>
      </c>
      <c r="CB61" t="s">
        <v>26</v>
      </c>
      <c r="CW61">
        <f t="shared" si="8"/>
        <v>2</v>
      </c>
      <c r="CX61" s="18">
        <f t="shared" si="9"/>
        <v>5.5</v>
      </c>
      <c r="CY61">
        <f t="shared" si="5"/>
        <v>0</v>
      </c>
      <c r="CZ61">
        <v>0</v>
      </c>
      <c r="DA61">
        <f t="shared" si="6"/>
        <v>0</v>
      </c>
      <c r="DB61">
        <f t="shared" si="7"/>
        <v>0</v>
      </c>
    </row>
    <row r="62" spans="1:106" x14ac:dyDescent="0.35">
      <c r="A62" t="s">
        <v>388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>
        <v>3.5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 t="s">
        <v>26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 t="s">
        <v>26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H62">
        <v>5</v>
      </c>
      <c r="CW62">
        <f t="shared" si="8"/>
        <v>2</v>
      </c>
      <c r="CX62" s="18">
        <f t="shared" si="9"/>
        <v>4.25</v>
      </c>
      <c r="CY62" t="e">
        <f t="shared" si="5"/>
        <v>#DIV/0!</v>
      </c>
      <c r="CZ62">
        <v>0</v>
      </c>
      <c r="DA62">
        <f t="shared" si="6"/>
        <v>0</v>
      </c>
      <c r="DB62">
        <f t="shared" si="7"/>
        <v>0</v>
      </c>
    </row>
    <row r="63" spans="1:106" x14ac:dyDescent="0.35">
      <c r="A63" t="s">
        <v>387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 t="s">
        <v>26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 t="s">
        <v>26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 t="s">
        <v>26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CG63">
        <v>7</v>
      </c>
      <c r="CH63">
        <v>6</v>
      </c>
      <c r="CJ63">
        <v>7</v>
      </c>
      <c r="CW63">
        <f t="shared" si="8"/>
        <v>2</v>
      </c>
      <c r="CX63" s="18">
        <f t="shared" si="9"/>
        <v>6.5</v>
      </c>
      <c r="CY63" t="e">
        <f t="shared" si="5"/>
        <v>#DIV/0!</v>
      </c>
      <c r="CZ63">
        <v>0</v>
      </c>
      <c r="DA63">
        <f t="shared" si="6"/>
        <v>0</v>
      </c>
      <c r="DB63">
        <f t="shared" si="7"/>
        <v>0</v>
      </c>
    </row>
    <row r="64" spans="1:106" x14ac:dyDescent="0.35">
      <c r="A64" t="s">
        <v>86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 t="s">
        <v>26</v>
      </c>
      <c r="Z64" t="s">
        <v>26</v>
      </c>
      <c r="AA64" t="s">
        <v>26</v>
      </c>
      <c r="AB64" t="s">
        <v>26</v>
      </c>
      <c r="AC64" t="s">
        <v>26</v>
      </c>
      <c r="AD64">
        <v>10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 t="s">
        <v>26</v>
      </c>
      <c r="BH64" t="s">
        <v>26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CW64">
        <f t="shared" si="8"/>
        <v>1</v>
      </c>
      <c r="CX64" s="18">
        <f t="shared" si="9"/>
        <v>10</v>
      </c>
      <c r="CY64" t="str">
        <f t="shared" si="5"/>
        <v/>
      </c>
      <c r="CZ64">
        <v>0</v>
      </c>
      <c r="DA64">
        <f t="shared" si="6"/>
        <v>0</v>
      </c>
      <c r="DB64">
        <f t="shared" si="7"/>
        <v>0</v>
      </c>
    </row>
    <row r="65" spans="1:106" x14ac:dyDescent="0.35">
      <c r="A65" t="s">
        <v>77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>
        <v>7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 t="s">
        <v>26</v>
      </c>
      <c r="BZ65" t="s">
        <v>26</v>
      </c>
      <c r="CA65" t="s">
        <v>26</v>
      </c>
      <c r="CB65" t="s">
        <v>26</v>
      </c>
      <c r="CW65">
        <f t="shared" si="8"/>
        <v>1</v>
      </c>
      <c r="CX65" s="18">
        <f t="shared" si="9"/>
        <v>7</v>
      </c>
      <c r="CY65" t="str">
        <f t="shared" si="5"/>
        <v/>
      </c>
      <c r="CZ65">
        <v>0</v>
      </c>
      <c r="DA65">
        <f t="shared" si="6"/>
        <v>0</v>
      </c>
      <c r="DB65">
        <f t="shared" si="7"/>
        <v>0</v>
      </c>
    </row>
    <row r="66" spans="1:106" x14ac:dyDescent="0.35">
      <c r="A66" t="s">
        <v>353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7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W66">
        <f t="shared" si="8"/>
        <v>1</v>
      </c>
      <c r="CX66" s="18">
        <f t="shared" si="9"/>
        <v>7</v>
      </c>
      <c r="CY66" t="str">
        <f t="shared" ref="CY66:CY88" si="10">IF(CW66&gt;1,_xlfn.STDEV.S(B66:CF66),"")</f>
        <v/>
      </c>
      <c r="CZ66">
        <v>0</v>
      </c>
      <c r="DA66">
        <f t="shared" ref="DA66:DA88" si="11">COUNT(CO66:CS66)</f>
        <v>0</v>
      </c>
      <c r="DB66">
        <f t="shared" ref="DB66:DB88" si="12">IF(CZ66=0,DA66,0)</f>
        <v>0</v>
      </c>
    </row>
    <row r="67" spans="1:106" x14ac:dyDescent="0.35">
      <c r="A67" t="s">
        <v>80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>
        <v>7</v>
      </c>
      <c r="Z67" t="s">
        <v>26</v>
      </c>
      <c r="AA67" t="s">
        <v>26</v>
      </c>
      <c r="AB67" t="s">
        <v>26</v>
      </c>
      <c r="AC67" t="s">
        <v>26</v>
      </c>
      <c r="AD67" t="s">
        <v>26</v>
      </c>
      <c r="AE67" t="s">
        <v>26</v>
      </c>
      <c r="AF67" t="s">
        <v>26</v>
      </c>
      <c r="AG67" t="s">
        <v>26</v>
      </c>
      <c r="AH67" t="s">
        <v>26</v>
      </c>
      <c r="AI67" t="s">
        <v>26</v>
      </c>
      <c r="AJ67" t="s">
        <v>26</v>
      </c>
      <c r="AK67" t="s">
        <v>26</v>
      </c>
      <c r="AL67" t="s">
        <v>26</v>
      </c>
      <c r="AM67" t="s">
        <v>26</v>
      </c>
      <c r="AN67" t="s">
        <v>26</v>
      </c>
      <c r="AO67" t="s">
        <v>26</v>
      </c>
      <c r="AP67" t="s">
        <v>26</v>
      </c>
      <c r="AQ67" t="s">
        <v>26</v>
      </c>
      <c r="AR67" t="s">
        <v>26</v>
      </c>
      <c r="AS67" t="s">
        <v>26</v>
      </c>
      <c r="AT67" t="s">
        <v>26</v>
      </c>
      <c r="AU67" t="s">
        <v>26</v>
      </c>
      <c r="AV67" t="s">
        <v>26</v>
      </c>
      <c r="AW67" t="s">
        <v>26</v>
      </c>
      <c r="AX67" t="s">
        <v>26</v>
      </c>
      <c r="AY67" t="s">
        <v>26</v>
      </c>
      <c r="AZ67" t="s">
        <v>26</v>
      </c>
      <c r="BA67" t="s">
        <v>26</v>
      </c>
      <c r="BB67" t="s">
        <v>26</v>
      </c>
      <c r="BC67" t="s">
        <v>26</v>
      </c>
      <c r="BD67" t="s">
        <v>26</v>
      </c>
      <c r="BE67" t="s">
        <v>26</v>
      </c>
      <c r="BF67" t="s">
        <v>26</v>
      </c>
      <c r="BG67" t="s">
        <v>26</v>
      </c>
      <c r="BH67" t="s">
        <v>26</v>
      </c>
      <c r="BI67" t="s">
        <v>26</v>
      </c>
      <c r="BJ67" t="s">
        <v>26</v>
      </c>
      <c r="BK67" t="s">
        <v>26</v>
      </c>
      <c r="BL67" t="s">
        <v>26</v>
      </c>
      <c r="BM67" t="s">
        <v>26</v>
      </c>
      <c r="BN67" t="s">
        <v>26</v>
      </c>
      <c r="BO67" t="s">
        <v>26</v>
      </c>
      <c r="BP67" t="s">
        <v>26</v>
      </c>
      <c r="BQ67" t="s">
        <v>26</v>
      </c>
      <c r="BR67" t="s">
        <v>26</v>
      </c>
      <c r="BS67" t="s">
        <v>26</v>
      </c>
      <c r="BT67" t="s">
        <v>26</v>
      </c>
      <c r="BU67" t="s">
        <v>26</v>
      </c>
      <c r="BV67" t="s">
        <v>26</v>
      </c>
      <c r="BW67" t="s">
        <v>26</v>
      </c>
      <c r="BX67" t="s">
        <v>26</v>
      </c>
      <c r="BY67" t="s">
        <v>26</v>
      </c>
      <c r="BZ67" t="s">
        <v>26</v>
      </c>
      <c r="CA67" t="s">
        <v>26</v>
      </c>
      <c r="CB67" t="s">
        <v>26</v>
      </c>
      <c r="CW67">
        <f t="shared" si="8"/>
        <v>1</v>
      </c>
      <c r="CX67" s="18">
        <f t="shared" si="9"/>
        <v>7</v>
      </c>
      <c r="CY67" t="str">
        <f t="shared" si="10"/>
        <v/>
      </c>
      <c r="CZ67">
        <v>0</v>
      </c>
      <c r="DA67">
        <f t="shared" si="11"/>
        <v>0</v>
      </c>
      <c r="DB67">
        <f t="shared" si="12"/>
        <v>0</v>
      </c>
    </row>
    <row r="68" spans="1:106" x14ac:dyDescent="0.35">
      <c r="A68" t="s">
        <v>47</v>
      </c>
      <c r="B68" t="s">
        <v>26</v>
      </c>
      <c r="C68" t="s">
        <v>26</v>
      </c>
      <c r="D68" t="s">
        <v>26</v>
      </c>
      <c r="E68" t="s">
        <v>26</v>
      </c>
      <c r="F68" t="s">
        <v>26</v>
      </c>
      <c r="G68" t="s">
        <v>26</v>
      </c>
      <c r="H68" t="s">
        <v>26</v>
      </c>
      <c r="I68">
        <v>3.5</v>
      </c>
      <c r="J68" t="s">
        <v>26</v>
      </c>
      <c r="K68" t="s">
        <v>26</v>
      </c>
      <c r="L68" t="s">
        <v>26</v>
      </c>
      <c r="M68" t="s">
        <v>26</v>
      </c>
      <c r="N68" t="s">
        <v>26</v>
      </c>
      <c r="O68" t="s">
        <v>26</v>
      </c>
      <c r="P68" t="s">
        <v>26</v>
      </c>
      <c r="Q68" t="s">
        <v>26</v>
      </c>
      <c r="R68" t="s">
        <v>26</v>
      </c>
      <c r="S68" t="s">
        <v>26</v>
      </c>
      <c r="T68" t="s">
        <v>26</v>
      </c>
      <c r="U68" t="s">
        <v>26</v>
      </c>
      <c r="V68" t="s">
        <v>26</v>
      </c>
      <c r="W68" t="s">
        <v>26</v>
      </c>
      <c r="X68" t="s">
        <v>26</v>
      </c>
      <c r="Y68" t="s">
        <v>26</v>
      </c>
      <c r="Z68" t="s">
        <v>26</v>
      </c>
      <c r="AA68" t="s">
        <v>26</v>
      </c>
      <c r="AB68" t="s">
        <v>26</v>
      </c>
      <c r="AC68" t="s">
        <v>26</v>
      </c>
      <c r="AD68" t="s">
        <v>26</v>
      </c>
      <c r="AE68" t="s">
        <v>26</v>
      </c>
      <c r="AF68" t="s">
        <v>26</v>
      </c>
      <c r="AG68" t="s">
        <v>26</v>
      </c>
      <c r="AH68" t="s">
        <v>26</v>
      </c>
      <c r="AI68" t="s">
        <v>26</v>
      </c>
      <c r="AJ68" t="s">
        <v>26</v>
      </c>
      <c r="AK68" t="s">
        <v>26</v>
      </c>
      <c r="AL68" t="s">
        <v>26</v>
      </c>
      <c r="AM68" t="s">
        <v>26</v>
      </c>
      <c r="AN68" t="s">
        <v>26</v>
      </c>
      <c r="AO68" t="s">
        <v>26</v>
      </c>
      <c r="AP68" t="s">
        <v>26</v>
      </c>
      <c r="AQ68" t="s">
        <v>26</v>
      </c>
      <c r="AR68" t="s">
        <v>26</v>
      </c>
      <c r="AS68" t="s">
        <v>26</v>
      </c>
      <c r="AT68" t="s">
        <v>26</v>
      </c>
      <c r="AU68" t="s">
        <v>26</v>
      </c>
      <c r="AV68" t="s">
        <v>26</v>
      </c>
      <c r="AW68" t="s">
        <v>26</v>
      </c>
      <c r="AX68" t="s">
        <v>26</v>
      </c>
      <c r="AY68" t="s">
        <v>26</v>
      </c>
      <c r="AZ68" t="s">
        <v>26</v>
      </c>
      <c r="BA68" t="s">
        <v>26</v>
      </c>
      <c r="BB68" t="s">
        <v>26</v>
      </c>
      <c r="BC68" t="s">
        <v>26</v>
      </c>
      <c r="BD68" t="s">
        <v>26</v>
      </c>
      <c r="BE68" t="s">
        <v>26</v>
      </c>
      <c r="BF68" t="s">
        <v>26</v>
      </c>
      <c r="BG68" t="s">
        <v>26</v>
      </c>
      <c r="BH68" t="s">
        <v>26</v>
      </c>
      <c r="BI68" t="s">
        <v>26</v>
      </c>
      <c r="BJ68" t="s">
        <v>26</v>
      </c>
      <c r="BK68" t="s">
        <v>26</v>
      </c>
      <c r="BL68" t="s">
        <v>26</v>
      </c>
      <c r="BM68" t="s">
        <v>26</v>
      </c>
      <c r="BN68" t="s">
        <v>26</v>
      </c>
      <c r="BO68" t="s">
        <v>26</v>
      </c>
      <c r="BP68" t="s">
        <v>26</v>
      </c>
      <c r="BQ68" t="s">
        <v>26</v>
      </c>
      <c r="BR68" t="s">
        <v>26</v>
      </c>
      <c r="BS68" t="s">
        <v>26</v>
      </c>
      <c r="BT68" t="s">
        <v>26</v>
      </c>
      <c r="BU68" t="s">
        <v>26</v>
      </c>
      <c r="BV68" t="s">
        <v>26</v>
      </c>
      <c r="BW68" t="s">
        <v>26</v>
      </c>
      <c r="BX68" t="s">
        <v>26</v>
      </c>
      <c r="BY68" t="s">
        <v>26</v>
      </c>
      <c r="BZ68" t="s">
        <v>26</v>
      </c>
      <c r="CA68" t="s">
        <v>26</v>
      </c>
      <c r="CB68" t="s">
        <v>26</v>
      </c>
      <c r="CW68">
        <f t="shared" si="8"/>
        <v>1</v>
      </c>
      <c r="CX68" s="18">
        <f t="shared" si="9"/>
        <v>3.5</v>
      </c>
      <c r="CY68" t="str">
        <f t="shared" si="10"/>
        <v/>
      </c>
      <c r="CZ68">
        <v>0</v>
      </c>
      <c r="DA68">
        <f t="shared" si="11"/>
        <v>0</v>
      </c>
      <c r="DB68">
        <f t="shared" si="12"/>
        <v>0</v>
      </c>
    </row>
    <row r="69" spans="1:106" x14ac:dyDescent="0.35">
      <c r="A69" t="s">
        <v>83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>
        <v>3</v>
      </c>
      <c r="AC69" t="s">
        <v>26</v>
      </c>
      <c r="AD69" t="s">
        <v>26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 t="s">
        <v>26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CW69">
        <f t="shared" si="8"/>
        <v>1</v>
      </c>
      <c r="CX69" s="18">
        <f t="shared" si="9"/>
        <v>3</v>
      </c>
      <c r="CY69" t="str">
        <f t="shared" si="10"/>
        <v/>
      </c>
      <c r="CZ69">
        <v>0</v>
      </c>
      <c r="DA69">
        <f t="shared" si="11"/>
        <v>0</v>
      </c>
      <c r="DB69">
        <f t="shared" si="12"/>
        <v>0</v>
      </c>
    </row>
    <row r="70" spans="1:106" x14ac:dyDescent="0.35">
      <c r="A70" t="s">
        <v>347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 t="s">
        <v>26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>
        <v>6.5</v>
      </c>
      <c r="AQ70" t="s">
        <v>26</v>
      </c>
      <c r="AR70" t="s">
        <v>26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CW70">
        <f t="shared" si="8"/>
        <v>1</v>
      </c>
      <c r="CX70" s="18">
        <f t="shared" si="9"/>
        <v>6.5</v>
      </c>
      <c r="CY70" t="str">
        <f t="shared" si="10"/>
        <v/>
      </c>
      <c r="CZ70">
        <v>0</v>
      </c>
      <c r="DA70">
        <f t="shared" si="11"/>
        <v>0</v>
      </c>
      <c r="DB70">
        <f t="shared" si="12"/>
        <v>0</v>
      </c>
    </row>
    <row r="71" spans="1:106" x14ac:dyDescent="0.35">
      <c r="A71" t="s">
        <v>350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 t="s">
        <v>26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>
        <v>4</v>
      </c>
      <c r="AS71" t="s">
        <v>26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CW71">
        <f t="shared" si="8"/>
        <v>1</v>
      </c>
      <c r="CX71" s="18">
        <f t="shared" si="9"/>
        <v>4</v>
      </c>
      <c r="CY71" t="str">
        <f t="shared" si="10"/>
        <v/>
      </c>
      <c r="CZ71">
        <v>0</v>
      </c>
      <c r="DA71">
        <f t="shared" si="11"/>
        <v>0</v>
      </c>
      <c r="DB71">
        <f t="shared" si="12"/>
        <v>0</v>
      </c>
    </row>
    <row r="72" spans="1:106" x14ac:dyDescent="0.35">
      <c r="A72" t="s">
        <v>351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 t="s">
        <v>26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>
        <v>6.5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CW72">
        <f t="shared" si="8"/>
        <v>1</v>
      </c>
      <c r="CX72" s="18">
        <f t="shared" si="9"/>
        <v>6.5</v>
      </c>
      <c r="CY72" t="str">
        <f t="shared" si="10"/>
        <v/>
      </c>
      <c r="CZ72">
        <v>0</v>
      </c>
      <c r="DA72">
        <f t="shared" si="11"/>
        <v>0</v>
      </c>
      <c r="DB72">
        <f t="shared" si="12"/>
        <v>0</v>
      </c>
    </row>
    <row r="73" spans="1:106" x14ac:dyDescent="0.35">
      <c r="A73" t="s">
        <v>352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 t="s">
        <v>26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>
        <v>5</v>
      </c>
      <c r="AT73" t="s">
        <v>26</v>
      </c>
      <c r="AU73" t="s">
        <v>26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CW73">
        <f t="shared" si="8"/>
        <v>1</v>
      </c>
      <c r="CX73" s="18">
        <f t="shared" si="9"/>
        <v>5</v>
      </c>
      <c r="CY73" t="str">
        <f t="shared" si="10"/>
        <v/>
      </c>
      <c r="CZ73">
        <v>0</v>
      </c>
      <c r="DA73">
        <f t="shared" si="11"/>
        <v>0</v>
      </c>
      <c r="DB73">
        <f t="shared" si="12"/>
        <v>0</v>
      </c>
    </row>
    <row r="74" spans="1:106" x14ac:dyDescent="0.35">
      <c r="A74" t="s">
        <v>354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 t="s">
        <v>26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>
        <v>5.5</v>
      </c>
      <c r="AV74" t="s">
        <v>26</v>
      </c>
      <c r="AW74" t="s">
        <v>26</v>
      </c>
      <c r="AX74" t="s">
        <v>26</v>
      </c>
      <c r="AY74" t="s">
        <v>26</v>
      </c>
      <c r="AZ74" t="s">
        <v>26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CW74">
        <f t="shared" si="8"/>
        <v>1</v>
      </c>
      <c r="CX74" s="18">
        <f t="shared" si="9"/>
        <v>5.5</v>
      </c>
      <c r="CY74" t="str">
        <f t="shared" si="10"/>
        <v/>
      </c>
      <c r="CZ74">
        <v>0</v>
      </c>
      <c r="DA74">
        <f t="shared" si="11"/>
        <v>0</v>
      </c>
      <c r="DB74">
        <f t="shared" si="12"/>
        <v>0</v>
      </c>
    </row>
    <row r="75" spans="1:106" x14ac:dyDescent="0.35">
      <c r="A75" t="s">
        <v>365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 t="s">
        <v>26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>
        <v>2</v>
      </c>
      <c r="BA75" t="s">
        <v>26</v>
      </c>
      <c r="BB75" t="s">
        <v>26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CW75">
        <f t="shared" si="8"/>
        <v>1</v>
      </c>
      <c r="CX75" s="18">
        <f t="shared" si="9"/>
        <v>2</v>
      </c>
      <c r="CY75" t="str">
        <f t="shared" si="10"/>
        <v/>
      </c>
      <c r="CZ75">
        <v>0</v>
      </c>
      <c r="DA75">
        <f t="shared" si="11"/>
        <v>0</v>
      </c>
      <c r="DB75">
        <f t="shared" si="12"/>
        <v>0</v>
      </c>
    </row>
    <row r="76" spans="1:106" x14ac:dyDescent="0.35">
      <c r="A76" t="s">
        <v>366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 t="s">
        <v>26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>
        <v>2.5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 t="s">
        <v>26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CW76">
        <f t="shared" si="8"/>
        <v>1</v>
      </c>
      <c r="CX76" s="18">
        <f t="shared" si="9"/>
        <v>2.5</v>
      </c>
      <c r="CY76" t="str">
        <f t="shared" si="10"/>
        <v/>
      </c>
      <c r="CZ76">
        <v>0</v>
      </c>
      <c r="DA76">
        <f t="shared" si="11"/>
        <v>0</v>
      </c>
      <c r="DB76">
        <f t="shared" si="12"/>
        <v>0</v>
      </c>
    </row>
    <row r="77" spans="1:106" x14ac:dyDescent="0.35">
      <c r="A77" t="s">
        <v>374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 t="s">
        <v>26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>
        <v>7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CW77">
        <f t="shared" si="8"/>
        <v>1</v>
      </c>
      <c r="CX77" s="18">
        <f t="shared" si="9"/>
        <v>7</v>
      </c>
      <c r="CY77" t="str">
        <f t="shared" si="10"/>
        <v/>
      </c>
      <c r="CZ77">
        <v>0</v>
      </c>
      <c r="DA77">
        <f t="shared" si="11"/>
        <v>0</v>
      </c>
      <c r="DB77">
        <f t="shared" si="12"/>
        <v>0</v>
      </c>
    </row>
    <row r="78" spans="1:106" x14ac:dyDescent="0.35">
      <c r="A78" t="s">
        <v>375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 t="s">
        <v>26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>
        <v>5.5</v>
      </c>
      <c r="BQ78" t="s">
        <v>26</v>
      </c>
      <c r="BR78" t="s">
        <v>26</v>
      </c>
      <c r="BS78" t="s">
        <v>26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CW78">
        <f t="shared" si="8"/>
        <v>1</v>
      </c>
      <c r="CX78" s="18">
        <f t="shared" si="9"/>
        <v>5.5</v>
      </c>
      <c r="CY78" t="str">
        <f t="shared" si="10"/>
        <v/>
      </c>
      <c r="CZ78">
        <v>0</v>
      </c>
      <c r="DA78">
        <f t="shared" si="11"/>
        <v>0</v>
      </c>
      <c r="DB78">
        <f t="shared" si="12"/>
        <v>0</v>
      </c>
    </row>
    <row r="79" spans="1:106" x14ac:dyDescent="0.35">
      <c r="A79" t="s">
        <v>377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 t="s">
        <v>26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>
        <v>5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 t="s">
        <v>26</v>
      </c>
      <c r="CA79" t="s">
        <v>26</v>
      </c>
      <c r="CB79" t="s">
        <v>26</v>
      </c>
      <c r="CW79">
        <f t="shared" si="8"/>
        <v>1</v>
      </c>
      <c r="CX79" s="18">
        <f t="shared" si="9"/>
        <v>5</v>
      </c>
      <c r="CY79" t="str">
        <f t="shared" si="10"/>
        <v/>
      </c>
      <c r="CZ79">
        <v>0</v>
      </c>
      <c r="DA79">
        <f t="shared" si="11"/>
        <v>0</v>
      </c>
      <c r="DB79">
        <f t="shared" si="12"/>
        <v>0</v>
      </c>
    </row>
    <row r="80" spans="1:106" x14ac:dyDescent="0.35">
      <c r="A80" t="s">
        <v>381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 t="s">
        <v>26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>
        <v>5.5</v>
      </c>
      <c r="CA80" t="s">
        <v>26</v>
      </c>
      <c r="CB80" t="s">
        <v>26</v>
      </c>
      <c r="CW80">
        <f t="shared" si="8"/>
        <v>1</v>
      </c>
      <c r="CX80" s="18">
        <f t="shared" si="9"/>
        <v>5.5</v>
      </c>
      <c r="CY80" t="str">
        <f t="shared" si="10"/>
        <v/>
      </c>
      <c r="CZ80">
        <v>0</v>
      </c>
      <c r="DA80">
        <f t="shared" si="11"/>
        <v>0</v>
      </c>
      <c r="DB80">
        <f t="shared" si="12"/>
        <v>0</v>
      </c>
    </row>
    <row r="81" spans="1:106" x14ac:dyDescent="0.35">
      <c r="A81" t="s">
        <v>382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 t="s">
        <v>26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>
        <v>5.5</v>
      </c>
      <c r="CA81" t="s">
        <v>26</v>
      </c>
      <c r="CB81" t="s">
        <v>26</v>
      </c>
      <c r="CW81">
        <f t="shared" si="8"/>
        <v>1</v>
      </c>
      <c r="CX81" s="18">
        <f t="shared" si="9"/>
        <v>5.5</v>
      </c>
      <c r="CY81" t="str">
        <f t="shared" si="10"/>
        <v/>
      </c>
      <c r="CZ81">
        <v>0</v>
      </c>
      <c r="DA81">
        <f t="shared" si="11"/>
        <v>0</v>
      </c>
      <c r="DB81">
        <f t="shared" si="12"/>
        <v>0</v>
      </c>
    </row>
    <row r="82" spans="1:106" x14ac:dyDescent="0.35">
      <c r="A82" t="s">
        <v>389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 t="s">
        <v>26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CH82">
        <v>7.5</v>
      </c>
      <c r="CW82">
        <f t="shared" si="8"/>
        <v>1</v>
      </c>
      <c r="CX82" s="18">
        <f t="shared" si="9"/>
        <v>7.5</v>
      </c>
      <c r="CY82" t="str">
        <f t="shared" si="10"/>
        <v/>
      </c>
      <c r="CZ82">
        <v>0</v>
      </c>
      <c r="DA82">
        <f t="shared" si="11"/>
        <v>0</v>
      </c>
      <c r="DB82">
        <f t="shared" si="12"/>
        <v>0</v>
      </c>
    </row>
    <row r="83" spans="1:106" x14ac:dyDescent="0.35">
      <c r="A83" t="s">
        <v>391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 t="s">
        <v>26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CI83">
        <v>7</v>
      </c>
      <c r="CW83">
        <f t="shared" si="8"/>
        <v>1</v>
      </c>
      <c r="CX83" s="18">
        <f t="shared" si="9"/>
        <v>7</v>
      </c>
      <c r="CY83" t="str">
        <f t="shared" si="10"/>
        <v/>
      </c>
      <c r="CZ83">
        <v>0</v>
      </c>
      <c r="DA83">
        <f t="shared" si="11"/>
        <v>0</v>
      </c>
      <c r="DB83">
        <f t="shared" si="12"/>
        <v>0</v>
      </c>
    </row>
    <row r="84" spans="1:106" x14ac:dyDescent="0.35">
      <c r="A84" t="s">
        <v>393</v>
      </c>
      <c r="CP84">
        <v>6</v>
      </c>
      <c r="CQ84">
        <v>6.5</v>
      </c>
      <c r="CS84">
        <v>6.5</v>
      </c>
      <c r="CT84">
        <v>7</v>
      </c>
      <c r="CU84">
        <v>3.5</v>
      </c>
      <c r="CW84">
        <f t="shared" si="8"/>
        <v>0</v>
      </c>
      <c r="CX84" s="18" t="e">
        <f t="shared" si="9"/>
        <v>#DIV/0!</v>
      </c>
      <c r="CY84" t="str">
        <f t="shared" si="10"/>
        <v/>
      </c>
      <c r="CZ84">
        <v>0</v>
      </c>
      <c r="DA84">
        <f t="shared" si="11"/>
        <v>3</v>
      </c>
      <c r="DB84">
        <f t="shared" si="12"/>
        <v>3</v>
      </c>
    </row>
    <row r="85" spans="1:106" x14ac:dyDescent="0.35">
      <c r="A85" t="s">
        <v>394</v>
      </c>
      <c r="CP85">
        <v>5.5</v>
      </c>
      <c r="CQ85">
        <v>6</v>
      </c>
      <c r="CS85">
        <v>6</v>
      </c>
      <c r="CW85">
        <f t="shared" si="8"/>
        <v>0</v>
      </c>
      <c r="CX85" s="18" t="e">
        <f t="shared" si="9"/>
        <v>#DIV/0!</v>
      </c>
      <c r="CY85" t="str">
        <f t="shared" si="10"/>
        <v/>
      </c>
      <c r="CZ85">
        <v>0</v>
      </c>
      <c r="DA85">
        <f t="shared" si="11"/>
        <v>3</v>
      </c>
      <c r="DB85">
        <f t="shared" si="12"/>
        <v>3</v>
      </c>
    </row>
    <row r="86" spans="1:106" x14ac:dyDescent="0.35">
      <c r="A86" t="s">
        <v>395</v>
      </c>
      <c r="CP86">
        <v>6.5</v>
      </c>
      <c r="CW86">
        <f t="shared" si="8"/>
        <v>0</v>
      </c>
      <c r="CX86" s="18" t="e">
        <f t="shared" si="9"/>
        <v>#DIV/0!</v>
      </c>
      <c r="CY86" t="str">
        <f t="shared" si="10"/>
        <v/>
      </c>
      <c r="CZ86">
        <v>0</v>
      </c>
      <c r="DA86">
        <f t="shared" si="11"/>
        <v>1</v>
      </c>
      <c r="DB86">
        <f t="shared" si="12"/>
        <v>1</v>
      </c>
    </row>
    <row r="87" spans="1:106" x14ac:dyDescent="0.35">
      <c r="A87" t="s">
        <v>396</v>
      </c>
      <c r="CQ87">
        <v>6.5</v>
      </c>
      <c r="CW87">
        <f t="shared" si="8"/>
        <v>0</v>
      </c>
      <c r="CX87" s="18" t="e">
        <f t="shared" si="9"/>
        <v>#DIV/0!</v>
      </c>
      <c r="CY87" t="str">
        <f t="shared" si="10"/>
        <v/>
      </c>
      <c r="CZ87">
        <v>0</v>
      </c>
      <c r="DA87">
        <f t="shared" si="11"/>
        <v>1</v>
      </c>
      <c r="DB87">
        <f t="shared" si="12"/>
        <v>1</v>
      </c>
    </row>
    <row r="88" spans="1:106" x14ac:dyDescent="0.35">
      <c r="A88" t="s">
        <v>392</v>
      </c>
      <c r="CO88">
        <v>6.5</v>
      </c>
      <c r="CP88">
        <v>7</v>
      </c>
      <c r="CQ88">
        <v>9</v>
      </c>
      <c r="CR88">
        <v>6.5</v>
      </c>
      <c r="CS88">
        <v>5.5</v>
      </c>
      <c r="CT88">
        <v>6.5</v>
      </c>
      <c r="CW88">
        <f t="shared" si="8"/>
        <v>0</v>
      </c>
      <c r="CX88" s="18" t="e">
        <f t="shared" si="9"/>
        <v>#DIV/0!</v>
      </c>
      <c r="CY88" t="str">
        <f t="shared" si="10"/>
        <v/>
      </c>
      <c r="CZ88">
        <v>1</v>
      </c>
      <c r="DA88">
        <f t="shared" si="11"/>
        <v>5</v>
      </c>
      <c r="DB88">
        <f t="shared" si="12"/>
        <v>0</v>
      </c>
    </row>
    <row r="89" spans="1:106" x14ac:dyDescent="0.35">
      <c r="A89" t="s">
        <v>399</v>
      </c>
      <c r="CU89">
        <v>7.5</v>
      </c>
      <c r="CW89">
        <f t="shared" ref="CW89" si="13">COUNT(B89:CI89)</f>
        <v>0</v>
      </c>
      <c r="CX89" s="18" t="e">
        <f t="shared" ref="CX89" si="14">AVERAGE(B89:CI89)</f>
        <v>#DIV/0!</v>
      </c>
      <c r="CY89" t="str">
        <f t="shared" ref="CY89" si="15">IF(CW89&gt;1,_xlfn.STDEV.S(B89:CF89),"")</f>
        <v/>
      </c>
      <c r="CZ89">
        <v>0.44444444444444398</v>
      </c>
      <c r="DA89">
        <f t="shared" ref="DA89" si="16">COUNT(CO89:CS89)</f>
        <v>0</v>
      </c>
      <c r="DB89">
        <f t="shared" ref="DB89" si="17">IF(CZ89=0,DA89,0)</f>
        <v>0</v>
      </c>
    </row>
  </sheetData>
  <autoFilter ref="A1:DB83" xr:uid="{B9A4D56B-02EF-476F-9B0E-F093A198C591}">
    <sortState ref="A2:DB88">
      <sortCondition descending="1" ref="CW1:CW83"/>
    </sortState>
  </autoFilter>
  <conditionalFormatting sqref="CW2:CW8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89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W2:CW8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8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8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8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8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7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67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6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U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1" workbookViewId="0">
      <selection activeCell="S15" sqref="S15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B93"/>
  <sheetViews>
    <sheetView topLeftCell="A22" zoomScale="85" zoomScaleNormal="85" workbookViewId="0">
      <pane xSplit="1" topLeftCell="K1" activePane="topRight" state="frozen"/>
      <selection activeCell="A31" sqref="A31"/>
      <selection pane="topRight" activeCell="X47" sqref="X47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4" width="12.26953125" style="22" customWidth="1"/>
    <col min="25" max="26" width="9.6328125" customWidth="1"/>
    <col min="28" max="28" width="16.6328125" bestFit="1" customWidth="1"/>
  </cols>
  <sheetData>
    <row r="1" spans="1:28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W1" s="22" t="s">
        <v>348</v>
      </c>
      <c r="X1" s="22" t="s">
        <v>355</v>
      </c>
      <c r="AB1" t="s">
        <v>349</v>
      </c>
    </row>
    <row r="2" spans="1:28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X2" s="19">
        <v>81.34</v>
      </c>
      <c r="AB2" s="1">
        <v>46149</v>
      </c>
    </row>
    <row r="3" spans="1:28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19">
        <v>96.34</v>
      </c>
      <c r="X3" s="19">
        <v>81.34</v>
      </c>
    </row>
    <row r="4" spans="1:28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8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s="19"/>
      <c r="AA5" t="s">
        <v>370</v>
      </c>
      <c r="AB5">
        <v>18</v>
      </c>
    </row>
    <row r="6" spans="1:28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X6" s="19">
        <v>27</v>
      </c>
      <c r="AA6" t="s">
        <v>371</v>
      </c>
      <c r="AB6">
        <f>27*AB5</f>
        <v>486</v>
      </c>
    </row>
    <row r="7" spans="1:28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s="19"/>
      <c r="AA7" t="s">
        <v>372</v>
      </c>
      <c r="AB7">
        <f>1950-AB6</f>
        <v>1464</v>
      </c>
    </row>
    <row r="8" spans="1:28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AA8" t="s">
        <v>373</v>
      </c>
      <c r="AB8">
        <f>AB7/18</f>
        <v>81.333333333333329</v>
      </c>
    </row>
    <row r="9" spans="1:28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8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  <c r="X10" s="19">
        <v>81.34</v>
      </c>
    </row>
    <row r="11" spans="1:28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  <c r="X11" s="19">
        <v>81.34</v>
      </c>
    </row>
    <row r="12" spans="1:28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  <c r="X12" s="19">
        <v>81.34</v>
      </c>
    </row>
    <row r="13" spans="1:28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  <c r="X13" s="19">
        <v>81.34</v>
      </c>
    </row>
    <row r="14" spans="1:28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  <c r="X14" s="19"/>
    </row>
    <row r="15" spans="1:28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  <c r="X15" s="21">
        <v>81.34</v>
      </c>
    </row>
    <row r="16" spans="1:28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X16" s="19">
        <v>81.34</v>
      </c>
      <c r="AA16" s="60"/>
    </row>
    <row r="17" spans="1:27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AA17" s="60"/>
    </row>
    <row r="18" spans="1:27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  <c r="X18" s="19">
        <v>81.34</v>
      </c>
    </row>
    <row r="19" spans="1:27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  <c r="X19" s="19">
        <v>81.34</v>
      </c>
    </row>
    <row r="20" spans="1:27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19">
        <v>48.17</v>
      </c>
      <c r="X20" s="19"/>
    </row>
    <row r="21" spans="1:27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7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7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7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  <c r="X24" s="19">
        <v>54</v>
      </c>
    </row>
    <row r="25" spans="1:27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7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>
        <v>81.34</v>
      </c>
      <c r="Y26" s="19"/>
      <c r="Z26" s="19"/>
    </row>
    <row r="27" spans="1:27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  <c r="X27" s="19"/>
    </row>
    <row r="28" spans="1:27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7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7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21">
        <v>27</v>
      </c>
      <c r="X30" s="21">
        <v>27</v>
      </c>
      <c r="Y30">
        <v>24.84</v>
      </c>
    </row>
    <row r="31" spans="1:27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7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  <c r="X32" s="19"/>
    </row>
    <row r="33" spans="1:24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4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 s="19">
        <v>81.34</v>
      </c>
    </row>
    <row r="35" spans="1:24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  <c r="X35" s="19"/>
    </row>
    <row r="36" spans="1:24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4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  <c r="X37" s="19"/>
    </row>
    <row r="38" spans="1:24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  <c r="X38" s="19">
        <v>27</v>
      </c>
    </row>
    <row r="39" spans="1:24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  <c r="X39" s="21">
        <v>81.34</v>
      </c>
    </row>
    <row r="40" spans="1:24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19">
        <v>27</v>
      </c>
      <c r="X40" s="19"/>
    </row>
    <row r="41" spans="1:24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4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  <c r="X42" s="19">
        <v>27</v>
      </c>
    </row>
    <row r="43" spans="1:24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  <c r="X43" s="19">
        <v>27</v>
      </c>
    </row>
    <row r="44" spans="1:24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4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4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4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  <c r="X47" s="21">
        <v>81.34</v>
      </c>
    </row>
    <row r="48" spans="1:24" x14ac:dyDescent="0.35">
      <c r="A48" t="s">
        <v>388</v>
      </c>
      <c r="C48" s="19"/>
      <c r="D48" s="19"/>
      <c r="E48" s="19"/>
      <c r="F48" s="19"/>
      <c r="G48" s="19">
        <v>25</v>
      </c>
      <c r="H48" s="19"/>
      <c r="I48" s="19"/>
      <c r="V48" s="19">
        <v>27</v>
      </c>
    </row>
    <row r="49" spans="1:24" x14ac:dyDescent="0.35">
      <c r="A49" t="s">
        <v>80</v>
      </c>
      <c r="G49" s="19">
        <v>25</v>
      </c>
      <c r="H49" s="19"/>
      <c r="I49" s="19"/>
    </row>
    <row r="50" spans="1:24" x14ac:dyDescent="0.35">
      <c r="A50" t="s">
        <v>83</v>
      </c>
      <c r="G50" s="19"/>
      <c r="H50" s="19">
        <v>25</v>
      </c>
      <c r="I50" s="19"/>
    </row>
    <row r="51" spans="1:24" x14ac:dyDescent="0.35">
      <c r="A51" t="s">
        <v>86</v>
      </c>
      <c r="G51" s="19"/>
      <c r="H51" s="19">
        <v>25</v>
      </c>
      <c r="I51" s="19"/>
    </row>
    <row r="52" spans="1:24" x14ac:dyDescent="0.35">
      <c r="A52" t="s">
        <v>85</v>
      </c>
      <c r="G52" s="19"/>
      <c r="H52" s="19">
        <v>25</v>
      </c>
      <c r="I52" s="19">
        <v>50</v>
      </c>
    </row>
    <row r="53" spans="1:24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  <c r="X53" s="19">
        <v>81.34</v>
      </c>
    </row>
    <row r="54" spans="1:24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19">
        <v>27</v>
      </c>
      <c r="X54" s="19"/>
    </row>
    <row r="55" spans="1:24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4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4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  <c r="X57" s="19">
        <v>27</v>
      </c>
    </row>
    <row r="58" spans="1:24" x14ac:dyDescent="0.35">
      <c r="A58" t="s">
        <v>345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 s="19">
        <v>27</v>
      </c>
    </row>
    <row r="59" spans="1:24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4" x14ac:dyDescent="0.35">
      <c r="A60" t="s">
        <v>347</v>
      </c>
      <c r="G60"/>
      <c r="H60"/>
      <c r="I60"/>
      <c r="K60" s="19">
        <v>25</v>
      </c>
      <c r="L60" s="19"/>
    </row>
    <row r="61" spans="1:24" x14ac:dyDescent="0.35">
      <c r="A61" t="s">
        <v>354</v>
      </c>
      <c r="G61"/>
      <c r="H61"/>
      <c r="I61"/>
      <c r="K61" s="19"/>
      <c r="L61" s="19">
        <v>25</v>
      </c>
    </row>
    <row r="62" spans="1:24" x14ac:dyDescent="0.35">
      <c r="A62" t="s">
        <v>356</v>
      </c>
      <c r="L62" s="19">
        <v>25</v>
      </c>
    </row>
    <row r="63" spans="1:24" x14ac:dyDescent="0.35">
      <c r="A63" t="s">
        <v>352</v>
      </c>
      <c r="L63" s="19">
        <v>25</v>
      </c>
    </row>
    <row r="64" spans="1:24" x14ac:dyDescent="0.35">
      <c r="A64" t="s">
        <v>350</v>
      </c>
      <c r="L64" s="19">
        <v>25</v>
      </c>
    </row>
    <row r="65" spans="1:24" x14ac:dyDescent="0.35">
      <c r="A65" t="s">
        <v>363</v>
      </c>
      <c r="L65" s="19"/>
      <c r="M65" s="19">
        <v>25</v>
      </c>
      <c r="U65" s="19">
        <v>27</v>
      </c>
    </row>
    <row r="66" spans="1:24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4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  <c r="X67" s="19"/>
    </row>
    <row r="68" spans="1:24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4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4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  <c r="X70" s="19"/>
    </row>
    <row r="71" spans="1:24" x14ac:dyDescent="0.35">
      <c r="A71" t="s">
        <v>369</v>
      </c>
      <c r="O71" s="19">
        <v>54</v>
      </c>
      <c r="P71" s="19"/>
      <c r="Q71" s="19"/>
    </row>
    <row r="72" spans="1:24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  <c r="X72" s="19">
        <v>81.34</v>
      </c>
    </row>
    <row r="73" spans="1:24" x14ac:dyDescent="0.35">
      <c r="A73" t="s">
        <v>374</v>
      </c>
      <c r="O73" s="19"/>
      <c r="P73" s="19"/>
      <c r="Q73" s="19">
        <v>27</v>
      </c>
    </row>
    <row r="74" spans="1:24" x14ac:dyDescent="0.35">
      <c r="A74" t="s">
        <v>375</v>
      </c>
      <c r="O74" s="19"/>
      <c r="P74" s="19"/>
      <c r="Q74" s="19">
        <v>27</v>
      </c>
    </row>
    <row r="75" spans="1:24" x14ac:dyDescent="0.35">
      <c r="A75" t="s">
        <v>377</v>
      </c>
      <c r="O75" s="19"/>
      <c r="P75" s="19"/>
      <c r="Q75" s="19"/>
      <c r="R75" s="19">
        <v>27</v>
      </c>
      <c r="S75" s="19"/>
    </row>
    <row r="76" spans="1:24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  <c r="X76" s="21">
        <v>81.34</v>
      </c>
    </row>
    <row r="77" spans="1:24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4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4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4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  <c r="X80" s="21">
        <v>27</v>
      </c>
    </row>
    <row r="81" spans="1:24" x14ac:dyDescent="0.35">
      <c r="A81" t="s">
        <v>387</v>
      </c>
      <c r="O81" s="19"/>
      <c r="P81" s="19"/>
      <c r="Q81" s="19"/>
      <c r="R81" s="19"/>
      <c r="S81" s="19"/>
      <c r="T81" s="19"/>
      <c r="U81" s="19"/>
      <c r="V81" s="19">
        <f>27*3</f>
        <v>81</v>
      </c>
    </row>
    <row r="82" spans="1:24" x14ac:dyDescent="0.35">
      <c r="A82" t="s">
        <v>389</v>
      </c>
      <c r="O82" s="19"/>
      <c r="P82" s="19"/>
      <c r="Q82" s="19"/>
      <c r="R82" s="19"/>
      <c r="S82" s="19"/>
      <c r="T82" s="19"/>
      <c r="U82" s="19"/>
      <c r="V82" s="19">
        <v>27</v>
      </c>
    </row>
    <row r="83" spans="1:24" x14ac:dyDescent="0.35">
      <c r="A83" t="s">
        <v>391</v>
      </c>
      <c r="O83" s="19"/>
      <c r="P83" s="19"/>
      <c r="Q83" s="19"/>
      <c r="R83" s="19"/>
      <c r="S83" s="19"/>
      <c r="T83" s="19"/>
      <c r="U83" s="19"/>
      <c r="V83" s="19">
        <v>27</v>
      </c>
    </row>
    <row r="84" spans="1:24" x14ac:dyDescent="0.35">
      <c r="A84" t="s">
        <v>398</v>
      </c>
      <c r="O84" s="19"/>
      <c r="P84" s="19"/>
      <c r="Q84" s="19"/>
      <c r="R84" s="19"/>
      <c r="S84" s="19"/>
      <c r="T84" s="19"/>
      <c r="U84" s="19"/>
      <c r="V84" s="19"/>
      <c r="X84" s="21">
        <v>81.34</v>
      </c>
    </row>
    <row r="85" spans="1:24" x14ac:dyDescent="0.35">
      <c r="A85" t="s">
        <v>394</v>
      </c>
      <c r="O85" s="19"/>
      <c r="P85" s="19"/>
      <c r="Q85" s="19"/>
      <c r="R85" s="19"/>
      <c r="S85" s="19"/>
      <c r="T85" s="19"/>
      <c r="U85" s="19"/>
      <c r="V85" s="19"/>
      <c r="X85" s="21">
        <v>81</v>
      </c>
    </row>
    <row r="86" spans="1:24" x14ac:dyDescent="0.35">
      <c r="A86" t="s">
        <v>393</v>
      </c>
      <c r="O86" s="19"/>
      <c r="P86" s="19"/>
      <c r="Q86" s="19"/>
      <c r="R86" s="19"/>
      <c r="S86" s="19"/>
      <c r="T86" s="19"/>
      <c r="U86" s="19"/>
      <c r="V86" s="19"/>
      <c r="X86" s="19">
        <v>81</v>
      </c>
    </row>
    <row r="87" spans="1:24" x14ac:dyDescent="0.35">
      <c r="A87" t="s">
        <v>395</v>
      </c>
      <c r="O87" s="19"/>
      <c r="P87" s="19"/>
      <c r="Q87" s="19"/>
      <c r="R87" s="19"/>
      <c r="S87" s="19"/>
      <c r="T87" s="19"/>
      <c r="U87" s="19"/>
      <c r="V87" s="19"/>
      <c r="X87" s="21">
        <v>27</v>
      </c>
    </row>
    <row r="88" spans="1:24" x14ac:dyDescent="0.35">
      <c r="A88" t="s">
        <v>396</v>
      </c>
      <c r="O88" s="19"/>
      <c r="P88" s="19"/>
      <c r="Q88" s="19"/>
      <c r="R88" s="19"/>
      <c r="S88" s="19"/>
      <c r="T88" s="19"/>
      <c r="U88" s="19"/>
      <c r="V88" s="19"/>
      <c r="X88" s="21">
        <v>27</v>
      </c>
    </row>
    <row r="89" spans="1:24" x14ac:dyDescent="0.35">
      <c r="U89" s="22"/>
    </row>
    <row r="90" spans="1:24" x14ac:dyDescent="0.35">
      <c r="A90" t="s">
        <v>386</v>
      </c>
      <c r="B90" s="20">
        <f>SUM(B2:B80)</f>
        <v>1799.9999999999998</v>
      </c>
      <c r="C90" s="20">
        <f t="shared" ref="C90:U90" si="1">SUM(C2:C80)</f>
        <v>1800.1200000000001</v>
      </c>
      <c r="D90" s="20">
        <f t="shared" si="1"/>
        <v>1825.1200000000001</v>
      </c>
      <c r="E90" s="20">
        <f t="shared" si="1"/>
        <v>1775.04</v>
      </c>
      <c r="F90" s="20">
        <f t="shared" si="1"/>
        <v>1850.04</v>
      </c>
      <c r="G90" s="20">
        <f t="shared" si="1"/>
        <v>1800.0399999999997</v>
      </c>
      <c r="H90" s="20">
        <f t="shared" si="1"/>
        <v>1800.14</v>
      </c>
      <c r="I90" s="20">
        <f t="shared" si="1"/>
        <v>1800.0399999999997</v>
      </c>
      <c r="J90" s="20">
        <f t="shared" si="1"/>
        <v>1800.1599999999994</v>
      </c>
      <c r="K90" s="20">
        <f t="shared" si="1"/>
        <v>1825.0066666666664</v>
      </c>
      <c r="L90" s="20">
        <f t="shared" si="1"/>
        <v>1800.0600000000004</v>
      </c>
      <c r="M90" s="20">
        <f t="shared" si="1"/>
        <v>1800.0200000000004</v>
      </c>
      <c r="N90" s="20">
        <f t="shared" si="1"/>
        <v>1950.1199999999997</v>
      </c>
      <c r="O90" s="20">
        <f t="shared" si="1"/>
        <v>1950.1199999999997</v>
      </c>
      <c r="P90" s="20">
        <f t="shared" si="1"/>
        <v>1950.1199999999997</v>
      </c>
      <c r="Q90" s="20">
        <f t="shared" si="1"/>
        <v>1951.9399999999998</v>
      </c>
      <c r="R90" s="20">
        <f t="shared" si="1"/>
        <v>1952.1199999999997</v>
      </c>
      <c r="S90" s="20">
        <f t="shared" si="1"/>
        <v>1950.1199999999997</v>
      </c>
      <c r="T90" s="20">
        <f t="shared" si="1"/>
        <v>1950.1199999999997</v>
      </c>
      <c r="U90" s="20">
        <f t="shared" si="1"/>
        <v>1950.1199999999997</v>
      </c>
      <c r="V90" s="20">
        <f>SUM(V2:V83)</f>
        <v>1950.12</v>
      </c>
      <c r="W90" s="20">
        <f>SUM(W2:W83)</f>
        <v>1950.1299999999994</v>
      </c>
      <c r="X90" s="20">
        <f>SUM(X2:X88)</f>
        <v>1950.1199999999997</v>
      </c>
    </row>
    <row r="91" spans="1:24" x14ac:dyDescent="0.35">
      <c r="A91" t="s">
        <v>74</v>
      </c>
      <c r="B91" s="20">
        <f>SUM(B3:B28)</f>
        <v>1716.6666666666665</v>
      </c>
      <c r="C91" s="20">
        <f>SUM(C3:C35)</f>
        <v>1729.2800000000002</v>
      </c>
      <c r="D91" s="20">
        <f>SUM(D3:D38)</f>
        <v>1754.2800000000002</v>
      </c>
      <c r="E91" s="20">
        <f>SUM(E3:E41)</f>
        <v>1697.26</v>
      </c>
      <c r="F91" s="20">
        <f>SUM(F3:F44)</f>
        <v>1772.26</v>
      </c>
      <c r="G91" s="20">
        <f>SUM(G3:G49)</f>
        <v>1722.2599999999998</v>
      </c>
      <c r="H91" s="20">
        <f>SUM(H3:H53)</f>
        <v>1715.41</v>
      </c>
      <c r="I91" s="20">
        <f>SUM(I3:I53)</f>
        <v>1722.2599999999998</v>
      </c>
      <c r="J91" s="20">
        <f>SUM(J3:J56)</f>
        <v>1714.0399999999995</v>
      </c>
      <c r="K91" s="20">
        <f>SUM(K3:K59)</f>
        <v>1716.6733333333332</v>
      </c>
      <c r="L91" s="20">
        <f>SUM(L3:L59)</f>
        <v>1620.8900000000003</v>
      </c>
      <c r="M91" s="20">
        <f>SUM(M3:M69)</f>
        <v>1723.6300000000003</v>
      </c>
      <c r="N91" s="20">
        <f>SUM(N3:N69)</f>
        <v>1861.2799999999997</v>
      </c>
      <c r="O91" s="20">
        <f>SUM(O3:O71)</f>
        <v>1865.7799999999997</v>
      </c>
      <c r="P91" s="20">
        <f>SUM(P3:P71)</f>
        <v>1864.2799999999997</v>
      </c>
      <c r="Q91" s="20">
        <f>SUM(Q3:Q74)</f>
        <v>1869.11</v>
      </c>
      <c r="R91" s="20">
        <f>SUM(R3:R75)</f>
        <v>1870.7799999999997</v>
      </c>
      <c r="S91" s="20">
        <f>SUM(S3:S77)</f>
        <v>1864.2799999999997</v>
      </c>
      <c r="T91" s="20">
        <f>SUM(T3:T79)</f>
        <v>1859.7799999999997</v>
      </c>
      <c r="U91" s="20">
        <f>SUM(U3:U80)</f>
        <v>1856.7799999999997</v>
      </c>
      <c r="V91" s="20">
        <f>SUM(V3:V80)</f>
        <v>1736.78</v>
      </c>
      <c r="W91" s="20">
        <f>SUM(W3:W80)</f>
        <v>1853.7899999999993</v>
      </c>
      <c r="X91" s="20">
        <f>X90-X2</f>
        <v>1868.7799999999997</v>
      </c>
    </row>
    <row r="92" spans="1:24" x14ac:dyDescent="0.35">
      <c r="A92" t="s">
        <v>75</v>
      </c>
      <c r="B92" s="20">
        <f>25*12+83.34*17</f>
        <v>1716.78</v>
      </c>
      <c r="C92" s="20">
        <f>22*25+70.84*17</f>
        <v>1754.28</v>
      </c>
      <c r="D92" s="20">
        <f>20*25+70.84*17</f>
        <v>1704.28</v>
      </c>
      <c r="E92" s="20">
        <f>15*25+77.78*17</f>
        <v>1697.26</v>
      </c>
      <c r="F92" s="20">
        <f>18*25+77.78*17</f>
        <v>1772.26</v>
      </c>
      <c r="G92" s="23">
        <f>17*77.78+25*16</f>
        <v>1722.26</v>
      </c>
      <c r="H92" s="23">
        <f>11*25+84.73*17</f>
        <v>1715.41</v>
      </c>
      <c r="I92" s="23">
        <f>17*25+77.78*17</f>
        <v>1747.26</v>
      </c>
      <c r="J92" s="23">
        <f>10*25+86.12*17</f>
        <v>1714.04</v>
      </c>
      <c r="K92" s="23">
        <f>14*25+83.33*17</f>
        <v>1766.61</v>
      </c>
      <c r="L92" s="23">
        <f>15*25+79.17*17</f>
        <v>1720.89</v>
      </c>
      <c r="M92" s="23">
        <f>17*25+76.39*17</f>
        <v>1723.63</v>
      </c>
      <c r="N92" s="23">
        <f>14*27+88.84*17</f>
        <v>1888.28</v>
      </c>
      <c r="O92" s="23">
        <f>16*27+84.34*17</f>
        <v>1865.78</v>
      </c>
      <c r="P92" s="23">
        <f>15*27+85.84*17</f>
        <v>1864.28</v>
      </c>
      <c r="Q92" s="23">
        <f>17*27+82.83*17</f>
        <v>1867.11</v>
      </c>
      <c r="R92" s="23">
        <f>18*27+82.83*17</f>
        <v>1894.11</v>
      </c>
      <c r="S92" s="23">
        <f>15*27+85.84*17</f>
        <v>1864.28</v>
      </c>
      <c r="T92" s="23">
        <f>12*27+85.84*17</f>
        <v>1783.28</v>
      </c>
      <c r="U92" s="23">
        <f>9*27+85.84*17</f>
        <v>1702.28</v>
      </c>
      <c r="V92" s="23">
        <f>19*27+85.84*17</f>
        <v>1972.28</v>
      </c>
      <c r="W92" s="23">
        <f>7*27+85.84*17.25</f>
        <v>1669.74</v>
      </c>
      <c r="X92" s="23">
        <f>11*27+81.34*12</f>
        <v>1273.08</v>
      </c>
    </row>
    <row r="93" spans="1:24" x14ac:dyDescent="0.35">
      <c r="B93" s="24">
        <f t="shared" ref="B93:G93" si="2">B92/B91</f>
        <v>1.0000660194174757</v>
      </c>
      <c r="C93" s="24">
        <f t="shared" si="2"/>
        <v>1.0144568837897852</v>
      </c>
      <c r="D93" s="24">
        <f t="shared" si="2"/>
        <v>0.97149827849602099</v>
      </c>
      <c r="E93" s="24">
        <f t="shared" si="2"/>
        <v>1</v>
      </c>
      <c r="F93" s="24">
        <f t="shared" si="2"/>
        <v>1</v>
      </c>
      <c r="G93" s="24">
        <f t="shared" si="2"/>
        <v>1.0000000000000002</v>
      </c>
      <c r="H93" s="24">
        <f t="shared" ref="H93:I93" si="3">H92/H91</f>
        <v>1</v>
      </c>
      <c r="I93" s="24">
        <f t="shared" si="3"/>
        <v>1.0145158106209284</v>
      </c>
      <c r="J93" s="24">
        <f t="shared" ref="J93:K93" si="4">J92/J91</f>
        <v>1.0000000000000002</v>
      </c>
      <c r="K93" s="24">
        <f t="shared" si="4"/>
        <v>1.0290892074205538</v>
      </c>
      <c r="L93" s="24">
        <f t="shared" ref="L93:M93" si="5">L92/L91</f>
        <v>1.0616945011691106</v>
      </c>
      <c r="M93" s="24">
        <f t="shared" si="5"/>
        <v>0.99999999999999989</v>
      </c>
      <c r="N93" s="24">
        <f t="shared" ref="N93:O93" si="6">N92/N91</f>
        <v>1.0145061463079172</v>
      </c>
      <c r="O93" s="24">
        <f t="shared" si="6"/>
        <v>1.0000000000000002</v>
      </c>
      <c r="P93" s="24">
        <f t="shared" ref="P93" si="7">P92/P91</f>
        <v>1.0000000000000002</v>
      </c>
      <c r="Q93" s="24">
        <f t="shared" ref="Q93:V93" si="8">Q92/Q91</f>
        <v>0.99892997201876832</v>
      </c>
      <c r="R93" s="24">
        <f t="shared" si="8"/>
        <v>1.0124707341322872</v>
      </c>
      <c r="S93" s="24">
        <f t="shared" si="8"/>
        <v>1.0000000000000002</v>
      </c>
      <c r="T93" s="24">
        <f t="shared" si="8"/>
        <v>0.95886610244222448</v>
      </c>
      <c r="U93" s="24">
        <f>U92/U91</f>
        <v>0.91679143463415169</v>
      </c>
      <c r="V93" s="24">
        <f t="shared" si="8"/>
        <v>1.1355957576664863</v>
      </c>
      <c r="W93" s="24">
        <f t="shared" ref="W93:X93" si="9">W92/W91</f>
        <v>0.90071690968232687</v>
      </c>
      <c r="X93" s="24">
        <f t="shared" si="9"/>
        <v>0.68123588651419653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88"/>
  <sheetViews>
    <sheetView topLeftCell="A259" workbookViewId="0">
      <selection activeCell="J291" sqref="J291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390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390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387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387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388</v>
      </c>
      <c r="O247" s="10" t="s">
        <v>390</v>
      </c>
      <c r="P247" s="10" t="s">
        <v>389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388</v>
      </c>
      <c r="G248" s="10" t="s">
        <v>390</v>
      </c>
      <c r="H248" s="10" t="s">
        <v>389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387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387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391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391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387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387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  <row r="268" spans="1:16" x14ac:dyDescent="0.35">
      <c r="A268" s="1">
        <v>46113</v>
      </c>
      <c r="B268" s="62">
        <v>3</v>
      </c>
      <c r="C268" s="8" t="s">
        <v>9</v>
      </c>
      <c r="D268" s="8" t="s">
        <v>84</v>
      </c>
      <c r="E268" s="8" t="s">
        <v>56</v>
      </c>
      <c r="F268" s="8" t="s">
        <v>11</v>
      </c>
      <c r="G268" s="8" t="s">
        <v>2</v>
      </c>
      <c r="H268" s="8" t="s">
        <v>392</v>
      </c>
      <c r="I268" s="9">
        <v>3</v>
      </c>
      <c r="J268" s="10">
        <v>3</v>
      </c>
      <c r="K268" s="10" t="s">
        <v>15</v>
      </c>
      <c r="L268" s="10" t="s">
        <v>81</v>
      </c>
      <c r="M268" s="10" t="s">
        <v>378</v>
      </c>
      <c r="N268" s="10" t="s">
        <v>16</v>
      </c>
      <c r="O268" s="10" t="s">
        <v>343</v>
      </c>
      <c r="P268" s="10" t="s">
        <v>376</v>
      </c>
    </row>
    <row r="269" spans="1:16" x14ac:dyDescent="0.35">
      <c r="A269" s="1">
        <v>46113</v>
      </c>
      <c r="B269" s="62">
        <v>4</v>
      </c>
      <c r="C269" s="10" t="s">
        <v>15</v>
      </c>
      <c r="D269" s="10" t="s">
        <v>81</v>
      </c>
      <c r="E269" s="10" t="s">
        <v>378</v>
      </c>
      <c r="F269" s="10" t="s">
        <v>16</v>
      </c>
      <c r="G269" s="10" t="s">
        <v>343</v>
      </c>
      <c r="H269" s="10" t="s">
        <v>376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22</v>
      </c>
      <c r="N269" s="2" t="s">
        <v>82</v>
      </c>
      <c r="O269" s="61" t="s">
        <v>342</v>
      </c>
      <c r="P269" s="2" t="s">
        <v>345</v>
      </c>
    </row>
    <row r="270" spans="1:16" x14ac:dyDescent="0.35">
      <c r="A270" s="1">
        <v>46113</v>
      </c>
      <c r="B270" s="62">
        <v>4</v>
      </c>
      <c r="C270" s="2" t="s">
        <v>1</v>
      </c>
      <c r="D270" s="2" t="s">
        <v>10</v>
      </c>
      <c r="E270" s="2" t="s">
        <v>22</v>
      </c>
      <c r="F270" s="2" t="s">
        <v>82</v>
      </c>
      <c r="G270" s="61" t="s">
        <v>342</v>
      </c>
      <c r="H270" s="2" t="s">
        <v>345</v>
      </c>
      <c r="I270" s="5">
        <v>6</v>
      </c>
      <c r="J270" s="8">
        <v>6</v>
      </c>
      <c r="K270" s="8" t="s">
        <v>9</v>
      </c>
      <c r="L270" s="8" t="s">
        <v>84</v>
      </c>
      <c r="M270" s="8" t="s">
        <v>56</v>
      </c>
      <c r="N270" s="8" t="s">
        <v>11</v>
      </c>
      <c r="O270" s="8" t="s">
        <v>2</v>
      </c>
      <c r="P270" s="8" t="s">
        <v>392</v>
      </c>
    </row>
    <row r="271" spans="1:16" x14ac:dyDescent="0.35">
      <c r="A271" s="1">
        <v>46120</v>
      </c>
      <c r="B271" s="62">
        <v>5</v>
      </c>
      <c r="C271" s="8" t="s">
        <v>1</v>
      </c>
      <c r="D271" s="8" t="s">
        <v>2</v>
      </c>
      <c r="E271" s="8" t="s">
        <v>10</v>
      </c>
      <c r="F271" s="8" t="s">
        <v>395</v>
      </c>
      <c r="G271" s="8" t="s">
        <v>392</v>
      </c>
      <c r="H271" s="8"/>
      <c r="I271" s="9">
        <v>4</v>
      </c>
      <c r="J271" s="10">
        <v>5</v>
      </c>
      <c r="K271" s="10" t="s">
        <v>9</v>
      </c>
      <c r="L271" s="10" t="s">
        <v>81</v>
      </c>
      <c r="M271" s="10" t="s">
        <v>63</v>
      </c>
      <c r="N271" s="10" t="s">
        <v>378</v>
      </c>
      <c r="O271" s="10" t="s">
        <v>367</v>
      </c>
      <c r="P271" s="10"/>
    </row>
    <row r="272" spans="1:16" x14ac:dyDescent="0.35">
      <c r="A272" s="1">
        <v>46120</v>
      </c>
      <c r="B272" s="62">
        <v>5</v>
      </c>
      <c r="C272" s="10" t="s">
        <v>9</v>
      </c>
      <c r="D272" s="10" t="s">
        <v>81</v>
      </c>
      <c r="E272" s="10" t="s">
        <v>63</v>
      </c>
      <c r="F272" s="10" t="s">
        <v>378</v>
      </c>
      <c r="G272" s="10" t="s">
        <v>367</v>
      </c>
      <c r="H272" s="10"/>
      <c r="I272" s="11">
        <v>6</v>
      </c>
      <c r="J272" s="2">
        <v>8</v>
      </c>
      <c r="K272" s="2" t="s">
        <v>11</v>
      </c>
      <c r="L272" s="2" t="s">
        <v>15</v>
      </c>
      <c r="M272" s="2" t="s">
        <v>56</v>
      </c>
      <c r="N272" s="2" t="s">
        <v>393</v>
      </c>
      <c r="O272" s="61" t="s">
        <v>394</v>
      </c>
      <c r="P272" s="2"/>
    </row>
    <row r="273" spans="1:16" x14ac:dyDescent="0.35">
      <c r="A273" s="1">
        <v>46120</v>
      </c>
      <c r="B273" s="62">
        <v>4</v>
      </c>
      <c r="C273" s="2" t="s">
        <v>11</v>
      </c>
      <c r="D273" s="2" t="s">
        <v>15</v>
      </c>
      <c r="E273" s="2" t="s">
        <v>56</v>
      </c>
      <c r="F273" s="2" t="s">
        <v>393</v>
      </c>
      <c r="G273" s="61" t="s">
        <v>394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395</v>
      </c>
      <c r="O273" s="8" t="s">
        <v>392</v>
      </c>
      <c r="P273" s="8"/>
    </row>
    <row r="274" spans="1:16" x14ac:dyDescent="0.35">
      <c r="A274" s="1">
        <v>46127</v>
      </c>
      <c r="B274" s="62">
        <v>4</v>
      </c>
      <c r="C274" s="8" t="s">
        <v>10</v>
      </c>
      <c r="D274" s="8" t="s">
        <v>378</v>
      </c>
      <c r="E274" s="8" t="s">
        <v>11</v>
      </c>
      <c r="F274" s="8" t="s">
        <v>81</v>
      </c>
      <c r="G274" s="8" t="s">
        <v>343</v>
      </c>
      <c r="H274" s="8" t="s">
        <v>396</v>
      </c>
      <c r="I274" s="9">
        <v>4</v>
      </c>
      <c r="J274" s="10">
        <v>5</v>
      </c>
      <c r="K274" s="10" t="s">
        <v>1</v>
      </c>
      <c r="L274" s="10" t="s">
        <v>16</v>
      </c>
      <c r="M274" s="10" t="s">
        <v>15</v>
      </c>
      <c r="N274" s="10" t="s">
        <v>19</v>
      </c>
      <c r="O274" s="10" t="s">
        <v>22</v>
      </c>
      <c r="P274" s="10" t="s">
        <v>2</v>
      </c>
    </row>
    <row r="275" spans="1:16" x14ac:dyDescent="0.35">
      <c r="A275" s="1">
        <v>46127</v>
      </c>
      <c r="B275" s="62">
        <v>7</v>
      </c>
      <c r="C275" s="10" t="s">
        <v>1</v>
      </c>
      <c r="D275" s="10" t="s">
        <v>16</v>
      </c>
      <c r="E275" s="10" t="s">
        <v>15</v>
      </c>
      <c r="F275" s="10" t="s">
        <v>19</v>
      </c>
      <c r="G275" s="10" t="s">
        <v>22</v>
      </c>
      <c r="H275" s="10" t="s">
        <v>2</v>
      </c>
      <c r="I275" s="11">
        <v>9</v>
      </c>
      <c r="J275" s="2">
        <v>5</v>
      </c>
      <c r="K275" s="2" t="s">
        <v>56</v>
      </c>
      <c r="L275" s="2" t="s">
        <v>82</v>
      </c>
      <c r="M275" s="2" t="s">
        <v>392</v>
      </c>
      <c r="N275" s="2" t="s">
        <v>376</v>
      </c>
      <c r="O275" s="61" t="s">
        <v>393</v>
      </c>
      <c r="P275" s="2" t="s">
        <v>394</v>
      </c>
    </row>
    <row r="276" spans="1:16" x14ac:dyDescent="0.35">
      <c r="A276" s="1">
        <v>46127</v>
      </c>
      <c r="B276" s="62">
        <v>4</v>
      </c>
      <c r="C276" s="2" t="s">
        <v>56</v>
      </c>
      <c r="D276" s="2" t="s">
        <v>82</v>
      </c>
      <c r="E276" s="2" t="s">
        <v>392</v>
      </c>
      <c r="F276" s="2" t="s">
        <v>376</v>
      </c>
      <c r="G276" s="61" t="s">
        <v>393</v>
      </c>
      <c r="H276" s="2" t="s">
        <v>394</v>
      </c>
      <c r="I276" s="5">
        <v>7</v>
      </c>
      <c r="J276" s="8">
        <v>4</v>
      </c>
      <c r="K276" s="8" t="s">
        <v>10</v>
      </c>
      <c r="L276" s="8" t="s">
        <v>378</v>
      </c>
      <c r="M276" s="8" t="s">
        <v>11</v>
      </c>
      <c r="N276" s="8" t="s">
        <v>81</v>
      </c>
      <c r="O276" s="8" t="s">
        <v>343</v>
      </c>
      <c r="P276" s="8" t="s">
        <v>396</v>
      </c>
    </row>
    <row r="277" spans="1:16" x14ac:dyDescent="0.35">
      <c r="A277" s="1">
        <v>46134</v>
      </c>
      <c r="B277" s="62">
        <v>3</v>
      </c>
      <c r="C277" s="8" t="s">
        <v>1</v>
      </c>
      <c r="D277" s="8" t="s">
        <v>16</v>
      </c>
      <c r="E277" s="8" t="s">
        <v>9</v>
      </c>
      <c r="F277" s="8" t="s">
        <v>81</v>
      </c>
      <c r="G277" s="8" t="s">
        <v>11</v>
      </c>
      <c r="H277" s="8" t="s">
        <v>343</v>
      </c>
      <c r="I277" s="9">
        <v>3</v>
      </c>
      <c r="J277" s="10">
        <v>3</v>
      </c>
      <c r="K277" s="10" t="s">
        <v>15</v>
      </c>
      <c r="L277" s="10" t="s">
        <v>10</v>
      </c>
      <c r="M277" s="10" t="s">
        <v>2</v>
      </c>
      <c r="N277" s="10" t="s">
        <v>5</v>
      </c>
      <c r="O277" s="10" t="s">
        <v>392</v>
      </c>
      <c r="P277" s="10" t="s">
        <v>66</v>
      </c>
    </row>
    <row r="278" spans="1:16" x14ac:dyDescent="0.35">
      <c r="A278" s="1">
        <v>46134</v>
      </c>
      <c r="B278" s="62">
        <v>4</v>
      </c>
      <c r="C278" s="10" t="s">
        <v>15</v>
      </c>
      <c r="D278" s="10" t="s">
        <v>10</v>
      </c>
      <c r="E278" s="10" t="s">
        <v>2</v>
      </c>
      <c r="F278" s="10" t="s">
        <v>5</v>
      </c>
      <c r="G278" s="10" t="s">
        <v>392</v>
      </c>
      <c r="H278" s="10" t="s">
        <v>66</v>
      </c>
      <c r="I278" s="11">
        <v>3</v>
      </c>
      <c r="J278" s="2">
        <v>5</v>
      </c>
      <c r="K278" s="2" t="s">
        <v>56</v>
      </c>
      <c r="L278" s="2" t="s">
        <v>82</v>
      </c>
      <c r="M278" s="2" t="s">
        <v>19</v>
      </c>
      <c r="N278" s="2" t="s">
        <v>367</v>
      </c>
      <c r="O278" s="61" t="s">
        <v>84</v>
      </c>
      <c r="P278" s="2" t="s">
        <v>20</v>
      </c>
    </row>
    <row r="279" spans="1:16" x14ac:dyDescent="0.35">
      <c r="A279" s="1">
        <v>46134</v>
      </c>
      <c r="B279" s="62">
        <v>4</v>
      </c>
      <c r="C279" s="2" t="s">
        <v>56</v>
      </c>
      <c r="D279" s="2" t="s">
        <v>82</v>
      </c>
      <c r="E279" s="2" t="s">
        <v>19</v>
      </c>
      <c r="F279" s="2" t="s">
        <v>367</v>
      </c>
      <c r="G279" s="61" t="s">
        <v>84</v>
      </c>
      <c r="H279" s="2" t="s">
        <v>20</v>
      </c>
      <c r="I279" s="5">
        <v>3</v>
      </c>
      <c r="J279" s="8">
        <v>2</v>
      </c>
      <c r="K279" s="8" t="s">
        <v>1</v>
      </c>
      <c r="L279" s="8" t="s">
        <v>16</v>
      </c>
      <c r="M279" s="8" t="s">
        <v>9</v>
      </c>
      <c r="N279" s="8" t="s">
        <v>81</v>
      </c>
      <c r="O279" s="8" t="s">
        <v>11</v>
      </c>
      <c r="P279" s="8" t="s">
        <v>343</v>
      </c>
    </row>
    <row r="280" spans="1:16" x14ac:dyDescent="0.35">
      <c r="A280" s="1">
        <v>46141</v>
      </c>
      <c r="B280" s="62">
        <v>5</v>
      </c>
      <c r="C280" s="8" t="s">
        <v>1</v>
      </c>
      <c r="D280" s="8" t="s">
        <v>81</v>
      </c>
      <c r="E280" s="8" t="s">
        <v>10</v>
      </c>
      <c r="F280" s="8" t="s">
        <v>53</v>
      </c>
      <c r="G280" s="8" t="s">
        <v>56</v>
      </c>
      <c r="H280" s="8" t="s">
        <v>392</v>
      </c>
      <c r="I280" s="9">
        <v>4</v>
      </c>
      <c r="J280" s="10">
        <v>6</v>
      </c>
      <c r="K280" s="10" t="s">
        <v>9</v>
      </c>
      <c r="L280" s="10" t="s">
        <v>367</v>
      </c>
      <c r="M280" s="10" t="s">
        <v>20</v>
      </c>
      <c r="N280" s="10" t="s">
        <v>46</v>
      </c>
      <c r="O280" s="10" t="s">
        <v>16</v>
      </c>
      <c r="P280" s="10" t="s">
        <v>393</v>
      </c>
    </row>
    <row r="281" spans="1:16" x14ac:dyDescent="0.35">
      <c r="A281" s="1">
        <v>46141</v>
      </c>
      <c r="B281" s="62">
        <v>3</v>
      </c>
      <c r="C281" s="10" t="s">
        <v>9</v>
      </c>
      <c r="D281" s="10" t="s">
        <v>367</v>
      </c>
      <c r="E281" s="10" t="s">
        <v>20</v>
      </c>
      <c r="F281" s="10" t="s">
        <v>46</v>
      </c>
      <c r="G281" s="10" t="s">
        <v>16</v>
      </c>
      <c r="H281" s="10" t="s">
        <v>393</v>
      </c>
      <c r="I281" s="11">
        <v>3</v>
      </c>
      <c r="J281" s="2">
        <v>2</v>
      </c>
      <c r="K281" s="2" t="s">
        <v>15</v>
      </c>
      <c r="L281" s="2" t="s">
        <v>19</v>
      </c>
      <c r="M281" s="2" t="s">
        <v>82</v>
      </c>
      <c r="N281" s="61" t="s">
        <v>376</v>
      </c>
      <c r="O281" s="61" t="s">
        <v>390</v>
      </c>
      <c r="P281" s="2" t="s">
        <v>394</v>
      </c>
    </row>
    <row r="282" spans="1:16" x14ac:dyDescent="0.35">
      <c r="A282" s="1">
        <v>46141</v>
      </c>
      <c r="B282" s="62">
        <v>4</v>
      </c>
      <c r="C282" s="2" t="s">
        <v>15</v>
      </c>
      <c r="D282" s="2" t="s">
        <v>19</v>
      </c>
      <c r="E282" s="2" t="s">
        <v>82</v>
      </c>
      <c r="F282" s="61" t="s">
        <v>376</v>
      </c>
      <c r="G282" s="61" t="s">
        <v>390</v>
      </c>
      <c r="H282" s="2" t="s">
        <v>394</v>
      </c>
      <c r="I282" s="5">
        <v>6</v>
      </c>
      <c r="J282" s="8">
        <v>6</v>
      </c>
      <c r="K282" s="8" t="s">
        <v>1</v>
      </c>
      <c r="L282" s="8" t="s">
        <v>81</v>
      </c>
      <c r="M282" s="8" t="s">
        <v>10</v>
      </c>
      <c r="N282" s="8" t="s">
        <v>53</v>
      </c>
      <c r="O282" s="8" t="s">
        <v>56</v>
      </c>
      <c r="P282" s="8" t="s">
        <v>392</v>
      </c>
    </row>
    <row r="283" spans="1:16" x14ac:dyDescent="0.35">
      <c r="A283" s="1">
        <v>46148</v>
      </c>
      <c r="B283" s="62">
        <v>4</v>
      </c>
      <c r="C283" s="8" t="s">
        <v>15</v>
      </c>
      <c r="D283" s="8" t="s">
        <v>82</v>
      </c>
      <c r="E283" s="8" t="s">
        <v>84</v>
      </c>
      <c r="F283" s="8" t="s">
        <v>367</v>
      </c>
      <c r="G283" s="8" t="s">
        <v>392</v>
      </c>
      <c r="H283" s="8"/>
      <c r="I283" s="9">
        <v>3</v>
      </c>
      <c r="J283" s="10">
        <v>2</v>
      </c>
      <c r="K283" s="10" t="s">
        <v>56</v>
      </c>
      <c r="L283" s="10" t="s">
        <v>48</v>
      </c>
      <c r="M283" s="10" t="s">
        <v>19</v>
      </c>
      <c r="N283" s="10" t="s">
        <v>393</v>
      </c>
      <c r="O283" s="10" t="s">
        <v>390</v>
      </c>
      <c r="P283" s="10"/>
    </row>
    <row r="284" spans="1:16" x14ac:dyDescent="0.35">
      <c r="A284" s="1">
        <v>46148</v>
      </c>
      <c r="B284" s="62">
        <v>3</v>
      </c>
      <c r="C284" s="10" t="s">
        <v>56</v>
      </c>
      <c r="D284" s="10" t="s">
        <v>48</v>
      </c>
      <c r="E284" s="10" t="s">
        <v>19</v>
      </c>
      <c r="F284" s="10" t="s">
        <v>393</v>
      </c>
      <c r="G284" s="10" t="s">
        <v>390</v>
      </c>
      <c r="H284" s="10"/>
      <c r="I284" s="11">
        <v>5</v>
      </c>
      <c r="J284" s="2">
        <v>0</v>
      </c>
      <c r="K284" s="2" t="s">
        <v>1</v>
      </c>
      <c r="L284" s="2" t="s">
        <v>81</v>
      </c>
      <c r="M284" s="2" t="s">
        <v>46</v>
      </c>
      <c r="N284" s="61" t="s">
        <v>16</v>
      </c>
      <c r="O284" s="61" t="s">
        <v>376</v>
      </c>
      <c r="P284" s="2"/>
    </row>
    <row r="285" spans="1:16" x14ac:dyDescent="0.35">
      <c r="A285" s="1">
        <v>46148</v>
      </c>
      <c r="B285" s="62">
        <v>3</v>
      </c>
      <c r="C285" s="2" t="s">
        <v>1</v>
      </c>
      <c r="D285" s="2" t="s">
        <v>81</v>
      </c>
      <c r="E285" s="2" t="s">
        <v>46</v>
      </c>
      <c r="F285" s="61" t="s">
        <v>16</v>
      </c>
      <c r="G285" s="61" t="s">
        <v>376</v>
      </c>
      <c r="H285" s="2"/>
      <c r="I285" s="5">
        <v>3</v>
      </c>
      <c r="J285" s="8">
        <v>2</v>
      </c>
      <c r="K285" s="8" t="s">
        <v>15</v>
      </c>
      <c r="L285" s="8" t="s">
        <v>82</v>
      </c>
      <c r="M285" s="8" t="s">
        <v>84</v>
      </c>
      <c r="N285" s="8" t="s">
        <v>367</v>
      </c>
      <c r="O285" s="8" t="s">
        <v>392</v>
      </c>
      <c r="P285" s="8"/>
    </row>
    <row r="286" spans="1:16" x14ac:dyDescent="0.35">
      <c r="A286" s="1">
        <v>46155</v>
      </c>
      <c r="B286" s="62">
        <v>4</v>
      </c>
      <c r="C286" s="8" t="s">
        <v>9</v>
      </c>
      <c r="D286" s="8" t="s">
        <v>56</v>
      </c>
      <c r="E286" s="8" t="s">
        <v>84</v>
      </c>
      <c r="F286" s="8" t="s">
        <v>376</v>
      </c>
      <c r="G286" s="8" t="s">
        <v>342</v>
      </c>
      <c r="H286" s="8" t="s">
        <v>390</v>
      </c>
      <c r="I286" s="9">
        <v>4</v>
      </c>
      <c r="J286" s="10">
        <v>2</v>
      </c>
      <c r="K286" s="10" t="s">
        <v>1</v>
      </c>
      <c r="L286" s="10" t="s">
        <v>46</v>
      </c>
      <c r="M286" s="10" t="s">
        <v>19</v>
      </c>
      <c r="N286" s="10" t="s">
        <v>367</v>
      </c>
      <c r="O286" s="10" t="s">
        <v>63</v>
      </c>
      <c r="P286" s="10" t="s">
        <v>393</v>
      </c>
    </row>
    <row r="287" spans="1:16" x14ac:dyDescent="0.35">
      <c r="A287" s="1">
        <v>46155</v>
      </c>
      <c r="B287" s="62">
        <v>3</v>
      </c>
      <c r="C287" s="10" t="s">
        <v>1</v>
      </c>
      <c r="D287" s="10" t="s">
        <v>46</v>
      </c>
      <c r="E287" s="10" t="s">
        <v>19</v>
      </c>
      <c r="F287" s="10" t="s">
        <v>367</v>
      </c>
      <c r="G287" s="10" t="s">
        <v>63</v>
      </c>
      <c r="H287" s="10" t="s">
        <v>393</v>
      </c>
      <c r="I287" s="11">
        <v>5</v>
      </c>
      <c r="J287" s="2">
        <v>6</v>
      </c>
      <c r="K287" s="2" t="s">
        <v>82</v>
      </c>
      <c r="L287" s="2" t="s">
        <v>15</v>
      </c>
      <c r="M287" s="2" t="s">
        <v>66</v>
      </c>
      <c r="N287" s="61" t="s">
        <v>12</v>
      </c>
      <c r="O287" s="61" t="s">
        <v>343</v>
      </c>
      <c r="P287" s="2" t="s">
        <v>399</v>
      </c>
    </row>
    <row r="288" spans="1:16" x14ac:dyDescent="0.35">
      <c r="A288" s="1">
        <v>46155</v>
      </c>
      <c r="B288" s="62">
        <v>4</v>
      </c>
      <c r="C288" s="2" t="s">
        <v>82</v>
      </c>
      <c r="D288" s="2" t="s">
        <v>15</v>
      </c>
      <c r="E288" s="2" t="s">
        <v>66</v>
      </c>
      <c r="F288" s="61" t="s">
        <v>12</v>
      </c>
      <c r="G288" s="61" t="s">
        <v>343</v>
      </c>
      <c r="H288" s="2" t="s">
        <v>399</v>
      </c>
      <c r="I288" s="5">
        <v>4</v>
      </c>
      <c r="J288" s="8">
        <v>4</v>
      </c>
      <c r="K288" s="8" t="s">
        <v>9</v>
      </c>
      <c r="L288" s="8" t="s">
        <v>56</v>
      </c>
      <c r="M288" s="8" t="s">
        <v>84</v>
      </c>
      <c r="N288" s="8" t="s">
        <v>376</v>
      </c>
      <c r="O288" s="8" t="s">
        <v>342</v>
      </c>
      <c r="P288" s="8" t="s">
        <v>390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CB89"/>
  <sheetViews>
    <sheetView tabSelected="1" topLeftCell="A2" zoomScaleNormal="100" workbookViewId="0">
      <pane xSplit="1" topLeftCell="BU1" activePane="topRight" state="frozen"/>
      <selection pane="topRight" activeCell="CB37" sqref="CB37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80" width="10.453125" bestFit="1" customWidth="1"/>
  </cols>
  <sheetData>
    <row r="1" spans="1:80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  <c r="BZ1" s="1">
        <v>46141</v>
      </c>
      <c r="CA1" s="1">
        <v>46148</v>
      </c>
      <c r="CB1" s="1">
        <v>46155</v>
      </c>
    </row>
    <row r="2" spans="1:80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</row>
    <row r="3" spans="1:80" x14ac:dyDescent="0.35">
      <c r="A3" t="s">
        <v>24</v>
      </c>
      <c r="BO3">
        <v>2</v>
      </c>
    </row>
    <row r="4" spans="1:80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80" hidden="1" x14ac:dyDescent="0.35">
      <c r="A5" t="s">
        <v>365</v>
      </c>
    </row>
    <row r="6" spans="1:80" x14ac:dyDescent="0.35">
      <c r="A6" t="s">
        <v>77</v>
      </c>
      <c r="G6">
        <v>3</v>
      </c>
    </row>
    <row r="7" spans="1:80" x14ac:dyDescent="0.35">
      <c r="A7" t="s">
        <v>392</v>
      </c>
      <c r="BW7">
        <v>2</v>
      </c>
      <c r="BX7">
        <v>9</v>
      </c>
      <c r="BY7">
        <v>4</v>
      </c>
      <c r="BZ7">
        <v>1</v>
      </c>
      <c r="CA7">
        <v>3</v>
      </c>
    </row>
    <row r="8" spans="1:80" x14ac:dyDescent="0.35">
      <c r="A8" t="s">
        <v>364</v>
      </c>
      <c r="AH8">
        <v>3</v>
      </c>
      <c r="AQ8">
        <v>2</v>
      </c>
      <c r="BS8">
        <v>3</v>
      </c>
      <c r="BU8">
        <v>2</v>
      </c>
    </row>
    <row r="9" spans="1:80" x14ac:dyDescent="0.35">
      <c r="A9" t="s">
        <v>7</v>
      </c>
      <c r="K9">
        <v>1</v>
      </c>
    </row>
    <row r="10" spans="1:80" x14ac:dyDescent="0.35">
      <c r="A10" t="s">
        <v>353</v>
      </c>
      <c r="G10">
        <v>1</v>
      </c>
    </row>
    <row r="11" spans="1:80" hidden="1" x14ac:dyDescent="0.35">
      <c r="A11" t="s">
        <v>347</v>
      </c>
    </row>
    <row r="12" spans="1:80" x14ac:dyDescent="0.35">
      <c r="A12" t="s">
        <v>48</v>
      </c>
    </row>
    <row r="13" spans="1:80" x14ac:dyDescent="0.35">
      <c r="A13" t="s">
        <v>396</v>
      </c>
      <c r="BX13">
        <v>2</v>
      </c>
    </row>
    <row r="14" spans="1:80" x14ac:dyDescent="0.35">
      <c r="A14" t="s">
        <v>382</v>
      </c>
    </row>
    <row r="15" spans="1:80" x14ac:dyDescent="0.35">
      <c r="A15" t="s">
        <v>394</v>
      </c>
      <c r="BW15">
        <v>1</v>
      </c>
    </row>
    <row r="16" spans="1:80" x14ac:dyDescent="0.35">
      <c r="A16" t="s">
        <v>362</v>
      </c>
      <c r="BK16">
        <v>1</v>
      </c>
    </row>
    <row r="17" spans="1:80" hidden="1" x14ac:dyDescent="0.35">
      <c r="A17" t="s">
        <v>18</v>
      </c>
    </row>
    <row r="18" spans="1:80" x14ac:dyDescent="0.35">
      <c r="A18" t="s">
        <v>25</v>
      </c>
      <c r="C18">
        <v>1</v>
      </c>
      <c r="E18">
        <v>1</v>
      </c>
      <c r="G18">
        <v>1</v>
      </c>
      <c r="J18">
        <v>3</v>
      </c>
      <c r="K18">
        <v>3</v>
      </c>
      <c r="M18">
        <v>1</v>
      </c>
      <c r="R18">
        <v>1</v>
      </c>
      <c r="V18">
        <v>1</v>
      </c>
      <c r="AE18">
        <v>1</v>
      </c>
      <c r="AF18">
        <v>1</v>
      </c>
      <c r="AH18">
        <v>2</v>
      </c>
      <c r="AT18">
        <v>1</v>
      </c>
      <c r="BA18">
        <v>1</v>
      </c>
      <c r="BH18">
        <v>1</v>
      </c>
      <c r="BM18">
        <v>1</v>
      </c>
    </row>
    <row r="19" spans="1:80" x14ac:dyDescent="0.35">
      <c r="A19" t="s">
        <v>14</v>
      </c>
      <c r="E19">
        <v>1</v>
      </c>
      <c r="F19">
        <v>1</v>
      </c>
      <c r="J19">
        <v>1</v>
      </c>
      <c r="P19">
        <v>1</v>
      </c>
      <c r="S19">
        <v>1</v>
      </c>
      <c r="W19">
        <v>1</v>
      </c>
      <c r="Z19">
        <v>2</v>
      </c>
      <c r="AA19">
        <v>0.5</v>
      </c>
      <c r="AK19">
        <v>1</v>
      </c>
      <c r="AR19">
        <v>2</v>
      </c>
      <c r="AX19">
        <v>1</v>
      </c>
    </row>
    <row r="20" spans="1:80" x14ac:dyDescent="0.35">
      <c r="A20" t="s">
        <v>378</v>
      </c>
      <c r="BL20">
        <v>1</v>
      </c>
      <c r="BR20">
        <v>1</v>
      </c>
      <c r="BX20">
        <v>2</v>
      </c>
    </row>
    <row r="21" spans="1:80" x14ac:dyDescent="0.35">
      <c r="A21" t="s">
        <v>54</v>
      </c>
      <c r="C21">
        <v>2</v>
      </c>
      <c r="D21">
        <v>3</v>
      </c>
      <c r="V21">
        <v>2</v>
      </c>
    </row>
    <row r="22" spans="1:80" x14ac:dyDescent="0.35">
      <c r="A22" t="s">
        <v>66</v>
      </c>
      <c r="D22">
        <v>2</v>
      </c>
      <c r="I22">
        <v>3</v>
      </c>
      <c r="J22">
        <v>1</v>
      </c>
      <c r="T22">
        <v>1</v>
      </c>
      <c r="W22">
        <v>1</v>
      </c>
      <c r="X22">
        <v>1</v>
      </c>
      <c r="Y22">
        <v>1</v>
      </c>
      <c r="Z22">
        <v>1</v>
      </c>
      <c r="AA22">
        <v>1</v>
      </c>
      <c r="AC22">
        <v>1</v>
      </c>
      <c r="AD22">
        <v>1</v>
      </c>
      <c r="AH22">
        <v>1</v>
      </c>
      <c r="AI22">
        <v>1</v>
      </c>
      <c r="BA22">
        <v>3</v>
      </c>
      <c r="BG22">
        <v>1</v>
      </c>
      <c r="BP22">
        <v>1</v>
      </c>
      <c r="BU22">
        <v>2</v>
      </c>
      <c r="CB22">
        <v>1</v>
      </c>
    </row>
    <row r="23" spans="1:80" x14ac:dyDescent="0.35">
      <c r="A23" t="s">
        <v>84</v>
      </c>
      <c r="I23">
        <v>2</v>
      </c>
      <c r="J23">
        <v>1</v>
      </c>
      <c r="L23">
        <v>3</v>
      </c>
      <c r="N23">
        <v>2</v>
      </c>
      <c r="O23">
        <v>2</v>
      </c>
      <c r="P23">
        <v>1</v>
      </c>
      <c r="S23">
        <v>2</v>
      </c>
      <c r="V23">
        <v>4</v>
      </c>
      <c r="W23">
        <v>6</v>
      </c>
      <c r="X23">
        <v>3</v>
      </c>
      <c r="AB23">
        <v>1</v>
      </c>
      <c r="AC23">
        <v>2</v>
      </c>
      <c r="AD23">
        <v>3</v>
      </c>
      <c r="AE23">
        <v>1</v>
      </c>
      <c r="AH23">
        <v>4</v>
      </c>
      <c r="AI23">
        <v>5</v>
      </c>
      <c r="AK23">
        <v>1</v>
      </c>
      <c r="AL23">
        <v>1</v>
      </c>
      <c r="AN23">
        <v>2</v>
      </c>
      <c r="AU23">
        <v>4</v>
      </c>
      <c r="AV23">
        <v>1</v>
      </c>
      <c r="AX23">
        <v>1</v>
      </c>
      <c r="BH23">
        <v>1</v>
      </c>
      <c r="BI23">
        <v>2</v>
      </c>
      <c r="BK23">
        <v>2</v>
      </c>
      <c r="BQ23">
        <v>2</v>
      </c>
      <c r="BR23">
        <v>3</v>
      </c>
      <c r="BU23">
        <v>1</v>
      </c>
      <c r="BV23">
        <v>1</v>
      </c>
      <c r="CA23">
        <v>1</v>
      </c>
    </row>
    <row r="24" spans="1:80" x14ac:dyDescent="0.35">
      <c r="A24" t="s">
        <v>391</v>
      </c>
      <c r="BP24">
        <v>2</v>
      </c>
    </row>
    <row r="25" spans="1:80" x14ac:dyDescent="0.35">
      <c r="A25" t="s">
        <v>15</v>
      </c>
      <c r="F25">
        <v>1</v>
      </c>
      <c r="H25">
        <v>2</v>
      </c>
      <c r="I25">
        <v>1</v>
      </c>
      <c r="AK25">
        <v>1</v>
      </c>
      <c r="AL25">
        <v>4</v>
      </c>
      <c r="AO25">
        <v>2</v>
      </c>
      <c r="AR25">
        <v>3</v>
      </c>
      <c r="AS25">
        <v>2</v>
      </c>
      <c r="AT25">
        <v>1</v>
      </c>
      <c r="AY25">
        <v>1</v>
      </c>
      <c r="BE25">
        <v>2</v>
      </c>
      <c r="BF25">
        <v>1</v>
      </c>
      <c r="BI25">
        <v>2</v>
      </c>
      <c r="BR25">
        <v>1</v>
      </c>
      <c r="BS25">
        <v>1</v>
      </c>
      <c r="BT25">
        <v>3</v>
      </c>
      <c r="BU25">
        <v>1</v>
      </c>
      <c r="BW25">
        <v>1</v>
      </c>
      <c r="BX25">
        <v>2</v>
      </c>
      <c r="CB25">
        <v>3</v>
      </c>
    </row>
    <row r="26" spans="1:80" x14ac:dyDescent="0.35">
      <c r="A26" t="s">
        <v>375</v>
      </c>
      <c r="AW26">
        <v>1</v>
      </c>
    </row>
    <row r="27" spans="1:80" x14ac:dyDescent="0.35">
      <c r="A27" t="s">
        <v>6</v>
      </c>
      <c r="B27">
        <v>3</v>
      </c>
      <c r="E27">
        <v>2</v>
      </c>
      <c r="H27">
        <v>1</v>
      </c>
      <c r="L27">
        <v>2</v>
      </c>
      <c r="M27">
        <v>2</v>
      </c>
      <c r="N27">
        <v>6</v>
      </c>
      <c r="O27">
        <v>1</v>
      </c>
      <c r="Q27">
        <v>3</v>
      </c>
      <c r="R27">
        <v>1</v>
      </c>
      <c r="S27">
        <v>1</v>
      </c>
      <c r="T27">
        <v>3</v>
      </c>
      <c r="U27">
        <v>3</v>
      </c>
      <c r="V27">
        <v>6</v>
      </c>
      <c r="W27">
        <v>2</v>
      </c>
      <c r="X27">
        <v>3</v>
      </c>
      <c r="Y27">
        <v>1</v>
      </c>
      <c r="Z27">
        <v>3.5</v>
      </c>
      <c r="AA27">
        <v>3.5</v>
      </c>
      <c r="AB27">
        <v>3</v>
      </c>
      <c r="AC27">
        <v>1</v>
      </c>
      <c r="AE27">
        <v>10</v>
      </c>
      <c r="AF27">
        <v>3</v>
      </c>
      <c r="AG27">
        <v>3</v>
      </c>
      <c r="AH27">
        <v>2</v>
      </c>
      <c r="AJ27">
        <v>3</v>
      </c>
      <c r="AK27">
        <v>3</v>
      </c>
      <c r="AL27">
        <v>5</v>
      </c>
      <c r="AN27">
        <v>1</v>
      </c>
      <c r="AO27">
        <v>6</v>
      </c>
      <c r="AP27">
        <v>4</v>
      </c>
      <c r="AQ27">
        <v>3</v>
      </c>
      <c r="AR27">
        <v>4</v>
      </c>
      <c r="AS27">
        <v>2</v>
      </c>
      <c r="AT27">
        <v>4</v>
      </c>
      <c r="AU27">
        <v>4</v>
      </c>
      <c r="AV27">
        <v>6</v>
      </c>
      <c r="AW27">
        <v>1</v>
      </c>
      <c r="AY27">
        <v>4</v>
      </c>
      <c r="AZ27">
        <v>1</v>
      </c>
      <c r="BA27">
        <v>3</v>
      </c>
      <c r="BC27">
        <v>5</v>
      </c>
      <c r="BD27">
        <v>2</v>
      </c>
      <c r="BE27">
        <v>3</v>
      </c>
      <c r="BF27">
        <v>3</v>
      </c>
      <c r="BG27">
        <v>3</v>
      </c>
      <c r="BH27">
        <v>1</v>
      </c>
      <c r="BI27">
        <v>5</v>
      </c>
      <c r="BJ27">
        <v>1</v>
      </c>
      <c r="BK27">
        <v>1</v>
      </c>
      <c r="BL27">
        <v>2</v>
      </c>
    </row>
    <row r="28" spans="1:80" x14ac:dyDescent="0.35">
      <c r="A28" t="s">
        <v>342</v>
      </c>
      <c r="T28">
        <v>4</v>
      </c>
      <c r="AH28">
        <v>1</v>
      </c>
      <c r="AK28">
        <v>1</v>
      </c>
      <c r="BQ28">
        <v>2</v>
      </c>
      <c r="BV28">
        <v>2</v>
      </c>
    </row>
    <row r="29" spans="1:80" hidden="1" x14ac:dyDescent="0.35">
      <c r="A29" t="s">
        <v>52</v>
      </c>
    </row>
    <row r="30" spans="1:80" x14ac:dyDescent="0.35">
      <c r="A30" t="s">
        <v>388</v>
      </c>
    </row>
    <row r="31" spans="1:80" x14ac:dyDescent="0.35">
      <c r="A31" t="s">
        <v>12</v>
      </c>
      <c r="N31">
        <v>2</v>
      </c>
      <c r="U31">
        <v>1</v>
      </c>
      <c r="AI31">
        <v>1</v>
      </c>
    </row>
    <row r="32" spans="1:80" x14ac:dyDescent="0.35">
      <c r="A32" t="s">
        <v>4</v>
      </c>
      <c r="E32">
        <v>1</v>
      </c>
      <c r="F32">
        <v>3</v>
      </c>
      <c r="H32">
        <v>1</v>
      </c>
      <c r="J32">
        <v>1</v>
      </c>
      <c r="K32">
        <v>3</v>
      </c>
      <c r="P32">
        <v>3</v>
      </c>
      <c r="U32">
        <v>3</v>
      </c>
      <c r="W32">
        <v>1</v>
      </c>
      <c r="AD32">
        <v>1</v>
      </c>
      <c r="AF32">
        <v>1</v>
      </c>
      <c r="AH32">
        <v>1</v>
      </c>
      <c r="AI32">
        <v>1</v>
      </c>
      <c r="AJ32">
        <v>2</v>
      </c>
      <c r="AO32">
        <v>2</v>
      </c>
      <c r="AP32">
        <v>2</v>
      </c>
      <c r="AQ32">
        <v>4</v>
      </c>
      <c r="AR32">
        <v>2</v>
      </c>
      <c r="AT32">
        <v>1</v>
      </c>
      <c r="AU32">
        <v>2</v>
      </c>
      <c r="AV32">
        <v>1</v>
      </c>
      <c r="AW32">
        <v>1</v>
      </c>
      <c r="AX32">
        <v>1</v>
      </c>
      <c r="AZ32">
        <v>2</v>
      </c>
      <c r="BA32">
        <v>2</v>
      </c>
      <c r="BB32">
        <v>1</v>
      </c>
      <c r="BD32">
        <v>2</v>
      </c>
      <c r="BE32">
        <v>3</v>
      </c>
      <c r="BF32">
        <v>1</v>
      </c>
      <c r="BG32">
        <v>1</v>
      </c>
      <c r="BJ32">
        <v>1</v>
      </c>
      <c r="BK32">
        <v>1</v>
      </c>
      <c r="BL32">
        <v>1</v>
      </c>
      <c r="BM32">
        <v>2</v>
      </c>
    </row>
    <row r="33" spans="1:80" x14ac:dyDescent="0.35">
      <c r="A33" t="s">
        <v>361</v>
      </c>
      <c r="AD33">
        <v>2</v>
      </c>
      <c r="AM33">
        <v>1</v>
      </c>
      <c r="AU33">
        <v>1</v>
      </c>
      <c r="BF33">
        <v>3</v>
      </c>
    </row>
    <row r="34" spans="1:80" x14ac:dyDescent="0.35">
      <c r="A34" t="s">
        <v>389</v>
      </c>
      <c r="BO34">
        <v>3</v>
      </c>
    </row>
    <row r="35" spans="1:80" x14ac:dyDescent="0.35">
      <c r="A35" t="s">
        <v>1</v>
      </c>
      <c r="B35">
        <v>1</v>
      </c>
      <c r="C35">
        <v>1</v>
      </c>
      <c r="D35">
        <v>1</v>
      </c>
      <c r="E35">
        <v>1</v>
      </c>
      <c r="F35">
        <v>2</v>
      </c>
      <c r="I35">
        <v>2</v>
      </c>
      <c r="J35">
        <v>1</v>
      </c>
      <c r="K35">
        <v>2</v>
      </c>
      <c r="L35">
        <v>1</v>
      </c>
      <c r="M35">
        <v>2</v>
      </c>
      <c r="N35">
        <v>1</v>
      </c>
      <c r="O35">
        <v>1</v>
      </c>
      <c r="P35">
        <v>2</v>
      </c>
      <c r="R35">
        <v>1</v>
      </c>
      <c r="T35">
        <v>1</v>
      </c>
      <c r="U35">
        <v>2</v>
      </c>
      <c r="Y35">
        <v>2</v>
      </c>
      <c r="AB35">
        <v>2</v>
      </c>
      <c r="AD35">
        <v>1</v>
      </c>
      <c r="AH35">
        <v>1</v>
      </c>
      <c r="AJ35">
        <v>1</v>
      </c>
      <c r="AN35">
        <v>2</v>
      </c>
      <c r="AO35">
        <v>1</v>
      </c>
      <c r="AP35">
        <v>2</v>
      </c>
      <c r="AQ35">
        <v>1</v>
      </c>
      <c r="AS35">
        <v>2</v>
      </c>
      <c r="AW35">
        <v>1</v>
      </c>
      <c r="AX35">
        <v>1</v>
      </c>
      <c r="AY35">
        <v>2</v>
      </c>
      <c r="AZ35">
        <v>2</v>
      </c>
      <c r="BA35">
        <v>1</v>
      </c>
      <c r="BB35">
        <v>2</v>
      </c>
      <c r="BC35">
        <v>4</v>
      </c>
      <c r="BD35">
        <v>1</v>
      </c>
      <c r="BE35">
        <v>1</v>
      </c>
      <c r="BG35">
        <v>2</v>
      </c>
      <c r="BH35">
        <v>3</v>
      </c>
      <c r="BJ35">
        <v>1</v>
      </c>
      <c r="BM35">
        <v>3</v>
      </c>
      <c r="BN35">
        <v>1</v>
      </c>
      <c r="BP35">
        <v>1</v>
      </c>
      <c r="BR35">
        <v>3</v>
      </c>
      <c r="BV35">
        <v>1</v>
      </c>
      <c r="BW35">
        <v>4</v>
      </c>
      <c r="BX35">
        <v>2</v>
      </c>
      <c r="CB35">
        <v>1</v>
      </c>
    </row>
    <row r="36" spans="1:80" hidden="1" x14ac:dyDescent="0.35">
      <c r="A36" t="s">
        <v>351</v>
      </c>
      <c r="Z36">
        <v>1</v>
      </c>
      <c r="CB36">
        <v>4</v>
      </c>
    </row>
    <row r="37" spans="1:80" x14ac:dyDescent="0.35">
      <c r="A37" t="s">
        <v>9</v>
      </c>
      <c r="C37">
        <v>1</v>
      </c>
      <c r="D37">
        <v>1</v>
      </c>
      <c r="G37">
        <v>2</v>
      </c>
      <c r="H37">
        <v>2</v>
      </c>
      <c r="I37">
        <v>1</v>
      </c>
      <c r="J37">
        <v>1</v>
      </c>
      <c r="K37">
        <v>2</v>
      </c>
      <c r="L37">
        <v>5</v>
      </c>
      <c r="M37">
        <v>1</v>
      </c>
      <c r="O37">
        <v>4</v>
      </c>
      <c r="P37">
        <v>1</v>
      </c>
      <c r="Q37">
        <v>2</v>
      </c>
      <c r="T37">
        <v>6</v>
      </c>
      <c r="X37">
        <v>2</v>
      </c>
      <c r="Y37">
        <v>2</v>
      </c>
      <c r="Z37">
        <v>1</v>
      </c>
      <c r="AA37">
        <v>1</v>
      </c>
      <c r="AB37">
        <v>1</v>
      </c>
      <c r="AC37">
        <v>3</v>
      </c>
      <c r="AF37">
        <v>4</v>
      </c>
      <c r="AI37">
        <v>1</v>
      </c>
      <c r="AL37">
        <v>1</v>
      </c>
      <c r="AN37">
        <v>1</v>
      </c>
      <c r="AR37">
        <v>2</v>
      </c>
      <c r="AS37">
        <v>3</v>
      </c>
      <c r="AT37">
        <v>1</v>
      </c>
      <c r="AW37">
        <v>2</v>
      </c>
      <c r="AX37">
        <v>5</v>
      </c>
      <c r="AY37">
        <v>3</v>
      </c>
      <c r="AZ37">
        <v>1</v>
      </c>
      <c r="BA37">
        <v>3</v>
      </c>
      <c r="BB37">
        <v>2</v>
      </c>
      <c r="BD37">
        <v>3</v>
      </c>
      <c r="BF37">
        <v>3</v>
      </c>
      <c r="BG37">
        <v>4</v>
      </c>
      <c r="BH37">
        <v>3</v>
      </c>
      <c r="BI37">
        <v>2</v>
      </c>
      <c r="BJ37">
        <v>1</v>
      </c>
      <c r="BL37">
        <v>1</v>
      </c>
      <c r="BM37">
        <v>2</v>
      </c>
      <c r="BN37">
        <v>1</v>
      </c>
      <c r="BP37">
        <v>1</v>
      </c>
      <c r="BQ37">
        <v>2</v>
      </c>
      <c r="BR37">
        <v>3</v>
      </c>
      <c r="BS37">
        <v>2</v>
      </c>
      <c r="BV37">
        <v>5</v>
      </c>
      <c r="BW37">
        <v>4</v>
      </c>
      <c r="BY37">
        <v>1</v>
      </c>
      <c r="BZ37">
        <v>3</v>
      </c>
      <c r="CB37">
        <v>4</v>
      </c>
    </row>
    <row r="38" spans="1:80" x14ac:dyDescent="0.35">
      <c r="A38" t="s">
        <v>393</v>
      </c>
      <c r="BW38">
        <v>1</v>
      </c>
      <c r="BZ38">
        <v>2</v>
      </c>
      <c r="CA38">
        <v>5</v>
      </c>
    </row>
    <row r="39" spans="1:80" x14ac:dyDescent="0.35">
      <c r="A39" t="s">
        <v>381</v>
      </c>
      <c r="BG39">
        <v>2</v>
      </c>
    </row>
    <row r="40" spans="1:80" x14ac:dyDescent="0.35">
      <c r="A40" t="s">
        <v>20</v>
      </c>
      <c r="B40">
        <v>1</v>
      </c>
      <c r="D40">
        <v>1</v>
      </c>
      <c r="F40">
        <v>2</v>
      </c>
      <c r="G40">
        <v>2</v>
      </c>
      <c r="H40">
        <v>4</v>
      </c>
      <c r="J40">
        <v>2</v>
      </c>
      <c r="K40">
        <v>2</v>
      </c>
      <c r="L40">
        <v>1</v>
      </c>
      <c r="M40">
        <v>1</v>
      </c>
      <c r="P40">
        <v>1</v>
      </c>
      <c r="Q40">
        <v>1</v>
      </c>
      <c r="R40">
        <v>3</v>
      </c>
      <c r="S40">
        <v>2</v>
      </c>
      <c r="T40">
        <v>2</v>
      </c>
      <c r="U40">
        <v>2</v>
      </c>
      <c r="W40">
        <v>3</v>
      </c>
      <c r="X40">
        <v>3</v>
      </c>
      <c r="Y40">
        <v>2</v>
      </c>
      <c r="AA40">
        <v>2</v>
      </c>
      <c r="AB40">
        <v>2</v>
      </c>
      <c r="AC40">
        <v>2</v>
      </c>
      <c r="AE40">
        <v>2</v>
      </c>
      <c r="AF40">
        <v>1</v>
      </c>
      <c r="AG40">
        <v>2</v>
      </c>
      <c r="AJ40">
        <v>4</v>
      </c>
      <c r="AK40">
        <v>2</v>
      </c>
      <c r="AM40">
        <v>1</v>
      </c>
      <c r="AN40">
        <v>1</v>
      </c>
      <c r="AO40">
        <v>1</v>
      </c>
      <c r="AP40">
        <v>1</v>
      </c>
      <c r="AU40">
        <v>1</v>
      </c>
      <c r="AV40">
        <v>1</v>
      </c>
      <c r="AW40">
        <v>2</v>
      </c>
      <c r="BA40">
        <v>1</v>
      </c>
      <c r="BH40">
        <v>2</v>
      </c>
      <c r="BJ40">
        <v>2</v>
      </c>
      <c r="BK40">
        <v>3</v>
      </c>
      <c r="BP40">
        <v>2</v>
      </c>
    </row>
    <row r="41" spans="1:80" x14ac:dyDescent="0.35">
      <c r="A41" t="s">
        <v>395</v>
      </c>
    </row>
    <row r="42" spans="1:80" x14ac:dyDescent="0.35">
      <c r="A42" t="s">
        <v>80</v>
      </c>
      <c r="F42">
        <v>1</v>
      </c>
    </row>
    <row r="43" spans="1:80" hidden="1" x14ac:dyDescent="0.35">
      <c r="A43" t="s">
        <v>61</v>
      </c>
      <c r="D43">
        <v>1</v>
      </c>
    </row>
    <row r="44" spans="1:80" x14ac:dyDescent="0.35">
      <c r="A44" t="s">
        <v>374</v>
      </c>
      <c r="AW44">
        <v>2</v>
      </c>
    </row>
    <row r="45" spans="1:80" x14ac:dyDescent="0.35">
      <c r="A45" t="s">
        <v>19</v>
      </c>
      <c r="B45">
        <v>2</v>
      </c>
      <c r="C45">
        <v>1</v>
      </c>
      <c r="D45">
        <v>1</v>
      </c>
      <c r="F45">
        <v>4</v>
      </c>
      <c r="G45">
        <v>3</v>
      </c>
      <c r="H45">
        <v>1</v>
      </c>
      <c r="I45">
        <v>1</v>
      </c>
      <c r="M45">
        <v>2</v>
      </c>
      <c r="N45">
        <v>3</v>
      </c>
      <c r="T45">
        <v>1</v>
      </c>
      <c r="X45">
        <v>1</v>
      </c>
      <c r="AA45">
        <v>2</v>
      </c>
      <c r="AB45">
        <v>2</v>
      </c>
      <c r="AC45">
        <v>1</v>
      </c>
      <c r="AD45">
        <v>2</v>
      </c>
      <c r="AE45">
        <v>1</v>
      </c>
      <c r="AG45">
        <v>1</v>
      </c>
      <c r="AH45">
        <v>2</v>
      </c>
      <c r="AJ45">
        <v>1</v>
      </c>
      <c r="AM45">
        <v>4</v>
      </c>
      <c r="AN45">
        <v>1</v>
      </c>
      <c r="AP45">
        <v>1</v>
      </c>
      <c r="AR45">
        <v>1</v>
      </c>
      <c r="AS45">
        <v>1</v>
      </c>
      <c r="AT45">
        <v>1</v>
      </c>
      <c r="AV45">
        <v>1</v>
      </c>
      <c r="AZ45">
        <v>2</v>
      </c>
      <c r="BA45">
        <v>1</v>
      </c>
      <c r="BC45">
        <v>3</v>
      </c>
      <c r="BD45">
        <v>1</v>
      </c>
      <c r="BI45">
        <v>1</v>
      </c>
      <c r="BJ45">
        <v>1</v>
      </c>
      <c r="BK45">
        <v>3</v>
      </c>
      <c r="BL45">
        <v>2</v>
      </c>
      <c r="BM45">
        <v>5</v>
      </c>
      <c r="BO45">
        <v>1</v>
      </c>
      <c r="BP45">
        <v>3</v>
      </c>
      <c r="BQ45">
        <v>3</v>
      </c>
      <c r="BS45">
        <v>1</v>
      </c>
      <c r="BX45">
        <v>3</v>
      </c>
      <c r="BY45">
        <v>5</v>
      </c>
      <c r="BZ45">
        <v>1</v>
      </c>
      <c r="CB45">
        <v>3</v>
      </c>
    </row>
    <row r="46" spans="1:80" x14ac:dyDescent="0.35">
      <c r="A46" t="s">
        <v>43</v>
      </c>
      <c r="AQ46">
        <v>2</v>
      </c>
    </row>
    <row r="47" spans="1:80" x14ac:dyDescent="0.35">
      <c r="A47" t="s">
        <v>68</v>
      </c>
      <c r="E47">
        <v>1</v>
      </c>
      <c r="I47">
        <v>1</v>
      </c>
      <c r="N47">
        <v>1</v>
      </c>
      <c r="W47">
        <v>2</v>
      </c>
      <c r="AQ47">
        <v>1</v>
      </c>
    </row>
    <row r="48" spans="1:80" x14ac:dyDescent="0.35">
      <c r="A48" t="s">
        <v>53</v>
      </c>
      <c r="N48">
        <v>1</v>
      </c>
      <c r="BZ48">
        <v>2</v>
      </c>
    </row>
    <row r="49" spans="1:80" x14ac:dyDescent="0.35">
      <c r="A49" t="s">
        <v>368</v>
      </c>
      <c r="AM49">
        <v>5</v>
      </c>
      <c r="BB49">
        <v>9</v>
      </c>
      <c r="BN49">
        <v>2</v>
      </c>
    </row>
    <row r="50" spans="1:80" x14ac:dyDescent="0.35">
      <c r="A50" t="s">
        <v>345</v>
      </c>
      <c r="U50">
        <v>1</v>
      </c>
      <c r="BR50">
        <v>1</v>
      </c>
      <c r="BS50">
        <v>1</v>
      </c>
      <c r="BT50">
        <v>1</v>
      </c>
    </row>
    <row r="51" spans="1:80" x14ac:dyDescent="0.35">
      <c r="A51" t="s">
        <v>343</v>
      </c>
      <c r="AN51">
        <v>1</v>
      </c>
      <c r="BR51">
        <v>1</v>
      </c>
      <c r="BS51">
        <v>1</v>
      </c>
      <c r="BT51">
        <v>3</v>
      </c>
    </row>
    <row r="52" spans="1:80" x14ac:dyDescent="0.35">
      <c r="A52" t="s">
        <v>344</v>
      </c>
      <c r="X52">
        <v>1</v>
      </c>
      <c r="Y52">
        <v>2</v>
      </c>
      <c r="AF52">
        <v>2</v>
      </c>
    </row>
    <row r="53" spans="1:80" x14ac:dyDescent="0.35">
      <c r="A53" t="s">
        <v>399</v>
      </c>
      <c r="CB53">
        <v>5</v>
      </c>
    </row>
    <row r="54" spans="1:80" x14ac:dyDescent="0.35">
      <c r="A54" t="s">
        <v>10</v>
      </c>
      <c r="B54">
        <v>2</v>
      </c>
      <c r="C54">
        <v>3</v>
      </c>
      <c r="F54">
        <v>2</v>
      </c>
      <c r="I54">
        <v>2</v>
      </c>
      <c r="J54">
        <v>2</v>
      </c>
      <c r="K54">
        <v>1</v>
      </c>
      <c r="L54">
        <v>1</v>
      </c>
      <c r="M54">
        <v>1</v>
      </c>
      <c r="O54">
        <v>2</v>
      </c>
      <c r="R54">
        <v>3</v>
      </c>
      <c r="S54">
        <v>1</v>
      </c>
      <c r="T54">
        <v>1</v>
      </c>
      <c r="V54">
        <v>1</v>
      </c>
      <c r="W54">
        <v>3</v>
      </c>
      <c r="X54">
        <v>1</v>
      </c>
      <c r="Y54">
        <v>1</v>
      </c>
      <c r="Z54">
        <v>1.5</v>
      </c>
      <c r="AC54">
        <v>1</v>
      </c>
      <c r="AD54">
        <v>2</v>
      </c>
      <c r="AE54">
        <v>1</v>
      </c>
      <c r="AF54">
        <v>2</v>
      </c>
      <c r="AH54">
        <v>2</v>
      </c>
      <c r="AL54">
        <v>3</v>
      </c>
      <c r="AP54">
        <v>2</v>
      </c>
      <c r="AQ54">
        <v>4</v>
      </c>
      <c r="AR54">
        <v>3</v>
      </c>
      <c r="AS54">
        <v>0.5</v>
      </c>
      <c r="AU54">
        <v>2</v>
      </c>
      <c r="AV54">
        <v>1</v>
      </c>
      <c r="BC54">
        <v>1</v>
      </c>
      <c r="BD54">
        <v>1</v>
      </c>
      <c r="BE54">
        <v>7</v>
      </c>
      <c r="BH54">
        <v>1</v>
      </c>
      <c r="BI54">
        <v>1</v>
      </c>
      <c r="BJ54">
        <v>3</v>
      </c>
      <c r="BK54">
        <v>3</v>
      </c>
      <c r="BL54">
        <v>1</v>
      </c>
      <c r="BM54">
        <v>1</v>
      </c>
      <c r="BN54">
        <v>4</v>
      </c>
      <c r="BP54">
        <v>1</v>
      </c>
      <c r="BQ54">
        <v>3</v>
      </c>
      <c r="BR54">
        <v>1</v>
      </c>
      <c r="BT54">
        <v>1</v>
      </c>
      <c r="BV54">
        <v>1</v>
      </c>
      <c r="BW54">
        <v>2</v>
      </c>
      <c r="BX54">
        <v>2</v>
      </c>
      <c r="BZ54">
        <v>2</v>
      </c>
    </row>
    <row r="55" spans="1:80" x14ac:dyDescent="0.35">
      <c r="A55" t="s">
        <v>46</v>
      </c>
      <c r="B55">
        <v>1</v>
      </c>
      <c r="O55">
        <v>3</v>
      </c>
      <c r="P55">
        <v>1</v>
      </c>
      <c r="Q55">
        <v>2</v>
      </c>
      <c r="AM55">
        <v>1</v>
      </c>
      <c r="AN55">
        <v>1</v>
      </c>
      <c r="AP55">
        <v>1</v>
      </c>
      <c r="AS55">
        <v>1</v>
      </c>
      <c r="AV55">
        <v>1</v>
      </c>
      <c r="AX55">
        <v>5</v>
      </c>
      <c r="AY55">
        <v>1</v>
      </c>
      <c r="BA55">
        <v>2</v>
      </c>
      <c r="BB55">
        <v>4</v>
      </c>
      <c r="BE55">
        <v>3</v>
      </c>
      <c r="BF55">
        <v>2</v>
      </c>
      <c r="BH55">
        <v>3</v>
      </c>
      <c r="BK55">
        <v>1</v>
      </c>
      <c r="BT55">
        <v>3</v>
      </c>
      <c r="BZ55">
        <v>1</v>
      </c>
      <c r="CB55">
        <v>2</v>
      </c>
    </row>
    <row r="56" spans="1:80" x14ac:dyDescent="0.35">
      <c r="A56" t="s">
        <v>377</v>
      </c>
    </row>
    <row r="57" spans="1:80" x14ac:dyDescent="0.35">
      <c r="A57" t="s">
        <v>3</v>
      </c>
      <c r="F57">
        <v>3</v>
      </c>
      <c r="L57">
        <v>1</v>
      </c>
      <c r="S57">
        <v>3</v>
      </c>
      <c r="AH57">
        <v>1</v>
      </c>
    </row>
    <row r="58" spans="1:80" hidden="1" x14ac:dyDescent="0.35">
      <c r="A58" t="s">
        <v>350</v>
      </c>
    </row>
    <row r="59" spans="1:80" x14ac:dyDescent="0.35">
      <c r="A59" t="s">
        <v>56</v>
      </c>
      <c r="C59">
        <v>3</v>
      </c>
      <c r="E59">
        <v>2</v>
      </c>
      <c r="F59">
        <v>1</v>
      </c>
      <c r="G59">
        <v>2</v>
      </c>
      <c r="I59">
        <v>1</v>
      </c>
      <c r="J59">
        <v>1</v>
      </c>
      <c r="K59">
        <v>1</v>
      </c>
      <c r="L59">
        <v>1</v>
      </c>
      <c r="M59">
        <v>1</v>
      </c>
      <c r="P59">
        <v>1</v>
      </c>
      <c r="R59">
        <v>1</v>
      </c>
      <c r="S59">
        <v>4</v>
      </c>
      <c r="T59">
        <v>1</v>
      </c>
      <c r="V59">
        <v>1</v>
      </c>
      <c r="W59">
        <v>2</v>
      </c>
      <c r="Z59">
        <v>2</v>
      </c>
      <c r="AA59">
        <v>1</v>
      </c>
      <c r="AB59">
        <v>4</v>
      </c>
      <c r="AC59">
        <v>1</v>
      </c>
      <c r="AD59">
        <v>1</v>
      </c>
      <c r="AX59">
        <v>1</v>
      </c>
      <c r="AY59">
        <v>1</v>
      </c>
      <c r="AZ59">
        <v>2</v>
      </c>
      <c r="BD59">
        <v>1</v>
      </c>
      <c r="BF59">
        <v>1</v>
      </c>
      <c r="BH59">
        <v>1</v>
      </c>
      <c r="BI59">
        <v>1</v>
      </c>
      <c r="BJ59">
        <v>2</v>
      </c>
      <c r="BK59">
        <v>1</v>
      </c>
      <c r="BL59">
        <v>2</v>
      </c>
      <c r="BM59">
        <v>2</v>
      </c>
      <c r="BN59">
        <v>2</v>
      </c>
      <c r="BO59">
        <v>1</v>
      </c>
      <c r="BP59">
        <v>1</v>
      </c>
      <c r="BR59">
        <v>1</v>
      </c>
      <c r="BS59">
        <v>2</v>
      </c>
      <c r="BU59">
        <v>2</v>
      </c>
      <c r="BV59">
        <v>1</v>
      </c>
      <c r="BX59">
        <v>1</v>
      </c>
      <c r="BY59">
        <v>2</v>
      </c>
      <c r="BZ59">
        <v>2</v>
      </c>
      <c r="CA59">
        <v>2</v>
      </c>
      <c r="CB59">
        <v>2</v>
      </c>
    </row>
    <row r="60" spans="1:80" x14ac:dyDescent="0.35">
      <c r="A60" t="s">
        <v>369</v>
      </c>
      <c r="AN60">
        <v>3</v>
      </c>
    </row>
    <row r="61" spans="1:80" x14ac:dyDescent="0.35">
      <c r="A61" t="s">
        <v>387</v>
      </c>
      <c r="BN61">
        <v>3</v>
      </c>
      <c r="BO61">
        <v>2</v>
      </c>
      <c r="BQ61">
        <v>2</v>
      </c>
    </row>
    <row r="62" spans="1:80" x14ac:dyDescent="0.35">
      <c r="A62" t="s">
        <v>60</v>
      </c>
      <c r="B62">
        <v>2</v>
      </c>
      <c r="BF62">
        <v>1</v>
      </c>
      <c r="BT62">
        <v>2</v>
      </c>
    </row>
    <row r="63" spans="1:80" x14ac:dyDescent="0.35">
      <c r="A63" t="s">
        <v>340</v>
      </c>
      <c r="Q63">
        <v>1</v>
      </c>
      <c r="U63">
        <v>1</v>
      </c>
      <c r="W63">
        <v>1</v>
      </c>
      <c r="X63">
        <v>3</v>
      </c>
      <c r="Y63">
        <v>1</v>
      </c>
      <c r="Z63">
        <v>1</v>
      </c>
    </row>
    <row r="64" spans="1:80" x14ac:dyDescent="0.35">
      <c r="A64" t="s">
        <v>339</v>
      </c>
    </row>
    <row r="65" spans="1:80" x14ac:dyDescent="0.35">
      <c r="A65" t="s">
        <v>11</v>
      </c>
    </row>
    <row r="66" spans="1:80" x14ac:dyDescent="0.35">
      <c r="A66" t="s">
        <v>55</v>
      </c>
      <c r="B66">
        <v>2</v>
      </c>
      <c r="C66">
        <v>1</v>
      </c>
      <c r="D66">
        <v>1</v>
      </c>
      <c r="E66">
        <v>1</v>
      </c>
      <c r="F66">
        <v>3</v>
      </c>
      <c r="G66">
        <v>2</v>
      </c>
      <c r="H66">
        <v>3</v>
      </c>
      <c r="J66">
        <v>1</v>
      </c>
      <c r="K66">
        <v>1</v>
      </c>
      <c r="M66">
        <v>3</v>
      </c>
      <c r="N66">
        <v>4</v>
      </c>
      <c r="X66">
        <v>6</v>
      </c>
      <c r="Y66">
        <v>5</v>
      </c>
      <c r="Z66">
        <v>1</v>
      </c>
      <c r="AD66">
        <v>2</v>
      </c>
      <c r="AG66">
        <v>3</v>
      </c>
      <c r="AJ66">
        <v>2</v>
      </c>
      <c r="AM66">
        <v>2</v>
      </c>
      <c r="AO66">
        <v>3</v>
      </c>
      <c r="AQ66">
        <v>2</v>
      </c>
      <c r="AT66">
        <v>1</v>
      </c>
      <c r="AU66">
        <v>4</v>
      </c>
      <c r="AV66">
        <v>2</v>
      </c>
      <c r="AX66">
        <v>1</v>
      </c>
      <c r="AY66">
        <v>2</v>
      </c>
      <c r="AZ66">
        <v>1</v>
      </c>
      <c r="BA66">
        <v>4</v>
      </c>
      <c r="BB66">
        <v>2</v>
      </c>
      <c r="BH66">
        <v>1</v>
      </c>
      <c r="BR66">
        <v>2</v>
      </c>
    </row>
    <row r="67" spans="1:80" x14ac:dyDescent="0.35">
      <c r="A67" t="s">
        <v>21</v>
      </c>
    </row>
    <row r="68" spans="1:80" x14ac:dyDescent="0.35">
      <c r="A68" t="s">
        <v>81</v>
      </c>
      <c r="G68">
        <v>3</v>
      </c>
      <c r="K68">
        <v>1</v>
      </c>
      <c r="BG68">
        <v>2</v>
      </c>
      <c r="BN68">
        <v>4</v>
      </c>
      <c r="BP68">
        <v>1</v>
      </c>
      <c r="BR68">
        <v>2</v>
      </c>
      <c r="BS68">
        <v>3</v>
      </c>
      <c r="BU68">
        <v>3</v>
      </c>
      <c r="BV68">
        <v>2</v>
      </c>
      <c r="BW68">
        <v>2</v>
      </c>
      <c r="BX68">
        <v>2</v>
      </c>
      <c r="BY68">
        <v>2</v>
      </c>
    </row>
    <row r="69" spans="1:80" x14ac:dyDescent="0.35">
      <c r="A69" t="s">
        <v>63</v>
      </c>
      <c r="B69">
        <v>2</v>
      </c>
      <c r="D69">
        <v>1</v>
      </c>
      <c r="AF69">
        <v>2</v>
      </c>
      <c r="AQ69">
        <v>3</v>
      </c>
      <c r="BF69">
        <v>1</v>
      </c>
      <c r="BM69">
        <v>1</v>
      </c>
      <c r="BW69">
        <v>1</v>
      </c>
      <c r="CB69">
        <v>1</v>
      </c>
    </row>
    <row r="70" spans="1:80" hidden="1" x14ac:dyDescent="0.35">
      <c r="A70" t="s">
        <v>83</v>
      </c>
    </row>
    <row r="71" spans="1:80" x14ac:dyDescent="0.35">
      <c r="A71" t="s">
        <v>22</v>
      </c>
      <c r="Y71">
        <v>1</v>
      </c>
      <c r="AB71">
        <v>2</v>
      </c>
      <c r="AD71">
        <v>3</v>
      </c>
      <c r="AI71">
        <v>1</v>
      </c>
      <c r="AR71">
        <v>4</v>
      </c>
      <c r="AV71">
        <v>3</v>
      </c>
      <c r="BA71">
        <v>2</v>
      </c>
      <c r="BB71">
        <v>5</v>
      </c>
      <c r="BE71">
        <v>6</v>
      </c>
      <c r="BS71">
        <v>1</v>
      </c>
      <c r="BT71">
        <v>1</v>
      </c>
      <c r="BU71">
        <v>2</v>
      </c>
      <c r="BV71">
        <v>3</v>
      </c>
      <c r="BX71">
        <v>2</v>
      </c>
    </row>
    <row r="72" spans="1:80" x14ac:dyDescent="0.35">
      <c r="A72" t="s">
        <v>376</v>
      </c>
      <c r="AU72">
        <v>1</v>
      </c>
      <c r="AV72">
        <v>1</v>
      </c>
      <c r="AW72">
        <v>3</v>
      </c>
      <c r="AX72">
        <v>1</v>
      </c>
      <c r="AZ72">
        <v>1</v>
      </c>
      <c r="BC72">
        <v>2</v>
      </c>
      <c r="BX72">
        <v>1</v>
      </c>
    </row>
    <row r="73" spans="1:80" x14ac:dyDescent="0.35">
      <c r="A73" t="s">
        <v>44</v>
      </c>
      <c r="N73">
        <v>3</v>
      </c>
      <c r="S73">
        <v>2</v>
      </c>
      <c r="AG73">
        <v>2</v>
      </c>
      <c r="AI73">
        <v>1</v>
      </c>
      <c r="AP73">
        <v>2</v>
      </c>
      <c r="AQ73">
        <v>1</v>
      </c>
      <c r="AR73">
        <v>3</v>
      </c>
      <c r="AW73">
        <v>1</v>
      </c>
      <c r="BA73">
        <v>1</v>
      </c>
      <c r="BE73">
        <v>1</v>
      </c>
      <c r="BI73">
        <v>2</v>
      </c>
      <c r="BL73">
        <v>2</v>
      </c>
      <c r="BN73">
        <v>2</v>
      </c>
      <c r="BO73">
        <v>1</v>
      </c>
      <c r="BP73">
        <v>1</v>
      </c>
      <c r="BR73">
        <v>1</v>
      </c>
    </row>
    <row r="74" spans="1:80" x14ac:dyDescent="0.35">
      <c r="A74" t="s">
        <v>379</v>
      </c>
      <c r="BF74">
        <v>1</v>
      </c>
      <c r="BG74">
        <v>1</v>
      </c>
    </row>
    <row r="75" spans="1:80" x14ac:dyDescent="0.35">
      <c r="A75" t="s">
        <v>8</v>
      </c>
      <c r="B75">
        <v>1</v>
      </c>
      <c r="H75">
        <v>1</v>
      </c>
      <c r="J75">
        <v>2</v>
      </c>
      <c r="Q75">
        <v>2</v>
      </c>
    </row>
    <row r="76" spans="1:80" hidden="1" x14ac:dyDescent="0.35">
      <c r="A76" t="s">
        <v>354</v>
      </c>
    </row>
    <row r="77" spans="1:80" x14ac:dyDescent="0.35">
      <c r="A77" t="s">
        <v>82</v>
      </c>
      <c r="B77">
        <v>2</v>
      </c>
      <c r="C77">
        <v>2</v>
      </c>
      <c r="D77">
        <v>1</v>
      </c>
      <c r="E77">
        <v>2</v>
      </c>
      <c r="F77">
        <v>1</v>
      </c>
      <c r="G77">
        <v>2</v>
      </c>
      <c r="H77">
        <v>2</v>
      </c>
      <c r="I77">
        <v>3</v>
      </c>
      <c r="J77">
        <v>4</v>
      </c>
      <c r="L77">
        <v>4</v>
      </c>
      <c r="M77">
        <v>1</v>
      </c>
      <c r="N77">
        <v>2</v>
      </c>
      <c r="O77">
        <v>1</v>
      </c>
      <c r="P77">
        <v>1</v>
      </c>
      <c r="Q77">
        <v>1</v>
      </c>
      <c r="R77">
        <v>3</v>
      </c>
      <c r="S77">
        <v>3</v>
      </c>
      <c r="U77">
        <v>3</v>
      </c>
      <c r="V77">
        <v>1</v>
      </c>
      <c r="W77">
        <v>3</v>
      </c>
      <c r="AC77">
        <v>1</v>
      </c>
      <c r="AF77">
        <v>1</v>
      </c>
      <c r="AH77">
        <v>2</v>
      </c>
      <c r="AI77">
        <v>3</v>
      </c>
      <c r="AJ77">
        <v>1</v>
      </c>
      <c r="AK77">
        <v>4</v>
      </c>
      <c r="AL77">
        <v>3</v>
      </c>
      <c r="AN77">
        <v>1</v>
      </c>
      <c r="AP77">
        <v>2</v>
      </c>
      <c r="AT77">
        <v>2</v>
      </c>
      <c r="AU77">
        <v>3</v>
      </c>
      <c r="AV77">
        <v>1</v>
      </c>
      <c r="AW77">
        <v>1</v>
      </c>
      <c r="AX77">
        <v>1</v>
      </c>
      <c r="AY77">
        <v>1</v>
      </c>
      <c r="AZ77">
        <v>2</v>
      </c>
      <c r="BC77">
        <v>2</v>
      </c>
      <c r="BD77">
        <v>1</v>
      </c>
      <c r="BF77">
        <v>2</v>
      </c>
      <c r="BH77">
        <v>3</v>
      </c>
      <c r="BI77">
        <v>1</v>
      </c>
      <c r="BJ77">
        <v>2</v>
      </c>
      <c r="BK77">
        <v>3</v>
      </c>
      <c r="BM77">
        <v>2</v>
      </c>
      <c r="BN77">
        <v>3</v>
      </c>
      <c r="BU77">
        <v>1</v>
      </c>
      <c r="BV77">
        <v>3</v>
      </c>
      <c r="BX77">
        <v>2</v>
      </c>
      <c r="BY77">
        <v>1</v>
      </c>
      <c r="BZ77">
        <v>1</v>
      </c>
      <c r="CA77">
        <v>1</v>
      </c>
      <c r="CB77">
        <v>1</v>
      </c>
    </row>
    <row r="78" spans="1:80" x14ac:dyDescent="0.35">
      <c r="A78" t="s">
        <v>49</v>
      </c>
      <c r="G78">
        <v>2</v>
      </c>
    </row>
    <row r="79" spans="1:80" x14ac:dyDescent="0.35">
      <c r="A79" t="s">
        <v>390</v>
      </c>
      <c r="BZ79">
        <v>5</v>
      </c>
      <c r="CA79">
        <v>2</v>
      </c>
      <c r="CB79">
        <v>1</v>
      </c>
    </row>
    <row r="80" spans="1:80" x14ac:dyDescent="0.35">
      <c r="A80" t="s">
        <v>85</v>
      </c>
      <c r="K80">
        <v>4</v>
      </c>
      <c r="L80">
        <v>2</v>
      </c>
      <c r="M80">
        <v>5</v>
      </c>
    </row>
    <row r="81" spans="1:80" x14ac:dyDescent="0.35">
      <c r="A81" t="s">
        <v>5</v>
      </c>
      <c r="B81">
        <v>1</v>
      </c>
      <c r="C81">
        <v>2</v>
      </c>
      <c r="D81">
        <v>2</v>
      </c>
      <c r="E81">
        <v>3</v>
      </c>
      <c r="F81">
        <v>2</v>
      </c>
      <c r="G81">
        <v>3</v>
      </c>
      <c r="H81">
        <v>1</v>
      </c>
      <c r="M81">
        <v>4</v>
      </c>
      <c r="N81">
        <v>6</v>
      </c>
      <c r="P81">
        <v>2</v>
      </c>
      <c r="Q81">
        <v>1</v>
      </c>
      <c r="R81">
        <v>2</v>
      </c>
      <c r="S81">
        <v>3</v>
      </c>
      <c r="V81">
        <v>2</v>
      </c>
      <c r="W81">
        <v>1</v>
      </c>
      <c r="X81">
        <v>1</v>
      </c>
      <c r="Y81">
        <v>4</v>
      </c>
      <c r="Z81">
        <v>5</v>
      </c>
      <c r="AA81">
        <v>1</v>
      </c>
      <c r="AB81">
        <v>3</v>
      </c>
      <c r="AC81">
        <v>4</v>
      </c>
      <c r="AD81">
        <v>3</v>
      </c>
      <c r="AE81">
        <v>3</v>
      </c>
      <c r="AF81">
        <v>2</v>
      </c>
      <c r="AG81">
        <v>5</v>
      </c>
      <c r="AH81">
        <v>7</v>
      </c>
      <c r="AI81">
        <v>3</v>
      </c>
      <c r="AJ81">
        <v>1</v>
      </c>
      <c r="AK81">
        <v>1</v>
      </c>
      <c r="AL81">
        <v>6</v>
      </c>
      <c r="AR81">
        <v>3</v>
      </c>
      <c r="AS81">
        <v>2</v>
      </c>
      <c r="AV81">
        <v>2</v>
      </c>
      <c r="AW81">
        <v>1</v>
      </c>
      <c r="AX81">
        <v>4</v>
      </c>
      <c r="AY81">
        <v>3</v>
      </c>
      <c r="AZ81">
        <v>4</v>
      </c>
      <c r="BA81">
        <v>5</v>
      </c>
      <c r="BB81">
        <v>6</v>
      </c>
      <c r="BC81">
        <v>2</v>
      </c>
      <c r="BD81">
        <v>2</v>
      </c>
      <c r="BE81">
        <v>7</v>
      </c>
      <c r="BG81">
        <v>4</v>
      </c>
      <c r="BH81">
        <v>3</v>
      </c>
      <c r="BI81">
        <v>4</v>
      </c>
      <c r="BK81">
        <v>1</v>
      </c>
      <c r="BL81">
        <v>8</v>
      </c>
      <c r="BM81">
        <v>4</v>
      </c>
      <c r="BN81">
        <v>5</v>
      </c>
      <c r="BO81">
        <v>3</v>
      </c>
      <c r="BP81">
        <v>1</v>
      </c>
      <c r="BQ81">
        <v>1</v>
      </c>
      <c r="BR81">
        <v>3</v>
      </c>
      <c r="BS81">
        <v>1</v>
      </c>
    </row>
    <row r="82" spans="1:80" x14ac:dyDescent="0.35">
      <c r="A82" t="s">
        <v>45</v>
      </c>
      <c r="K82">
        <v>1</v>
      </c>
      <c r="BJ82">
        <v>1</v>
      </c>
    </row>
    <row r="83" spans="1:80" x14ac:dyDescent="0.35">
      <c r="A83" t="s">
        <v>367</v>
      </c>
      <c r="B83">
        <v>1</v>
      </c>
      <c r="D83">
        <v>1</v>
      </c>
      <c r="E83">
        <v>3</v>
      </c>
      <c r="O83">
        <v>2</v>
      </c>
      <c r="P83">
        <v>2</v>
      </c>
      <c r="Q83">
        <v>1</v>
      </c>
      <c r="R83">
        <v>1</v>
      </c>
      <c r="AD83">
        <v>1</v>
      </c>
      <c r="AE83">
        <v>1</v>
      </c>
      <c r="AG83">
        <v>1</v>
      </c>
      <c r="AH83">
        <v>2</v>
      </c>
      <c r="AL83">
        <v>3</v>
      </c>
      <c r="AM83">
        <v>2</v>
      </c>
      <c r="AN83">
        <v>1</v>
      </c>
      <c r="AO83">
        <v>1</v>
      </c>
      <c r="AR83">
        <v>1</v>
      </c>
      <c r="AS83">
        <v>1</v>
      </c>
      <c r="AT83">
        <v>1</v>
      </c>
      <c r="AV83">
        <v>1</v>
      </c>
      <c r="AW83">
        <v>2</v>
      </c>
      <c r="BD83">
        <v>1</v>
      </c>
      <c r="BF83">
        <v>1</v>
      </c>
      <c r="BI83">
        <v>1</v>
      </c>
      <c r="BU83">
        <v>2</v>
      </c>
      <c r="BW83">
        <v>2</v>
      </c>
      <c r="CB83">
        <v>1</v>
      </c>
    </row>
    <row r="84" spans="1:80" hidden="1" x14ac:dyDescent="0.35">
      <c r="A84" t="s">
        <v>352</v>
      </c>
      <c r="Z84">
        <v>1</v>
      </c>
    </row>
    <row r="85" spans="1:80" hidden="1" x14ac:dyDescent="0.35">
      <c r="A85" t="s">
        <v>366</v>
      </c>
    </row>
    <row r="86" spans="1:80" x14ac:dyDescent="0.35">
      <c r="A86" t="s">
        <v>17</v>
      </c>
      <c r="F86">
        <v>2</v>
      </c>
      <c r="J86">
        <v>1</v>
      </c>
      <c r="K86">
        <v>1</v>
      </c>
    </row>
    <row r="87" spans="1:80" hidden="1" x14ac:dyDescent="0.35">
      <c r="A87" t="s">
        <v>86</v>
      </c>
      <c r="K87">
        <v>5</v>
      </c>
    </row>
    <row r="88" spans="1:80" x14ac:dyDescent="0.35">
      <c r="A88" t="s">
        <v>16</v>
      </c>
      <c r="C88">
        <v>4</v>
      </c>
      <c r="D88">
        <v>3</v>
      </c>
      <c r="F88">
        <v>2</v>
      </c>
      <c r="G88">
        <v>5</v>
      </c>
      <c r="H88">
        <v>3</v>
      </c>
      <c r="I88">
        <v>2</v>
      </c>
      <c r="J88">
        <v>5</v>
      </c>
      <c r="K88">
        <v>3</v>
      </c>
      <c r="L88">
        <v>2</v>
      </c>
      <c r="M88">
        <v>3</v>
      </c>
      <c r="O88">
        <v>5</v>
      </c>
      <c r="P88">
        <v>5</v>
      </c>
      <c r="Q88">
        <v>3</v>
      </c>
      <c r="R88">
        <v>2</v>
      </c>
      <c r="S88">
        <v>3</v>
      </c>
      <c r="T88">
        <v>1</v>
      </c>
      <c r="U88">
        <v>1</v>
      </c>
      <c r="V88">
        <v>3</v>
      </c>
      <c r="W88">
        <v>3</v>
      </c>
      <c r="X88">
        <v>5</v>
      </c>
      <c r="Y88">
        <v>4</v>
      </c>
      <c r="Z88">
        <v>1</v>
      </c>
      <c r="AA88">
        <v>3</v>
      </c>
      <c r="AC88">
        <v>1</v>
      </c>
      <c r="AE88">
        <v>4</v>
      </c>
      <c r="AF88">
        <v>2</v>
      </c>
      <c r="AG88">
        <v>3</v>
      </c>
      <c r="AH88">
        <v>2</v>
      </c>
      <c r="AI88">
        <v>2</v>
      </c>
      <c r="AJ88">
        <v>7</v>
      </c>
      <c r="AK88">
        <v>3</v>
      </c>
      <c r="AL88">
        <v>5</v>
      </c>
      <c r="AM88">
        <v>1</v>
      </c>
      <c r="AN88">
        <v>4</v>
      </c>
      <c r="AO88">
        <v>3</v>
      </c>
      <c r="AP88">
        <v>6</v>
      </c>
      <c r="AQ88">
        <v>4</v>
      </c>
      <c r="AR88">
        <v>5</v>
      </c>
      <c r="AS88">
        <v>3</v>
      </c>
      <c r="AT88">
        <v>2</v>
      </c>
      <c r="AU88">
        <v>2</v>
      </c>
      <c r="AW88">
        <v>3</v>
      </c>
      <c r="AY88">
        <v>1</v>
      </c>
      <c r="AZ88">
        <v>3</v>
      </c>
      <c r="BB88">
        <v>4</v>
      </c>
      <c r="BC88">
        <v>4</v>
      </c>
      <c r="BD88">
        <v>3</v>
      </c>
      <c r="BF88">
        <v>2</v>
      </c>
      <c r="BG88">
        <v>4</v>
      </c>
      <c r="BH88">
        <v>5</v>
      </c>
      <c r="BJ88">
        <v>4</v>
      </c>
      <c r="BK88">
        <v>2</v>
      </c>
      <c r="BL88">
        <v>4</v>
      </c>
      <c r="BM88">
        <v>1</v>
      </c>
      <c r="BN88">
        <v>2</v>
      </c>
      <c r="BO88">
        <v>3</v>
      </c>
      <c r="BS88">
        <v>3</v>
      </c>
      <c r="BT88">
        <v>4</v>
      </c>
      <c r="BU88">
        <v>4</v>
      </c>
      <c r="BV88">
        <v>3</v>
      </c>
      <c r="BX88">
        <v>5</v>
      </c>
      <c r="BY88">
        <v>2</v>
      </c>
      <c r="BZ88">
        <v>3</v>
      </c>
      <c r="CA88">
        <v>1</v>
      </c>
    </row>
    <row r="89" spans="1:80" hidden="1" x14ac:dyDescent="0.35">
      <c r="A89" t="s">
        <v>47</v>
      </c>
    </row>
  </sheetData>
  <autoFilter ref="A1:AB89" xr:uid="{130C2564-D265-4C41-A3E0-02A62EDAC91D}">
    <sortState ref="A2:AB89">
      <sortCondition ref="A1:A89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2026-05-14T14:11:47Z</dcterms:modified>
</cp:coreProperties>
</file>