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57" documentId="14_{0C1905BB-B4B8-4F5B-9F29-FEFBC7ECF02C}" xr6:coauthVersionLast="36" xr6:coauthVersionMax="36" xr10:uidLastSave="{08BFDACC-5DED-4E2D-B4E9-58822B824F8E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artilharia!$A$1:$AB$90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notas!$A$1:$DD$83</definedName>
  </definedNames>
  <calcPr calcId="191029"/>
</workbook>
</file>

<file path=xl/calcChain.xml><?xml version="1.0" encoding="utf-8"?>
<calcChain xmlns="http://schemas.openxmlformats.org/spreadsheetml/2006/main">
  <c r="CY3" i="1" l="1"/>
  <c r="DA3" i="1" s="1"/>
  <c r="CZ3" i="1"/>
  <c r="CY4" i="1"/>
  <c r="CZ4" i="1"/>
  <c r="DA4" i="1"/>
  <c r="CY5" i="1"/>
  <c r="CZ5" i="1"/>
  <c r="DA5" i="1"/>
  <c r="CY6" i="1"/>
  <c r="CZ6" i="1"/>
  <c r="DA6" i="1"/>
  <c r="CY7" i="1"/>
  <c r="CZ7" i="1"/>
  <c r="DA7" i="1"/>
  <c r="CY8" i="1"/>
  <c r="CZ8" i="1"/>
  <c r="DA8" i="1"/>
  <c r="CY9" i="1"/>
  <c r="CZ9" i="1"/>
  <c r="DA9" i="1"/>
  <c r="CY10" i="1"/>
  <c r="CZ10" i="1"/>
  <c r="DA10" i="1"/>
  <c r="CY11" i="1"/>
  <c r="CZ11" i="1"/>
  <c r="DA11" i="1"/>
  <c r="CY12" i="1"/>
  <c r="CZ12" i="1"/>
  <c r="DA12" i="1"/>
  <c r="CY13" i="1"/>
  <c r="CZ13" i="1"/>
  <c r="DA13" i="1"/>
  <c r="CY14" i="1"/>
  <c r="CZ14" i="1"/>
  <c r="DA14" i="1"/>
  <c r="CY15" i="1"/>
  <c r="CZ15" i="1"/>
  <c r="DA15" i="1"/>
  <c r="CY16" i="1"/>
  <c r="CZ16" i="1"/>
  <c r="DA16" i="1"/>
  <c r="CY17" i="1"/>
  <c r="CZ17" i="1"/>
  <c r="DA17" i="1"/>
  <c r="CY18" i="1"/>
  <c r="CZ18" i="1"/>
  <c r="DA18" i="1"/>
  <c r="CY19" i="1"/>
  <c r="CZ19" i="1"/>
  <c r="DA19" i="1"/>
  <c r="CY20" i="1"/>
  <c r="CZ20" i="1"/>
  <c r="DA20" i="1"/>
  <c r="CY21" i="1"/>
  <c r="CZ21" i="1"/>
  <c r="DA21" i="1"/>
  <c r="CY22" i="1"/>
  <c r="CZ22" i="1"/>
  <c r="DA22" i="1"/>
  <c r="CY23" i="1"/>
  <c r="CZ23" i="1"/>
  <c r="DA23" i="1"/>
  <c r="CY24" i="1"/>
  <c r="CZ24" i="1"/>
  <c r="DA24" i="1"/>
  <c r="CY25" i="1"/>
  <c r="CZ25" i="1"/>
  <c r="DA25" i="1"/>
  <c r="CY26" i="1"/>
  <c r="CZ26" i="1"/>
  <c r="DA26" i="1"/>
  <c r="CY27" i="1"/>
  <c r="CZ27" i="1"/>
  <c r="DA27" i="1"/>
  <c r="CY28" i="1"/>
  <c r="CZ28" i="1"/>
  <c r="DA28" i="1"/>
  <c r="CY29" i="1"/>
  <c r="CZ29" i="1"/>
  <c r="DA29" i="1"/>
  <c r="CY30" i="1"/>
  <c r="CZ30" i="1"/>
  <c r="DA30" i="1"/>
  <c r="CY31" i="1"/>
  <c r="CZ31" i="1"/>
  <c r="DA31" i="1"/>
  <c r="CY32" i="1"/>
  <c r="CZ32" i="1"/>
  <c r="DA32" i="1"/>
  <c r="CY33" i="1"/>
  <c r="CZ33" i="1"/>
  <c r="DA33" i="1"/>
  <c r="CY34" i="1"/>
  <c r="CZ34" i="1"/>
  <c r="DA34" i="1"/>
  <c r="CY35" i="1"/>
  <c r="CZ35" i="1"/>
  <c r="DA35" i="1"/>
  <c r="CY36" i="1"/>
  <c r="CZ36" i="1"/>
  <c r="DA36" i="1"/>
  <c r="CY37" i="1"/>
  <c r="CZ37" i="1"/>
  <c r="DA37" i="1"/>
  <c r="CY38" i="1"/>
  <c r="CZ38" i="1"/>
  <c r="DA38" i="1"/>
  <c r="CY39" i="1"/>
  <c r="CZ39" i="1"/>
  <c r="DA39" i="1"/>
  <c r="CY40" i="1"/>
  <c r="CZ40" i="1"/>
  <c r="DA40" i="1"/>
  <c r="CY41" i="1"/>
  <c r="CZ41" i="1"/>
  <c r="DA41" i="1"/>
  <c r="CY42" i="1"/>
  <c r="CZ42" i="1"/>
  <c r="DA42" i="1"/>
  <c r="CY43" i="1"/>
  <c r="CZ43" i="1"/>
  <c r="DA43" i="1"/>
  <c r="CY44" i="1"/>
  <c r="CZ44" i="1"/>
  <c r="DA44" i="1"/>
  <c r="CY45" i="1"/>
  <c r="CZ45" i="1"/>
  <c r="DA45" i="1"/>
  <c r="CY46" i="1"/>
  <c r="CZ46" i="1"/>
  <c r="DA46" i="1"/>
  <c r="CY47" i="1"/>
  <c r="CZ47" i="1"/>
  <c r="DA47" i="1"/>
  <c r="CY48" i="1"/>
  <c r="CZ48" i="1"/>
  <c r="DA48" i="1"/>
  <c r="CY49" i="1"/>
  <c r="CZ49" i="1"/>
  <c r="DA49" i="1"/>
  <c r="CY50" i="1"/>
  <c r="CZ50" i="1"/>
  <c r="DA50" i="1"/>
  <c r="CY51" i="1"/>
  <c r="CZ51" i="1"/>
  <c r="DA51" i="1"/>
  <c r="CY52" i="1"/>
  <c r="CZ52" i="1"/>
  <c r="DA52" i="1"/>
  <c r="CY53" i="1"/>
  <c r="CZ53" i="1"/>
  <c r="DA53" i="1"/>
  <c r="CY54" i="1"/>
  <c r="CZ54" i="1"/>
  <c r="DA54" i="1"/>
  <c r="CY55" i="1"/>
  <c r="CZ55" i="1"/>
  <c r="DA55" i="1"/>
  <c r="CY56" i="1"/>
  <c r="CZ56" i="1"/>
  <c r="DA56" i="1"/>
  <c r="CY57" i="1"/>
  <c r="CZ57" i="1"/>
  <c r="DA57" i="1"/>
  <c r="CY58" i="1"/>
  <c r="CZ58" i="1"/>
  <c r="DA58" i="1"/>
  <c r="CY59" i="1"/>
  <c r="CZ59" i="1"/>
  <c r="DA59" i="1"/>
  <c r="CY60" i="1"/>
  <c r="CZ60" i="1"/>
  <c r="DA60" i="1"/>
  <c r="CY61" i="1"/>
  <c r="CZ61" i="1"/>
  <c r="DA61" i="1"/>
  <c r="CY62" i="1"/>
  <c r="CZ62" i="1"/>
  <c r="DA62" i="1"/>
  <c r="CY63" i="1"/>
  <c r="CZ63" i="1"/>
  <c r="DA63" i="1"/>
  <c r="CY64" i="1"/>
  <c r="CZ64" i="1"/>
  <c r="DA64" i="1"/>
  <c r="CY65" i="1"/>
  <c r="CZ65" i="1"/>
  <c r="DA65" i="1"/>
  <c r="CY66" i="1"/>
  <c r="CZ66" i="1"/>
  <c r="DA66" i="1"/>
  <c r="CY67" i="1"/>
  <c r="CZ67" i="1"/>
  <c r="DA67" i="1"/>
  <c r="CY68" i="1"/>
  <c r="CZ68" i="1"/>
  <c r="DA68" i="1"/>
  <c r="CY69" i="1"/>
  <c r="CZ69" i="1"/>
  <c r="DA69" i="1"/>
  <c r="CY70" i="1"/>
  <c r="CZ70" i="1"/>
  <c r="DA70" i="1"/>
  <c r="CY71" i="1"/>
  <c r="CZ71" i="1"/>
  <c r="DA71" i="1"/>
  <c r="CY72" i="1"/>
  <c r="CZ72" i="1"/>
  <c r="DA72" i="1"/>
  <c r="CY73" i="1"/>
  <c r="CZ73" i="1"/>
  <c r="DA73" i="1"/>
  <c r="CY74" i="1"/>
  <c r="CZ74" i="1"/>
  <c r="DA74" i="1"/>
  <c r="CY75" i="1"/>
  <c r="CZ75" i="1"/>
  <c r="DA75" i="1"/>
  <c r="CY76" i="1"/>
  <c r="CZ76" i="1"/>
  <c r="DA76" i="1"/>
  <c r="CY77" i="1"/>
  <c r="CZ77" i="1"/>
  <c r="DA77" i="1"/>
  <c r="CY78" i="1"/>
  <c r="CZ78" i="1"/>
  <c r="DA78" i="1"/>
  <c r="CY79" i="1"/>
  <c r="CZ79" i="1"/>
  <c r="DA79" i="1"/>
  <c r="CY80" i="1"/>
  <c r="CZ80" i="1"/>
  <c r="DA80" i="1"/>
  <c r="CY81" i="1"/>
  <c r="CZ81" i="1"/>
  <c r="DA81" i="1"/>
  <c r="CY82" i="1"/>
  <c r="CZ82" i="1"/>
  <c r="DA82" i="1"/>
  <c r="CY83" i="1"/>
  <c r="CZ83" i="1"/>
  <c r="DA83" i="1"/>
  <c r="CY84" i="1"/>
  <c r="CZ84" i="1"/>
  <c r="DA84" i="1"/>
  <c r="CY85" i="1"/>
  <c r="CZ85" i="1"/>
  <c r="DA85" i="1"/>
  <c r="CY86" i="1"/>
  <c r="CZ86" i="1"/>
  <c r="DA86" i="1"/>
  <c r="CY87" i="1"/>
  <c r="CZ87" i="1"/>
  <c r="DA87" i="1"/>
  <c r="CY88" i="1"/>
  <c r="CZ88" i="1"/>
  <c r="DA88" i="1"/>
  <c r="CY89" i="1"/>
  <c r="CZ89" i="1"/>
  <c r="DA89" i="1"/>
  <c r="CY90" i="1"/>
  <c r="CZ90" i="1"/>
  <c r="DA90" i="1"/>
  <c r="DA2" i="1"/>
  <c r="CZ2" i="1"/>
  <c r="CY2" i="1"/>
  <c r="W92" i="4" l="1"/>
  <c r="X92" i="4"/>
  <c r="DC90" i="1" l="1"/>
  <c r="DD90" i="1"/>
  <c r="DC89" i="1" l="1"/>
  <c r="DD89" i="1"/>
  <c r="X90" i="4" l="1"/>
  <c r="X91" i="4" s="1"/>
  <c r="DC87" i="1"/>
  <c r="DC3" i="1"/>
  <c r="DC4" i="1"/>
  <c r="DC5" i="1"/>
  <c r="DC6" i="1"/>
  <c r="DC7" i="1"/>
  <c r="DC8" i="1"/>
  <c r="DC9" i="1"/>
  <c r="DC10" i="1"/>
  <c r="DC12" i="1"/>
  <c r="DC11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7" i="1"/>
  <c r="DC28" i="1"/>
  <c r="DC30" i="1"/>
  <c r="DC29" i="1"/>
  <c r="DC31" i="1"/>
  <c r="DC32" i="1"/>
  <c r="DC26" i="1"/>
  <c r="DC33" i="1"/>
  <c r="DC34" i="1"/>
  <c r="DC35" i="1"/>
  <c r="DC36" i="1"/>
  <c r="DC38" i="1"/>
  <c r="DC37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8" i="1"/>
  <c r="DC57" i="1"/>
  <c r="DC54" i="1"/>
  <c r="DC59" i="1"/>
  <c r="DC55" i="1"/>
  <c r="DC60" i="1"/>
  <c r="DC61" i="1"/>
  <c r="DC56" i="1"/>
  <c r="DC62" i="1"/>
  <c r="DC53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8" i="1"/>
  <c r="DC84" i="1"/>
  <c r="DC85" i="1"/>
  <c r="DC86" i="1"/>
  <c r="DC2" i="1"/>
  <c r="X93" i="4" l="1"/>
  <c r="DD87" i="1" l="1"/>
  <c r="DD86" i="1" l="1"/>
  <c r="DD84" i="1"/>
  <c r="DD85" i="1"/>
  <c r="DD88" i="1" l="1"/>
  <c r="W90" i="4" l="1"/>
  <c r="V92" i="4"/>
  <c r="U92" i="4" l="1"/>
  <c r="W19" i="4"/>
  <c r="W91" i="4"/>
  <c r="W93" i="4" l="1"/>
  <c r="U93" i="4" l="1"/>
  <c r="T92" i="4"/>
  <c r="V90" i="4" l="1"/>
  <c r="V81" i="4"/>
  <c r="V91" i="4"/>
  <c r="V93" i="4" l="1"/>
  <c r="DD83" i="1" l="1"/>
  <c r="DD3" i="1"/>
  <c r="DD4" i="1"/>
  <c r="DD8" i="1"/>
  <c r="DD9" i="1"/>
  <c r="DD6" i="1"/>
  <c r="DD7" i="1"/>
  <c r="DD5" i="1"/>
  <c r="DD10" i="1"/>
  <c r="DD12" i="1"/>
  <c r="DD11" i="1"/>
  <c r="DD13" i="1"/>
  <c r="DD16" i="1"/>
  <c r="DD17" i="1"/>
  <c r="DD18" i="1"/>
  <c r="DD21" i="1"/>
  <c r="DD22" i="1"/>
  <c r="DD20" i="1"/>
  <c r="DD14" i="1"/>
  <c r="DD15" i="1"/>
  <c r="DD19" i="1"/>
  <c r="DD24" i="1"/>
  <c r="DD23" i="1"/>
  <c r="DD25" i="1"/>
  <c r="DD27" i="1"/>
  <c r="DD28" i="1"/>
  <c r="DD30" i="1"/>
  <c r="DD29" i="1"/>
  <c r="DD31" i="1"/>
  <c r="DD32" i="1"/>
  <c r="DD33" i="1"/>
  <c r="DD34" i="1"/>
  <c r="DD35" i="1"/>
  <c r="DD36" i="1"/>
  <c r="DD38" i="1"/>
  <c r="DD37" i="1"/>
  <c r="DD26" i="1"/>
  <c r="DD39" i="1"/>
  <c r="DD40" i="1"/>
  <c r="DD42" i="1"/>
  <c r="DD43" i="1"/>
  <c r="DD44" i="1"/>
  <c r="DD45" i="1"/>
  <c r="DD46" i="1"/>
  <c r="DD47" i="1"/>
  <c r="DD41" i="1"/>
  <c r="DD48" i="1"/>
  <c r="DD49" i="1"/>
  <c r="DD50" i="1"/>
  <c r="DD58" i="1"/>
  <c r="DD57" i="1"/>
  <c r="DD54" i="1"/>
  <c r="DD59" i="1"/>
  <c r="DD55" i="1"/>
  <c r="DD60" i="1"/>
  <c r="DD51" i="1"/>
  <c r="DD52" i="1"/>
  <c r="DD61" i="1"/>
  <c r="DD56" i="1"/>
  <c r="DD64" i="1"/>
  <c r="DD65" i="1"/>
  <c r="DD66" i="1"/>
  <c r="DD67" i="1"/>
  <c r="DD68" i="1"/>
  <c r="DD62" i="1"/>
  <c r="DD69" i="1"/>
  <c r="DD53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63" i="1"/>
  <c r="DD82" i="1"/>
  <c r="S92" i="4" l="1"/>
  <c r="U90" i="4" l="1"/>
  <c r="T90" i="4"/>
  <c r="S90" i="4"/>
  <c r="Q90" i="4"/>
  <c r="N90" i="4"/>
  <c r="M90" i="4"/>
  <c r="L90" i="4"/>
  <c r="J90" i="4"/>
  <c r="I90" i="4"/>
  <c r="H90" i="4"/>
  <c r="G90" i="4"/>
  <c r="E90" i="4"/>
  <c r="D90" i="4"/>
  <c r="C90" i="4"/>
  <c r="U91" i="4"/>
  <c r="DD2" i="1"/>
  <c r="T91" i="4" l="1"/>
  <c r="R92" i="4"/>
  <c r="N92" i="4"/>
  <c r="K92" i="4"/>
  <c r="T93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2" i="4"/>
  <c r="U6" i="6" l="1"/>
  <c r="W5" i="6"/>
  <c r="Q7" i="6"/>
  <c r="S6" i="6"/>
  <c r="S91" i="4"/>
  <c r="S93" i="4" s="1"/>
  <c r="W6" i="6" l="1"/>
  <c r="U7" i="6"/>
  <c r="S7" i="6"/>
  <c r="Q8" i="6"/>
  <c r="P92" i="4"/>
  <c r="W7" i="6" l="1"/>
  <c r="U8" i="6"/>
  <c r="S8" i="6"/>
  <c r="Q9" i="6"/>
  <c r="R32" i="4"/>
  <c r="R72" i="4"/>
  <c r="R26" i="4"/>
  <c r="R53" i="4"/>
  <c r="R17" i="4"/>
  <c r="R91" i="4" l="1"/>
  <c r="R90" i="4"/>
  <c r="U9" i="6"/>
  <c r="W8" i="6"/>
  <c r="Q10" i="6"/>
  <c r="S9" i="6"/>
  <c r="R93" i="4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1" i="4"/>
  <c r="Q93" i="4" s="1"/>
  <c r="W13" i="6" l="1"/>
  <c r="U14" i="6"/>
  <c r="Q15" i="6"/>
  <c r="S14" i="6"/>
  <c r="O92" i="4"/>
  <c r="W14" i="6" l="1"/>
  <c r="U15" i="6"/>
  <c r="S15" i="6"/>
  <c r="Q16" i="6"/>
  <c r="P43" i="4"/>
  <c r="P91" i="4" l="1"/>
  <c r="P93" i="4" s="1"/>
  <c r="P90" i="4"/>
  <c r="W15" i="6"/>
  <c r="U16" i="6"/>
  <c r="Q17" i="6"/>
  <c r="S16" i="6"/>
  <c r="W16" i="6" l="1"/>
  <c r="U17" i="6"/>
  <c r="Q18" i="6"/>
  <c r="S17" i="6"/>
  <c r="O30" i="4"/>
  <c r="O59" i="4"/>
  <c r="O91" i="4"/>
  <c r="AB6" i="4"/>
  <c r="O90" i="4" l="1"/>
  <c r="U18" i="6"/>
  <c r="W17" i="6"/>
  <c r="Q19" i="6"/>
  <c r="S18" i="6"/>
  <c r="O93" i="4"/>
  <c r="U19" i="6" l="1"/>
  <c r="W18" i="6"/>
  <c r="Q20" i="6"/>
  <c r="S19" i="6"/>
  <c r="M92" i="4"/>
  <c r="U20" i="6" l="1"/>
  <c r="W19" i="6"/>
  <c r="Q21" i="6"/>
  <c r="S20" i="6"/>
  <c r="L92" i="4"/>
  <c r="AB7" i="4"/>
  <c r="AB8" i="4" s="1"/>
  <c r="M91" i="4"/>
  <c r="N91" i="4"/>
  <c r="U21" i="6" l="1"/>
  <c r="W20" i="6"/>
  <c r="S21" i="6"/>
  <c r="Q22" i="6"/>
  <c r="N93" i="4"/>
  <c r="U22" i="6" l="1"/>
  <c r="W21" i="6"/>
  <c r="Q23" i="6"/>
  <c r="S22" i="6"/>
  <c r="M93" i="4"/>
  <c r="W22" i="6" l="1"/>
  <c r="U23" i="6"/>
  <c r="S23" i="6"/>
  <c r="Q24" i="6"/>
  <c r="L91" i="4"/>
  <c r="W23" i="6" l="1"/>
  <c r="U24" i="6"/>
  <c r="Q25" i="6"/>
  <c r="S24" i="6"/>
  <c r="L93" i="4"/>
  <c r="W24" i="6" l="1"/>
  <c r="U25" i="6"/>
  <c r="S25" i="6"/>
  <c r="Q26" i="6"/>
  <c r="J92" i="4"/>
  <c r="I92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1" i="4" s="1"/>
  <c r="K2" i="4"/>
  <c r="K90" i="4" s="1"/>
  <c r="U27" i="6" l="1"/>
  <c r="W26" i="6"/>
  <c r="Q28" i="6"/>
  <c r="S27" i="6"/>
  <c r="K93" i="4"/>
  <c r="U28" i="6" l="1"/>
  <c r="W27" i="6"/>
  <c r="Q29" i="6"/>
  <c r="S28" i="6"/>
  <c r="J91" i="4"/>
  <c r="U29" i="6" l="1"/>
  <c r="W28" i="6"/>
  <c r="S29" i="6"/>
  <c r="Q30" i="6"/>
  <c r="J93" i="4"/>
  <c r="U30" i="6" l="1"/>
  <c r="W29" i="6"/>
  <c r="Q31" i="6"/>
  <c r="S30" i="6"/>
  <c r="E92" i="4"/>
  <c r="U31" i="6" l="1"/>
  <c r="W30" i="6"/>
  <c r="S31" i="6"/>
  <c r="Q32" i="6"/>
  <c r="G92" i="4"/>
  <c r="H92" i="4"/>
  <c r="W31" i="6" l="1"/>
  <c r="U32" i="6"/>
  <c r="S32" i="6"/>
  <c r="Q33" i="6"/>
  <c r="I91" i="4"/>
  <c r="I93" i="4" s="1"/>
  <c r="U33" i="6" l="1"/>
  <c r="W32" i="6"/>
  <c r="Q34" i="6"/>
  <c r="S33" i="6"/>
  <c r="D92" i="4"/>
  <c r="C92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2" i="4"/>
  <c r="H91" i="4"/>
  <c r="U37" i="6" l="1"/>
  <c r="W36" i="6"/>
  <c r="S37" i="6"/>
  <c r="Q38" i="6"/>
  <c r="H7" i="6"/>
  <c r="I6" i="6"/>
  <c r="J6" i="6" s="1"/>
  <c r="H93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1" i="4"/>
  <c r="I10" i="6" l="1"/>
  <c r="J10" i="6" s="1"/>
  <c r="H11" i="6"/>
  <c r="G93" i="4"/>
  <c r="B92" i="4"/>
  <c r="E91" i="4"/>
  <c r="D91" i="4"/>
  <c r="C91" i="4"/>
  <c r="F20" i="4"/>
  <c r="F19" i="4"/>
  <c r="F90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0" i="4" l="1"/>
  <c r="E93" i="4"/>
  <c r="F91" i="4"/>
  <c r="F93" i="4" s="1"/>
  <c r="H12" i="6"/>
  <c r="I11" i="6"/>
  <c r="J11" i="6" s="1"/>
  <c r="C93" i="4"/>
  <c r="D93" i="4"/>
  <c r="B91" i="4"/>
  <c r="B93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<sst xmlns="http://schemas.openxmlformats.org/spreadsheetml/2006/main" count="9534" uniqueCount="402">
  <si>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</si>
  <si>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</si>
  <si>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</si>
  <si>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</si>
  <si>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</si>
  <si>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</si>
  <si>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</si>
  <si>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</si>
  <si>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</si>
  <si>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</si>
  <si>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</si>
  <si>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</si>
  <si>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</si>
  <si>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</si>
  <si>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</si>
  <si>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</si>
  <si>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</si>
  <si>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</si>
  <si>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</si>
  <si>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</si>
  <si>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</si>
  <si>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</si>
  <si>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</si>
  <si>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</si>
  <si>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</si>
  <si>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</si>
  <si>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</si>
  <si>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</si>
  <si>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</si>
  <si>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</si>
  <si>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</si>
  <si>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</si>
  <si>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</si>
  <si>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</si>
  <si>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</si>
  <si>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</si>
  <si>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</si>
  <si>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</si>
  <si>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</si>
  <si>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</si>
  <si>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</si>
  <si>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</si>
  <si>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</si>
  <si>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</si>
  <si>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</si>
  <si>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</si>
  <si>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</si>
  <si>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</si>
  <si>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</si>
  <si>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</si>
  <si>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</si>
  <si>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</si>
  <si>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</si>
  <si>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</si>
  <si>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</si>
  <si>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</si>
  <si>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</si>
  <si>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</si>
  <si>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</si>
  <si>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</si>
  <si>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</si>
  <si>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</si>
  <si>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</si>
  <si>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</si>
  <si>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</si>
  <si>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</si>
  <si>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</si>
  <si>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</si>
  <si>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</si>
  <si>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</si>
  <si>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</si>
  <si>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</si>
  <si>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</si>
  <si>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</si>
  <si>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</si>
  <si>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</si>
  <si>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</si>
  <si>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</si>
  <si>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</si>
  <si>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</si>
  <si>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</si>
  <si>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</si>
  <si>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</si>
  <si>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</si>
  <si>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</si>
  <si>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</si>
  <si>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</si>
  <si>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</si>
  <si>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</si>
  <si>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</si>
  <si>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</si>
  <si>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</si>
  <si>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</si>
  <si>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</si>
  <si>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</si>
  <si>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</si>
  <si>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</si>
  <si>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</si>
  <si>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</si>
  <si>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</si>
  <si>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</si>
  <si>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</si>
  <si>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</si>
  <si>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</si>
  <si>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</si>
  <si>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</si>
  <si>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</si>
  <si>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</si>
  <si>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</si>
  <si>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</si>
  <si>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</si>
  <si>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</si>
  <si>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</si>
  <si>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</si>
  <si>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</si>
  <si>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</si>
  <si>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</si>
  <si>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</si>
  <si>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</si>
  <si>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</si>
  <si>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</si>
  <si>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</si>
  <si>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</si>
  <si>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</si>
  <si>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</si>
  <si>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</si>
  <si>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</si>
  <si>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</si>
  <si>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</si>
  <si>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</si>
  <si>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</si>
  <si>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</si>
  <si>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</si>
  <si>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</si>
  <si>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</si>
  <si>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</si>
  <si>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</si>
  <si>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</si>
  <si>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</si>
  <si>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</si>
  <si>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</si>
  <si>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</si>
  <si>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</si>
  <si>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</si>
  <si>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</si>
  <si>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</si>
  <si>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</si>
  <si>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</si>
  <si>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</si>
  <si>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</si>
  <si>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</si>
  <si>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</si>
  <si>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</si>
  <si>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</si>
  <si>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</si>
  <si>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</si>
  <si>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</si>
  <si>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</si>
  <si>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</si>
  <si>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</si>
  <si>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</si>
  <si>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</si>
  <si>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</si>
  <si>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</si>
  <si>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</si>
  <si>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</si>
  <si>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</si>
  <si>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</si>
  <si>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</si>
  <si>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</si>
  <si>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</si>
  <si>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</si>
  <si>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</si>
  <si>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</si>
  <si>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</si>
  <si>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</si>
  <si>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</si>
  <si>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</si>
  <si>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</si>
  <si>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</si>
  <si>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</si>
  <si>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</si>
  <si>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</si>
  <si>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</si>
  <si>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</si>
  <si>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</si>
  <si>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</si>
  <si>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</si>
  <si>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</si>
  <si>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</si>
  <si>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</si>
  <si>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</si>
  <si>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</si>
  <si>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</si>
  <si>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</si>
  <si>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</si>
  <si>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</si>
  <si>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</si>
  <si>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</si>
  <si>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</si>
  <si>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</si>
  <si>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</si>
  <si>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</si>
  <si>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</si>
  <si>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</si>
  <si>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</si>
  <si>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</si>
  <si>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</si>
  <si>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</si>
  <si>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</si>
  <si>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</si>
  <si>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</si>
  <si>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</si>
  <si>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</si>
  <si>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</si>
  <si>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</si>
  <si>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</si>
  <si>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</si>
  <si>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</si>
  <si>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</si>
  <si>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</si>
  <si>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</si>
  <si>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</si>
  <si>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</si>
  <si>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</si>
  <si>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</si>
  <si>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</si>
  <si>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</si>
  <si>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</si>
  <si>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</si>
  <si>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</si>
  <si>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</si>
  <si>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</si>
  <si>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</si>
  <si>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</si>
  <si>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</si>
  <si>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</si>
  <si>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</si>
  <si>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</si>
  <si>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</si>
  <si>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</si>
  <si>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</si>
  <si>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</si>
  <si>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</si>
  <si>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</si>
  <si>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</si>
  <si>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</si>
  <si>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</si>
  <si>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</si>
  <si>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</si>
  <si>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</si>
  <si>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</si>
  <si>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</si>
  <si>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</si>
  <si>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</si>
  <si>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</si>
  <si>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</si>
  <si>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</si>
  <si>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</si>
  <si>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</si>
  <si>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</si>
  <si>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</si>
  <si>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</si>
  <si>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</si>
  <si>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</si>
  <si>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</si>
  <si>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</si>
  <si>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</si>
  <si>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</si>
  <si>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</si>
  <si>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</si>
  <si>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</si>
  <si>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</si>
  <si>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</si>
  <si>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</si>
  <si>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</si>
  <si>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</si>
  <si>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</si>
  <si>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</si>
  <si>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</si>
  <si>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</si>
  <si>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</si>
  <si>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</si>
  <si>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</si>
  <si>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</si>
  <si>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</si>
  <si>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</si>
  <si>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</si>
  <si>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</si>
  <si>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</si>
  <si>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</si>
  <si>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</si>
  <si>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</si>
  <si>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</si>
  <si>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</si>
  <si>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</si>
  <si>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</si>
  <si>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</si>
  <si>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</si>
  <si>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</si>
  <si>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</si>
  <si>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</si>
  <si>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</si>
  <si>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</si>
  <si>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</si>
  <si>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</si>
  <si>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</si>
  <si>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</si>
  <si>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</si>
  <si>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</si>
  <si>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</si>
  <si>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</si>
  <si>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</si>
  <si>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</si>
  <si>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</si>
  <si>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</si>
  <si>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</si>
  <si>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</si>
  <si>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</si>
  <si>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</si>
  <si>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</si>
  <si>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</si>
  <si>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</si>
  <si>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</si>
  <si>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</si>
  <si>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</si>
  <si>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</si>
  <si>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</si>
  <si>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</si>
  <si>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</si>
  <si>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</si>
  <si>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</si>
  <si>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</si>
  <si>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</si>
  <si>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</si>
  <si>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</si>
  <si>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</si>
  <si>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</si>
  <si>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</si>
  <si>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</si>
  <si>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</si>
  <si>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</si>
  <si>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</si>
  <si>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</si>
  <si>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</si>
  <si>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</si>
  <si>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</si>
  <si>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</si>
  <si>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</si>
  <si>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</si>
  <si>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</si>
  <si>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</si>
  <si>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</si>
  <si>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</si>
  <si>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</si>
  <si>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</si>
  <si>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</si>
  <si>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</si>
  <si>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</si>
  <si>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</si>
  <si>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</si>
  <si>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</si>
  <si>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</si>
  <si>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</si>
  <si>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</si>
  <si>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</si>
  <si>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</si>
  <si>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</si>
  <si>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</si>
  <si>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</si>
  <si>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</si>
  <si>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</si>
  <si>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</si>
  <si>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</si>
  <si>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</si>
  <si>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</si>
  <si>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</si>
  <si>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</si>
  <si>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</si>
  <si>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</si>
  <si>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</si>
  <si>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</si>
  <si>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</si>
  <si>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</si>
  <si>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</si>
  <si>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</si>
  <si>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</si>
  <si>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</si>
  <si>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</si>
  <si>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</si>
  <si>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</si>
  <si>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</si>
  <si>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Bernardo Impactus</t>
  </si>
  <si>
    <t>Joshua</t>
  </si>
  <si>
    <t>Caio (Octavio)</t>
  </si>
  <si>
    <t>Leo MJ</t>
  </si>
  <si>
    <t>Caio Brandão</t>
  </si>
  <si>
    <t>abr</t>
  </si>
  <si>
    <t>Bernardo (Impactus)</t>
  </si>
  <si>
    <t>Max</t>
  </si>
  <si>
    <t>Garça</t>
  </si>
  <si>
    <t>Caio Reis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</si>
</sst>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90"/>
  <sheetViews>
    <sheetView tabSelected="1" zoomScale="85" zoomScaleNormal="85" workbookViewId="0">
      <pane xSplit="1" topLeftCell="CG1" activePane="topRight" state="frozen"/>
      <selection pane="topRight" activeCell="CV4" sqref="CV4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02" width="11" customWidth="1"/>
  </cols>
  <sheetData>
    <row r="1" spans="1:108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/>
      <c r="CY1" t="s">
        <v>57</v>
      </c>
      <c r="CZ1" t="s">
        <v>58</v>
      </c>
      <c r="DA1" t="s">
        <v>59</v>
      </c>
      <c r="DB1" t="s">
        <v>62</v>
      </c>
      <c r="DC1" t="s">
        <v>397</v>
      </c>
      <c r="DD1" t="s">
        <v>384</v>
      </c>
    </row>
    <row r="2" spans="1:108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f>COUNT(B2:CW2)</f>
        <v>94</v>
      </c>
      <c r="CZ2" s="18">
        <f>AVERAGE(B2:CW2)</f>
        <v>6.0106382978723403</v>
      </c>
      <c r="DA2">
        <f>IF(CY2&gt;1,_xlfn.STDEV.S(B2:CF2),"")</f>
        <v>1.2512468149547391</v>
      </c>
      <c r="DB2">
        <v>1</v>
      </c>
      <c r="DC2">
        <f t="shared" ref="DC2:DC33" si="0">COUNT(CO2:CS2)</f>
        <v>5</v>
      </c>
      <c r="DD2">
        <f t="shared" ref="DD2:DD33" si="1">IF(DB2=0,DC2,0)</f>
        <v>0</v>
      </c>
    </row>
    <row r="3" spans="1:108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f t="shared" ref="CY3:CY66" si="2">COUNT(B3:CW3)</f>
        <v>88</v>
      </c>
      <c r="CZ3" s="18">
        <f t="shared" ref="CZ3:CZ66" si="3">AVERAGE(B3:CW3)</f>
        <v>5.6590909090909092</v>
      </c>
      <c r="DA3">
        <f t="shared" ref="DA3:DA66" si="4">IF(CY3&gt;1,_xlfn.STDEV.S(B3:CF3),"")</f>
        <v>1.0518094984498128</v>
      </c>
      <c r="DB3">
        <v>1</v>
      </c>
      <c r="DC3">
        <f t="shared" si="0"/>
        <v>5</v>
      </c>
      <c r="DD3">
        <f t="shared" si="1"/>
        <v>0</v>
      </c>
    </row>
    <row r="4" spans="1:108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Y4">
        <f t="shared" si="2"/>
        <v>72</v>
      </c>
      <c r="CZ4" s="18">
        <f t="shared" si="3"/>
        <v>5.708333333333333</v>
      </c>
      <c r="DA4">
        <f t="shared" si="4"/>
        <v>0.96435844595057774</v>
      </c>
      <c r="DB4">
        <v>0</v>
      </c>
      <c r="DC4">
        <f t="shared" si="0"/>
        <v>0</v>
      </c>
      <c r="DD4">
        <f t="shared" si="1"/>
        <v>0</v>
      </c>
    </row>
    <row r="5" spans="1:108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R5">
        <v>5.5</v>
      </c>
      <c r="CY5">
        <f t="shared" si="2"/>
        <v>72</v>
      </c>
      <c r="CZ5" s="18">
        <f t="shared" si="3"/>
        <v>7.2430555555555554</v>
      </c>
      <c r="DA5">
        <f t="shared" si="4"/>
        <v>1.1294250579557983</v>
      </c>
      <c r="DB5">
        <v>0</v>
      </c>
      <c r="DC5">
        <f t="shared" si="0"/>
        <v>1</v>
      </c>
      <c r="DD5">
        <f t="shared" si="1"/>
        <v>1</v>
      </c>
    </row>
    <row r="6" spans="1:108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v>6</v>
      </c>
      <c r="CR6">
        <v>5.5</v>
      </c>
      <c r="CS6">
        <v>5.5</v>
      </c>
      <c r="CT6">
        <v>6.5</v>
      </c>
      <c r="CU6">
        <v>6.5</v>
      </c>
      <c r="CW6">
        <v>6</v>
      </c>
      <c r="CY6">
        <f t="shared" si="2"/>
        <v>78</v>
      </c>
      <c r="CZ6" s="18">
        <f t="shared" si="3"/>
        <v>6.5576923076923075</v>
      </c>
      <c r="DA6">
        <f t="shared" si="4"/>
        <v>0.9419445925236869</v>
      </c>
      <c r="DB6">
        <v>1</v>
      </c>
      <c r="DC6">
        <f t="shared" si="0"/>
        <v>4</v>
      </c>
      <c r="DD6">
        <f t="shared" si="1"/>
        <v>0</v>
      </c>
    </row>
    <row r="7" spans="1:108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P7">
        <v>6.5</v>
      </c>
      <c r="CR7">
        <v>6.5</v>
      </c>
      <c r="CS7">
        <v>6.5</v>
      </c>
      <c r="CU7">
        <v>7.5</v>
      </c>
      <c r="CV7">
        <v>6.5</v>
      </c>
      <c r="CY7">
        <f t="shared" si="2"/>
        <v>76</v>
      </c>
      <c r="CZ7" s="18">
        <f t="shared" si="3"/>
        <v>6.625</v>
      </c>
      <c r="DA7">
        <f t="shared" si="4"/>
        <v>1.0570846156365068</v>
      </c>
      <c r="DB7">
        <v>1</v>
      </c>
      <c r="DC7">
        <f t="shared" si="0"/>
        <v>4</v>
      </c>
      <c r="DD7">
        <f t="shared" si="1"/>
        <v>0</v>
      </c>
    </row>
    <row r="8" spans="1:108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Y8">
        <f t="shared" si="2"/>
        <v>68</v>
      </c>
      <c r="CZ8" s="18">
        <f t="shared" si="3"/>
        <v>6.4191176470588234</v>
      </c>
      <c r="DA8">
        <f t="shared" si="4"/>
        <v>1.1769245721961776</v>
      </c>
      <c r="DB8">
        <v>0</v>
      </c>
      <c r="DC8">
        <f t="shared" si="0"/>
        <v>0</v>
      </c>
      <c r="DD8">
        <f t="shared" si="1"/>
        <v>0</v>
      </c>
    </row>
    <row r="9" spans="1:108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W9">
        <v>5.5</v>
      </c>
      <c r="CY9">
        <f t="shared" si="2"/>
        <v>70</v>
      </c>
      <c r="CZ9" s="18">
        <f t="shared" si="3"/>
        <v>5.95</v>
      </c>
      <c r="DA9">
        <f t="shared" si="4"/>
        <v>0.96648378625350351</v>
      </c>
      <c r="DB9">
        <v>0</v>
      </c>
      <c r="DC9">
        <f t="shared" si="0"/>
        <v>2</v>
      </c>
      <c r="DD9">
        <f t="shared" si="1"/>
        <v>2</v>
      </c>
    </row>
    <row r="10" spans="1:108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P10">
        <v>5.5</v>
      </c>
      <c r="CQ10">
        <v>6</v>
      </c>
      <c r="CR10">
        <v>6</v>
      </c>
      <c r="CW10">
        <v>5.5</v>
      </c>
      <c r="CY10">
        <f t="shared" si="2"/>
        <v>70</v>
      </c>
      <c r="CZ10" s="18">
        <f t="shared" si="3"/>
        <v>5.7642857142857142</v>
      </c>
      <c r="DA10">
        <f t="shared" si="4"/>
        <v>1.3617531291315086</v>
      </c>
      <c r="DB10">
        <v>1</v>
      </c>
      <c r="DC10">
        <f t="shared" si="0"/>
        <v>4</v>
      </c>
      <c r="DD10">
        <f t="shared" si="1"/>
        <v>0</v>
      </c>
    </row>
    <row r="11" spans="1:108" x14ac:dyDescent="0.35">
      <c r="A11" t="s">
        <v>2</v>
      </c>
      <c r="B11">
        <v>7</v>
      </c>
      <c r="C11" t="s">
        <v>26</v>
      </c>
      <c r="D11">
        <v>3.5</v>
      </c>
      <c r="E11">
        <v>3.5</v>
      </c>
      <c r="F11">
        <v>5</v>
      </c>
      <c r="G11">
        <v>5</v>
      </c>
      <c r="H11">
        <v>7</v>
      </c>
      <c r="I11" t="s">
        <v>26</v>
      </c>
      <c r="J11">
        <v>5.5</v>
      </c>
      <c r="K11">
        <v>5.5</v>
      </c>
      <c r="L11">
        <v>5</v>
      </c>
      <c r="M11">
        <v>5.5</v>
      </c>
      <c r="N11" t="s">
        <v>26</v>
      </c>
      <c r="O11">
        <v>5</v>
      </c>
      <c r="P11">
        <v>5.5</v>
      </c>
      <c r="Q11">
        <v>3.5</v>
      </c>
      <c r="R11">
        <v>5.5</v>
      </c>
      <c r="S11">
        <v>7</v>
      </c>
      <c r="T11">
        <v>5</v>
      </c>
      <c r="U11">
        <v>5</v>
      </c>
      <c r="V11">
        <v>5</v>
      </c>
      <c r="W11">
        <v>5</v>
      </c>
      <c r="X11">
        <v>5.5</v>
      </c>
      <c r="Y11">
        <v>5</v>
      </c>
      <c r="Z11" t="s">
        <v>26</v>
      </c>
      <c r="AA11">
        <v>7</v>
      </c>
      <c r="AB11">
        <v>5.5</v>
      </c>
      <c r="AC11">
        <v>5.5</v>
      </c>
      <c r="AD11" t="s">
        <v>26</v>
      </c>
      <c r="AE11">
        <v>8.5</v>
      </c>
      <c r="AF11" t="s">
        <v>26</v>
      </c>
      <c r="AG11" t="s">
        <v>26</v>
      </c>
      <c r="AH11">
        <v>8</v>
      </c>
      <c r="AI11">
        <v>5</v>
      </c>
      <c r="AJ11" t="s">
        <v>26</v>
      </c>
      <c r="AK11">
        <v>5.5</v>
      </c>
      <c r="AL11">
        <v>5.5</v>
      </c>
      <c r="AM11">
        <v>6.5</v>
      </c>
      <c r="AN11">
        <v>4</v>
      </c>
      <c r="AO11" t="s">
        <v>26</v>
      </c>
      <c r="AP11" t="s">
        <v>26</v>
      </c>
      <c r="AQ11" t="s">
        <v>26</v>
      </c>
      <c r="AR11" t="s">
        <v>26</v>
      </c>
      <c r="AS11" t="s">
        <v>26</v>
      </c>
      <c r="AT11">
        <v>5</v>
      </c>
      <c r="AU11" t="s">
        <v>26</v>
      </c>
      <c r="AV11" t="s">
        <v>26</v>
      </c>
      <c r="AW11" t="s">
        <v>26</v>
      </c>
      <c r="AX11" t="s">
        <v>26</v>
      </c>
      <c r="AY11" t="s">
        <v>26</v>
      </c>
      <c r="AZ11">
        <v>5</v>
      </c>
      <c r="BA11" t="s">
        <v>26</v>
      </c>
      <c r="BB11" t="s">
        <v>26</v>
      </c>
      <c r="BC11">
        <v>4</v>
      </c>
      <c r="BD11" t="s">
        <v>26</v>
      </c>
      <c r="BE11" t="s">
        <v>26</v>
      </c>
      <c r="BF11" t="s">
        <v>26</v>
      </c>
      <c r="BG11">
        <v>5</v>
      </c>
      <c r="BH11">
        <v>6.5</v>
      </c>
      <c r="BI11">
        <v>5.5</v>
      </c>
      <c r="BJ11">
        <v>5</v>
      </c>
      <c r="BK11">
        <v>5</v>
      </c>
      <c r="BL11">
        <v>5</v>
      </c>
      <c r="BM11">
        <v>5.5</v>
      </c>
      <c r="BN11">
        <v>6.5</v>
      </c>
      <c r="BO11" t="s">
        <v>26</v>
      </c>
      <c r="BP11" t="s">
        <v>26</v>
      </c>
      <c r="BQ11">
        <v>5.5</v>
      </c>
      <c r="BR11" t="s">
        <v>26</v>
      </c>
      <c r="BS11" t="s">
        <v>26</v>
      </c>
      <c r="BT11" t="s">
        <v>26</v>
      </c>
      <c r="BU11" t="s">
        <v>26</v>
      </c>
      <c r="BV11" t="s">
        <v>26</v>
      </c>
      <c r="BW11">
        <v>5.5</v>
      </c>
      <c r="BX11" t="s">
        <v>26</v>
      </c>
      <c r="BY11">
        <v>4</v>
      </c>
      <c r="BZ11">
        <v>5.5</v>
      </c>
      <c r="CA11">
        <v>5.5</v>
      </c>
      <c r="CB11">
        <v>5</v>
      </c>
      <c r="CC11">
        <v>7</v>
      </c>
      <c r="CD11">
        <v>5</v>
      </c>
      <c r="CE11">
        <v>6.5</v>
      </c>
      <c r="CF11">
        <v>5.5</v>
      </c>
      <c r="CG11">
        <v>5.5</v>
      </c>
      <c r="CJ11">
        <v>5.5</v>
      </c>
      <c r="CK11">
        <v>7</v>
      </c>
      <c r="CL11">
        <v>5.5</v>
      </c>
      <c r="CM11">
        <v>6</v>
      </c>
      <c r="CN11">
        <v>6.5</v>
      </c>
      <c r="CO11">
        <v>6</v>
      </c>
      <c r="CP11">
        <v>6</v>
      </c>
      <c r="CQ11">
        <v>6</v>
      </c>
      <c r="CR11">
        <v>6</v>
      </c>
      <c r="CV11">
        <v>5.5</v>
      </c>
      <c r="CW11">
        <v>5.5</v>
      </c>
      <c r="CY11">
        <f t="shared" si="2"/>
        <v>64</v>
      </c>
      <c r="CZ11" s="18">
        <f t="shared" si="3"/>
        <v>5.5390625</v>
      </c>
      <c r="DA11">
        <f t="shared" si="4"/>
        <v>1.0254583642020354</v>
      </c>
      <c r="DB11">
        <v>1</v>
      </c>
      <c r="DC11">
        <f t="shared" si="0"/>
        <v>4</v>
      </c>
      <c r="DD11">
        <f t="shared" si="1"/>
        <v>0</v>
      </c>
    </row>
    <row r="12" spans="1:108" x14ac:dyDescent="0.35">
      <c r="A12" t="s">
        <v>16</v>
      </c>
      <c r="B12">
        <v>8</v>
      </c>
      <c r="C12" t="s">
        <v>26</v>
      </c>
      <c r="D12" t="s">
        <v>26</v>
      </c>
      <c r="E12" t="s">
        <v>26</v>
      </c>
      <c r="F12" t="s">
        <v>26</v>
      </c>
      <c r="G12" t="s">
        <v>26</v>
      </c>
      <c r="H12" t="s">
        <v>26</v>
      </c>
      <c r="I12" t="s">
        <v>26</v>
      </c>
      <c r="J12" t="s">
        <v>26</v>
      </c>
      <c r="K12" t="s">
        <v>26</v>
      </c>
      <c r="L12" t="s">
        <v>26</v>
      </c>
      <c r="M12" t="s">
        <v>26</v>
      </c>
      <c r="N12" t="s">
        <v>26</v>
      </c>
      <c r="O12" t="s">
        <v>26</v>
      </c>
      <c r="P12" t="s">
        <v>26</v>
      </c>
      <c r="Q12" t="s">
        <v>26</v>
      </c>
      <c r="R12" t="s">
        <v>26</v>
      </c>
      <c r="S12" t="s">
        <v>26</v>
      </c>
      <c r="T12" t="s">
        <v>26</v>
      </c>
      <c r="U12" t="s">
        <v>26</v>
      </c>
      <c r="V12">
        <v>7</v>
      </c>
      <c r="W12">
        <v>7</v>
      </c>
      <c r="X12">
        <v>5.5</v>
      </c>
      <c r="Y12">
        <v>7</v>
      </c>
      <c r="Z12">
        <v>8</v>
      </c>
      <c r="AA12">
        <v>7</v>
      </c>
      <c r="AB12">
        <v>7</v>
      </c>
      <c r="AC12">
        <v>8</v>
      </c>
      <c r="AD12">
        <v>7</v>
      </c>
      <c r="AE12">
        <v>7</v>
      </c>
      <c r="AF12">
        <v>8</v>
      </c>
      <c r="AG12" t="s">
        <v>26</v>
      </c>
      <c r="AH12">
        <v>8</v>
      </c>
      <c r="AI12">
        <v>8</v>
      </c>
      <c r="AJ12">
        <v>6.5</v>
      </c>
      <c r="AK12">
        <v>6.5</v>
      </c>
      <c r="AL12">
        <v>7</v>
      </c>
      <c r="AM12">
        <v>5.5</v>
      </c>
      <c r="AN12">
        <v>5.5</v>
      </c>
      <c r="AO12">
        <v>5.5</v>
      </c>
      <c r="AP12">
        <v>6.5</v>
      </c>
      <c r="AQ12">
        <v>6.5</v>
      </c>
      <c r="AR12">
        <v>7</v>
      </c>
      <c r="AS12">
        <v>5.5</v>
      </c>
      <c r="AT12">
        <v>6.5</v>
      </c>
      <c r="AU12" t="s">
        <v>26</v>
      </c>
      <c r="AV12">
        <v>5</v>
      </c>
      <c r="AW12" t="s">
        <v>26</v>
      </c>
      <c r="AX12">
        <v>7</v>
      </c>
      <c r="AY12">
        <v>6.5</v>
      </c>
      <c r="AZ12">
        <v>8</v>
      </c>
      <c r="BA12">
        <v>5.5</v>
      </c>
      <c r="BB12">
        <v>5.5</v>
      </c>
      <c r="BC12">
        <v>10</v>
      </c>
      <c r="BD12">
        <v>6.5</v>
      </c>
      <c r="BE12">
        <v>8</v>
      </c>
      <c r="BF12">
        <v>5</v>
      </c>
      <c r="BG12">
        <v>7</v>
      </c>
      <c r="BH12">
        <v>6.5</v>
      </c>
      <c r="BI12">
        <v>8.5</v>
      </c>
      <c r="BJ12">
        <v>6.5</v>
      </c>
      <c r="BK12">
        <v>8</v>
      </c>
      <c r="BL12">
        <v>6.5</v>
      </c>
      <c r="BM12">
        <v>6.5</v>
      </c>
      <c r="BN12">
        <v>5.5</v>
      </c>
      <c r="BO12" t="s">
        <v>26</v>
      </c>
      <c r="BP12">
        <v>6.5</v>
      </c>
      <c r="BQ12">
        <v>5.5</v>
      </c>
      <c r="BR12">
        <v>5.5</v>
      </c>
      <c r="BS12">
        <v>6.5</v>
      </c>
      <c r="BT12" t="s">
        <v>26</v>
      </c>
      <c r="BU12">
        <v>6.5</v>
      </c>
      <c r="BV12">
        <v>7</v>
      </c>
      <c r="BW12">
        <v>6.5</v>
      </c>
      <c r="BX12" t="s">
        <v>26</v>
      </c>
      <c r="BY12">
        <v>5.5</v>
      </c>
      <c r="BZ12">
        <v>5.5</v>
      </c>
      <c r="CA12">
        <v>7</v>
      </c>
      <c r="CB12" t="s">
        <v>26</v>
      </c>
      <c r="CC12">
        <v>7</v>
      </c>
      <c r="CD12">
        <v>5.5</v>
      </c>
      <c r="CE12">
        <v>7.5</v>
      </c>
      <c r="CF12">
        <v>6</v>
      </c>
      <c r="CG12">
        <v>6.5</v>
      </c>
      <c r="CH12">
        <v>6.5</v>
      </c>
      <c r="CL12">
        <v>6.5</v>
      </c>
      <c r="CM12">
        <v>6.5</v>
      </c>
      <c r="CN12">
        <v>7</v>
      </c>
      <c r="CO12">
        <v>6.5</v>
      </c>
      <c r="CQ12">
        <v>7</v>
      </c>
      <c r="CR12">
        <v>6</v>
      </c>
      <c r="CS12">
        <v>6</v>
      </c>
      <c r="CT12">
        <v>6</v>
      </c>
      <c r="CY12">
        <f t="shared" si="2"/>
        <v>67</v>
      </c>
      <c r="CZ12" s="18">
        <f t="shared" si="3"/>
        <v>6.6492537313432836</v>
      </c>
      <c r="DA12">
        <f t="shared" si="4"/>
        <v>1.0072574989410263</v>
      </c>
      <c r="DB12">
        <v>1</v>
      </c>
      <c r="DC12">
        <f t="shared" si="0"/>
        <v>4</v>
      </c>
      <c r="DD12">
        <f t="shared" si="1"/>
        <v>0</v>
      </c>
    </row>
    <row r="13" spans="1:108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f t="shared" si="2"/>
        <v>63</v>
      </c>
      <c r="CZ13" s="18">
        <f t="shared" si="3"/>
        <v>6.3174603174603172</v>
      </c>
      <c r="DA13">
        <f t="shared" si="4"/>
        <v>1.1769469323774333</v>
      </c>
      <c r="DB13">
        <v>1</v>
      </c>
      <c r="DC13">
        <f t="shared" si="0"/>
        <v>3</v>
      </c>
      <c r="DD13">
        <f t="shared" si="1"/>
        <v>0</v>
      </c>
    </row>
    <row r="14" spans="1:108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CY14">
        <f t="shared" si="2"/>
        <v>62</v>
      </c>
      <c r="CZ14" s="18">
        <f t="shared" si="3"/>
        <v>6.2661290322580649</v>
      </c>
      <c r="DA14">
        <f t="shared" si="4"/>
        <v>1.1213885273224193</v>
      </c>
      <c r="DB14">
        <v>1</v>
      </c>
      <c r="DC14">
        <f t="shared" si="0"/>
        <v>3</v>
      </c>
      <c r="DD14">
        <f t="shared" si="1"/>
        <v>0</v>
      </c>
    </row>
    <row r="15" spans="1:108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W15">
        <v>6</v>
      </c>
      <c r="CY15">
        <f t="shared" si="2"/>
        <v>53</v>
      </c>
      <c r="CZ15" s="18">
        <f t="shared" si="3"/>
        <v>5.6981132075471699</v>
      </c>
      <c r="DA15">
        <f t="shared" si="4"/>
        <v>0.84687340856573534</v>
      </c>
      <c r="DB15">
        <v>0</v>
      </c>
      <c r="DC15">
        <f t="shared" si="0"/>
        <v>0</v>
      </c>
      <c r="DD15">
        <f t="shared" si="1"/>
        <v>0</v>
      </c>
    </row>
    <row r="16" spans="1:108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Y16">
        <f t="shared" si="2"/>
        <v>47</v>
      </c>
      <c r="CZ16" s="18">
        <f t="shared" si="3"/>
        <v>4.4255319148936172</v>
      </c>
      <c r="DA16">
        <f t="shared" si="4"/>
        <v>1.3391217246854428</v>
      </c>
      <c r="DB16">
        <v>0</v>
      </c>
      <c r="DC16">
        <f t="shared" si="0"/>
        <v>0</v>
      </c>
      <c r="DD16">
        <f t="shared" si="1"/>
        <v>0</v>
      </c>
    </row>
    <row r="17" spans="1:108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P17">
        <v>5.5</v>
      </c>
      <c r="CQ17">
        <v>5.5</v>
      </c>
      <c r="CR17">
        <v>6</v>
      </c>
      <c r="CS17">
        <v>5.5</v>
      </c>
      <c r="CT17">
        <v>6</v>
      </c>
      <c r="CU17">
        <v>6</v>
      </c>
      <c r="CV17">
        <v>7</v>
      </c>
      <c r="CW17">
        <v>6.5</v>
      </c>
      <c r="CY17">
        <f t="shared" si="2"/>
        <v>56</v>
      </c>
      <c r="CZ17" s="18">
        <f t="shared" si="3"/>
        <v>6.0535714285714288</v>
      </c>
      <c r="DA17">
        <f t="shared" si="4"/>
        <v>0.9573434129174403</v>
      </c>
      <c r="DB17">
        <v>1</v>
      </c>
      <c r="DC17">
        <f t="shared" si="0"/>
        <v>5</v>
      </c>
      <c r="DD17">
        <f t="shared" si="1"/>
        <v>0</v>
      </c>
    </row>
    <row r="18" spans="1:108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Y18">
        <f t="shared" si="2"/>
        <v>44</v>
      </c>
      <c r="CZ18" s="18">
        <f t="shared" si="3"/>
        <v>5.0113636363636367</v>
      </c>
      <c r="DA18">
        <f t="shared" si="4"/>
        <v>1.0645089158214895</v>
      </c>
      <c r="DB18">
        <v>0</v>
      </c>
      <c r="DC18">
        <f t="shared" si="0"/>
        <v>0</v>
      </c>
      <c r="DD18">
        <f t="shared" si="1"/>
        <v>0</v>
      </c>
    </row>
    <row r="19" spans="1:108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Y19">
        <f t="shared" si="2"/>
        <v>39</v>
      </c>
      <c r="CZ19" s="18">
        <f t="shared" si="3"/>
        <v>6.1410256410256414</v>
      </c>
      <c r="DA19">
        <f t="shared" si="4"/>
        <v>1.0973263770680928</v>
      </c>
      <c r="DB19">
        <v>0</v>
      </c>
      <c r="DC19">
        <f t="shared" si="0"/>
        <v>0</v>
      </c>
      <c r="DD19">
        <f t="shared" si="1"/>
        <v>0</v>
      </c>
    </row>
    <row r="20" spans="1:108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S20">
        <v>6</v>
      </c>
      <c r="CT20">
        <v>5.5</v>
      </c>
      <c r="CU20">
        <v>5.5</v>
      </c>
      <c r="CV20">
        <v>5</v>
      </c>
      <c r="CW20">
        <v>5.5</v>
      </c>
      <c r="CY20">
        <f t="shared" si="2"/>
        <v>43</v>
      </c>
      <c r="CZ20" s="18">
        <f t="shared" si="3"/>
        <v>5.2441860465116283</v>
      </c>
      <c r="DA20">
        <f t="shared" si="4"/>
        <v>1.3241383031954423</v>
      </c>
      <c r="DB20">
        <v>0</v>
      </c>
      <c r="DC20">
        <f t="shared" si="0"/>
        <v>1</v>
      </c>
      <c r="DD20">
        <f t="shared" si="1"/>
        <v>1</v>
      </c>
    </row>
    <row r="21" spans="1:108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R21">
        <v>5.5</v>
      </c>
      <c r="CT21">
        <v>6</v>
      </c>
      <c r="CU21">
        <v>5.5</v>
      </c>
      <c r="CW21">
        <v>6</v>
      </c>
      <c r="CY21">
        <f t="shared" si="2"/>
        <v>44</v>
      </c>
      <c r="CZ21" s="18">
        <f t="shared" si="3"/>
        <v>5.75</v>
      </c>
      <c r="DA21">
        <f t="shared" si="4"/>
        <v>0.92956296268047622</v>
      </c>
      <c r="DB21">
        <v>1</v>
      </c>
      <c r="DC21">
        <f t="shared" si="0"/>
        <v>2</v>
      </c>
      <c r="DD21">
        <f t="shared" si="1"/>
        <v>0</v>
      </c>
    </row>
    <row r="22" spans="1:108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P22">
        <v>5.5</v>
      </c>
      <c r="CQ22">
        <v>6.5</v>
      </c>
      <c r="CR22">
        <v>5.5</v>
      </c>
      <c r="CS22">
        <v>5.5</v>
      </c>
      <c r="CT22">
        <v>6</v>
      </c>
      <c r="CU22">
        <v>6.5</v>
      </c>
      <c r="CV22">
        <v>6</v>
      </c>
      <c r="CY22">
        <f t="shared" si="2"/>
        <v>49</v>
      </c>
      <c r="CZ22" s="18">
        <f t="shared" si="3"/>
        <v>5.7244897959183669</v>
      </c>
      <c r="DA22">
        <f t="shared" si="4"/>
        <v>1.0098256776095882</v>
      </c>
      <c r="DB22">
        <v>1</v>
      </c>
      <c r="DC22">
        <f t="shared" si="0"/>
        <v>5</v>
      </c>
      <c r="DD22">
        <f t="shared" si="1"/>
        <v>0</v>
      </c>
    </row>
    <row r="23" spans="1:108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CY23">
        <f t="shared" si="2"/>
        <v>33</v>
      </c>
      <c r="CZ23" s="18">
        <f t="shared" si="3"/>
        <v>6.3181818181818183</v>
      </c>
      <c r="DA23">
        <f t="shared" si="4"/>
        <v>0.90960483309014595</v>
      </c>
      <c r="DB23">
        <v>0</v>
      </c>
      <c r="DC23">
        <f t="shared" si="0"/>
        <v>0</v>
      </c>
      <c r="DD23">
        <f t="shared" si="1"/>
        <v>0</v>
      </c>
    </row>
    <row r="24" spans="1:108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CY24">
        <f t="shared" si="2"/>
        <v>29</v>
      </c>
      <c r="CZ24" s="18">
        <f t="shared" si="3"/>
        <v>5.4827586206896548</v>
      </c>
      <c r="DA24">
        <f t="shared" si="4"/>
        <v>0.71728150235677346</v>
      </c>
      <c r="DB24">
        <v>0</v>
      </c>
      <c r="DC24">
        <f t="shared" si="0"/>
        <v>1</v>
      </c>
      <c r="DD24">
        <f t="shared" si="1"/>
        <v>1</v>
      </c>
    </row>
    <row r="25" spans="1:108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Y25">
        <f t="shared" si="2"/>
        <v>19</v>
      </c>
      <c r="CZ25" s="18">
        <f t="shared" si="3"/>
        <v>5.7894736842105265</v>
      </c>
      <c r="DA25">
        <f t="shared" si="4"/>
        <v>1.3674366679797902</v>
      </c>
      <c r="DB25">
        <v>0</v>
      </c>
      <c r="DC25">
        <f t="shared" si="0"/>
        <v>0</v>
      </c>
      <c r="DD25">
        <f t="shared" si="1"/>
        <v>0</v>
      </c>
    </row>
    <row r="26" spans="1:108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CY26">
        <f t="shared" si="2"/>
        <v>19</v>
      </c>
      <c r="CZ26" s="18">
        <f t="shared" si="3"/>
        <v>6.2368421052631575</v>
      </c>
      <c r="DA26">
        <f t="shared" si="4"/>
        <v>0.90829510622924903</v>
      </c>
      <c r="DB26">
        <v>1</v>
      </c>
      <c r="DC26">
        <f t="shared" si="0"/>
        <v>5</v>
      </c>
      <c r="DD26">
        <f t="shared" si="1"/>
        <v>0</v>
      </c>
    </row>
    <row r="27" spans="1:108" x14ac:dyDescent="0.35">
      <c r="A27" t="s">
        <v>346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 t="s">
        <v>26</v>
      </c>
      <c r="AJ27" t="s">
        <v>26</v>
      </c>
      <c r="AK27" t="s">
        <v>26</v>
      </c>
      <c r="AL27" t="s">
        <v>26</v>
      </c>
      <c r="AM27" t="s">
        <v>26</v>
      </c>
      <c r="AN27">
        <v>6.5</v>
      </c>
      <c r="AO27">
        <v>5.5</v>
      </c>
      <c r="AP27" t="s">
        <v>26</v>
      </c>
      <c r="AQ27">
        <v>7</v>
      </c>
      <c r="AR27" t="s">
        <v>26</v>
      </c>
      <c r="AS27">
        <v>5.5</v>
      </c>
      <c r="AT27">
        <v>5.5</v>
      </c>
      <c r="AU27">
        <v>7</v>
      </c>
      <c r="AV27" t="s">
        <v>26</v>
      </c>
      <c r="AW27">
        <v>5.5</v>
      </c>
      <c r="AX27">
        <v>5</v>
      </c>
      <c r="AY27">
        <v>7</v>
      </c>
      <c r="AZ27">
        <v>6.5</v>
      </c>
      <c r="BA27">
        <v>5.5</v>
      </c>
      <c r="BB27" t="s">
        <v>26</v>
      </c>
      <c r="BC27">
        <v>5</v>
      </c>
      <c r="BD27" t="s">
        <v>26</v>
      </c>
      <c r="BE27">
        <v>5</v>
      </c>
      <c r="BF27">
        <v>6.5</v>
      </c>
      <c r="BG27">
        <v>5.5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>
        <v>5.5</v>
      </c>
      <c r="BW27">
        <v>6.5</v>
      </c>
      <c r="BX27" t="s">
        <v>26</v>
      </c>
      <c r="BY27">
        <v>6.5</v>
      </c>
      <c r="BZ27" t="s">
        <v>26</v>
      </c>
      <c r="CA27" t="s">
        <v>26</v>
      </c>
      <c r="CB27" t="s">
        <v>26</v>
      </c>
      <c r="CY27">
        <f t="shared" si="2"/>
        <v>18</v>
      </c>
      <c r="CZ27" s="18">
        <f t="shared" si="3"/>
        <v>5.9444444444444446</v>
      </c>
      <c r="DA27">
        <f t="shared" si="4"/>
        <v>0.72535769855270305</v>
      </c>
      <c r="DB27">
        <v>0</v>
      </c>
      <c r="DC27">
        <f t="shared" si="0"/>
        <v>0</v>
      </c>
      <c r="DD27">
        <f t="shared" si="1"/>
        <v>0</v>
      </c>
    </row>
    <row r="28" spans="1:108" x14ac:dyDescent="0.35">
      <c r="A28" t="s">
        <v>8</v>
      </c>
      <c r="B28">
        <v>5.5</v>
      </c>
      <c r="C28" t="s">
        <v>26</v>
      </c>
      <c r="D28">
        <v>3</v>
      </c>
      <c r="E28" t="s">
        <v>26</v>
      </c>
      <c r="F28" t="s">
        <v>26</v>
      </c>
      <c r="G28">
        <v>5</v>
      </c>
      <c r="H28">
        <v>3</v>
      </c>
      <c r="I28">
        <v>3.5</v>
      </c>
      <c r="J28">
        <v>7</v>
      </c>
      <c r="K28">
        <v>7</v>
      </c>
      <c r="L28" t="s">
        <v>26</v>
      </c>
      <c r="M28" t="s">
        <v>26</v>
      </c>
      <c r="N28" t="s">
        <v>26</v>
      </c>
      <c r="O28">
        <v>5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>
        <v>5.5</v>
      </c>
      <c r="V28" t="s">
        <v>26</v>
      </c>
      <c r="W28" t="s">
        <v>26</v>
      </c>
      <c r="X28" t="s">
        <v>26</v>
      </c>
      <c r="Y28" t="s">
        <v>26</v>
      </c>
      <c r="Z28" t="s">
        <v>26</v>
      </c>
      <c r="AA28">
        <v>7</v>
      </c>
      <c r="AB28" t="s">
        <v>26</v>
      </c>
      <c r="AC28">
        <v>7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>
        <v>5.5</v>
      </c>
      <c r="AJ28">
        <v>5.5</v>
      </c>
      <c r="AK28" t="s">
        <v>26</v>
      </c>
      <c r="AL28" t="s">
        <v>26</v>
      </c>
      <c r="AM28" t="s">
        <v>26</v>
      </c>
      <c r="AN28">
        <v>5.5</v>
      </c>
      <c r="AO28" t="s">
        <v>26</v>
      </c>
      <c r="AP28">
        <v>6.5</v>
      </c>
      <c r="AQ28">
        <v>4</v>
      </c>
      <c r="AR28" t="s">
        <v>26</v>
      </c>
      <c r="AS28" t="s">
        <v>26</v>
      </c>
      <c r="AT28" t="s">
        <v>26</v>
      </c>
      <c r="AU28" t="s">
        <v>26</v>
      </c>
      <c r="AV28">
        <v>5</v>
      </c>
      <c r="AW28" t="s">
        <v>26</v>
      </c>
      <c r="AX28" t="s">
        <v>26</v>
      </c>
      <c r="AY28" t="s">
        <v>26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 t="s">
        <v>26</v>
      </c>
      <c r="BK28" t="s">
        <v>26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Y28">
        <f t="shared" si="2"/>
        <v>17</v>
      </c>
      <c r="CZ28" s="18">
        <f t="shared" si="3"/>
        <v>5.3235294117647056</v>
      </c>
      <c r="DA28">
        <f t="shared" si="4"/>
        <v>1.3456083251473603</v>
      </c>
      <c r="DB28">
        <v>0</v>
      </c>
      <c r="DC28">
        <f t="shared" si="0"/>
        <v>0</v>
      </c>
      <c r="DD28">
        <f t="shared" si="1"/>
        <v>0</v>
      </c>
    </row>
    <row r="29" spans="1:108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v>6.5</v>
      </c>
      <c r="CV29">
        <v>6.5</v>
      </c>
      <c r="CW29">
        <v>6</v>
      </c>
      <c r="CY29">
        <f t="shared" si="2"/>
        <v>23</v>
      </c>
      <c r="CZ29" s="18">
        <f t="shared" si="3"/>
        <v>6.6086956521739131</v>
      </c>
      <c r="DA29">
        <f t="shared" si="4"/>
        <v>0.74651970279870483</v>
      </c>
      <c r="DB29">
        <v>1</v>
      </c>
      <c r="DC29">
        <f t="shared" si="0"/>
        <v>2</v>
      </c>
      <c r="DD29">
        <f t="shared" si="1"/>
        <v>0</v>
      </c>
    </row>
    <row r="30" spans="1:108" x14ac:dyDescent="0.35">
      <c r="A30" t="s">
        <v>68</v>
      </c>
      <c r="B30" t="s">
        <v>26</v>
      </c>
      <c r="C30" t="s">
        <v>26</v>
      </c>
      <c r="D30" t="s">
        <v>26</v>
      </c>
      <c r="E30" t="s">
        <v>26</v>
      </c>
      <c r="F30" t="s">
        <v>26</v>
      </c>
      <c r="G30" t="s">
        <v>26</v>
      </c>
      <c r="H30" t="s">
        <v>26</v>
      </c>
      <c r="I30" t="s">
        <v>26</v>
      </c>
      <c r="J30" t="s">
        <v>26</v>
      </c>
      <c r="K30" t="s">
        <v>26</v>
      </c>
      <c r="L30" t="s">
        <v>26</v>
      </c>
      <c r="M30" t="s">
        <v>26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>
        <v>5.5</v>
      </c>
      <c r="Y30" t="s">
        <v>26</v>
      </c>
      <c r="Z30">
        <v>5</v>
      </c>
      <c r="AA30">
        <v>3</v>
      </c>
      <c r="AB30">
        <v>1.5</v>
      </c>
      <c r="AC30" t="s">
        <v>26</v>
      </c>
      <c r="AD30" t="s">
        <v>26</v>
      </c>
      <c r="AE30" t="s">
        <v>26</v>
      </c>
      <c r="AF30" t="s">
        <v>26</v>
      </c>
      <c r="AG30">
        <v>7</v>
      </c>
      <c r="AH30">
        <v>5.5</v>
      </c>
      <c r="AI30" t="s">
        <v>26</v>
      </c>
      <c r="AJ30">
        <v>5</v>
      </c>
      <c r="AK30">
        <v>5.5</v>
      </c>
      <c r="AL30" t="s">
        <v>26</v>
      </c>
      <c r="AM30" t="s">
        <v>26</v>
      </c>
      <c r="AN30" t="s">
        <v>26</v>
      </c>
      <c r="AO30">
        <v>4</v>
      </c>
      <c r="AP30">
        <v>6.5</v>
      </c>
      <c r="AQ30" t="s">
        <v>26</v>
      </c>
      <c r="AR30">
        <v>3.5</v>
      </c>
      <c r="AS30" t="s">
        <v>26</v>
      </c>
      <c r="AT30" t="s">
        <v>26</v>
      </c>
      <c r="AU30" t="s">
        <v>26</v>
      </c>
      <c r="AV30" t="s">
        <v>26</v>
      </c>
      <c r="AW30">
        <v>3.5</v>
      </c>
      <c r="AX30" t="s">
        <v>26</v>
      </c>
      <c r="AY30" t="s">
        <v>26</v>
      </c>
      <c r="AZ30" t="s">
        <v>26</v>
      </c>
      <c r="BA30">
        <v>2.5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>
        <v>6.5</v>
      </c>
      <c r="BK30">
        <v>4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>
        <v>4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CY30">
        <f t="shared" si="2"/>
        <v>16</v>
      </c>
      <c r="CZ30" s="18">
        <f t="shared" si="3"/>
        <v>4.53125</v>
      </c>
      <c r="DA30">
        <f t="shared" si="4"/>
        <v>1.5434674167816653</v>
      </c>
      <c r="DB30">
        <v>0</v>
      </c>
      <c r="DC30">
        <f t="shared" si="0"/>
        <v>0</v>
      </c>
      <c r="DD30">
        <f t="shared" si="1"/>
        <v>0</v>
      </c>
    </row>
    <row r="31" spans="1:108" x14ac:dyDescent="0.35">
      <c r="A31" t="s">
        <v>7</v>
      </c>
      <c r="B31">
        <v>5.5</v>
      </c>
      <c r="C31">
        <v>0</v>
      </c>
      <c r="D31">
        <v>3.5</v>
      </c>
      <c r="E31">
        <v>3</v>
      </c>
      <c r="F31">
        <v>8</v>
      </c>
      <c r="G31">
        <v>5</v>
      </c>
      <c r="H31">
        <v>5.5</v>
      </c>
      <c r="I31">
        <v>3.5</v>
      </c>
      <c r="J31">
        <v>1.5</v>
      </c>
      <c r="K31">
        <v>5</v>
      </c>
      <c r="L31">
        <v>1</v>
      </c>
      <c r="M31">
        <v>0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>
        <v>5.5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 t="s">
        <v>26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 t="s">
        <v>26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 t="s">
        <v>26</v>
      </c>
      <c r="BK31" t="s">
        <v>26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>
        <v>5.5</v>
      </c>
      <c r="CB31">
        <v>5.5</v>
      </c>
      <c r="CY31">
        <f t="shared" si="2"/>
        <v>15</v>
      </c>
      <c r="CZ31" s="18">
        <f t="shared" si="3"/>
        <v>3.8666666666666667</v>
      </c>
      <c r="DA31">
        <f t="shared" si="4"/>
        <v>2.3563490726929555</v>
      </c>
      <c r="DB31">
        <v>0</v>
      </c>
      <c r="DC31">
        <f t="shared" si="0"/>
        <v>0</v>
      </c>
      <c r="DD31">
        <f t="shared" si="1"/>
        <v>0</v>
      </c>
    </row>
    <row r="32" spans="1:108" x14ac:dyDescent="0.35">
      <c r="A32" t="s">
        <v>63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>
        <v>3.5</v>
      </c>
      <c r="T32" t="s">
        <v>26</v>
      </c>
      <c r="U32">
        <v>3.5</v>
      </c>
      <c r="V32" t="s">
        <v>26</v>
      </c>
      <c r="W32">
        <v>5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>
        <v>3.5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>
        <v>5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>
        <v>5</v>
      </c>
      <c r="BJ32">
        <v>6.5</v>
      </c>
      <c r="BK32" t="s">
        <v>26</v>
      </c>
      <c r="BL32">
        <v>5</v>
      </c>
      <c r="BM32" t="s">
        <v>26</v>
      </c>
      <c r="BN32">
        <v>5</v>
      </c>
      <c r="BO32" t="s">
        <v>26</v>
      </c>
      <c r="BP32">
        <v>5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>
        <v>5.5</v>
      </c>
      <c r="BW32" t="s">
        <v>26</v>
      </c>
      <c r="BX32" t="s">
        <v>26</v>
      </c>
      <c r="BY32">
        <v>5.5</v>
      </c>
      <c r="BZ32" t="s">
        <v>26</v>
      </c>
      <c r="CA32" t="s">
        <v>26</v>
      </c>
      <c r="CB32" t="s">
        <v>26</v>
      </c>
      <c r="CF32">
        <v>5.5</v>
      </c>
      <c r="CI32">
        <v>4</v>
      </c>
      <c r="CL32">
        <v>5.5</v>
      </c>
      <c r="CP32">
        <v>6</v>
      </c>
      <c r="CU32">
        <v>5.5</v>
      </c>
      <c r="CW32">
        <v>5.5</v>
      </c>
      <c r="CY32">
        <f t="shared" si="2"/>
        <v>18</v>
      </c>
      <c r="CZ32" s="18">
        <f t="shared" si="3"/>
        <v>5</v>
      </c>
      <c r="DA32">
        <f t="shared" si="4"/>
        <v>0.89335151148745728</v>
      </c>
      <c r="DB32">
        <v>0</v>
      </c>
      <c r="DC32">
        <f t="shared" si="0"/>
        <v>1</v>
      </c>
      <c r="DD32">
        <f t="shared" si="1"/>
        <v>1</v>
      </c>
    </row>
    <row r="33" spans="1:108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U33">
        <v>6</v>
      </c>
      <c r="CY33">
        <f t="shared" si="2"/>
        <v>14</v>
      </c>
      <c r="CZ33" s="18">
        <f t="shared" si="3"/>
        <v>7.25</v>
      </c>
      <c r="DA33">
        <f t="shared" si="4"/>
        <v>1.5191090506255012</v>
      </c>
      <c r="DB33">
        <v>0</v>
      </c>
      <c r="DC33">
        <f t="shared" si="0"/>
        <v>0</v>
      </c>
      <c r="DD33">
        <f t="shared" si="1"/>
        <v>0</v>
      </c>
    </row>
    <row r="34" spans="1:108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Y34">
        <f t="shared" si="2"/>
        <v>11</v>
      </c>
      <c r="CZ34" s="18">
        <f t="shared" si="3"/>
        <v>4.6818181818181817</v>
      </c>
      <c r="DA34">
        <f t="shared" si="4"/>
        <v>0.81463879335344846</v>
      </c>
      <c r="DB34">
        <v>0</v>
      </c>
      <c r="DC34">
        <f t="shared" ref="DC34:DC65" si="5">COUNT(CO34:CS34)</f>
        <v>0</v>
      </c>
      <c r="DD34">
        <f t="shared" ref="DD34:DD65" si="6">IF(DB34=0,DC34,0)</f>
        <v>0</v>
      </c>
    </row>
    <row r="35" spans="1:108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Y35">
        <f t="shared" si="2"/>
        <v>10</v>
      </c>
      <c r="CZ35" s="18">
        <f t="shared" si="3"/>
        <v>8.4499999999999993</v>
      </c>
      <c r="DA35">
        <f t="shared" si="4"/>
        <v>1.1890705987824657</v>
      </c>
      <c r="DB35">
        <v>0</v>
      </c>
      <c r="DC35">
        <f t="shared" si="5"/>
        <v>0</v>
      </c>
      <c r="DD35">
        <f t="shared" si="6"/>
        <v>0</v>
      </c>
    </row>
    <row r="36" spans="1:108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v>6</v>
      </c>
      <c r="CR36">
        <v>6</v>
      </c>
      <c r="CU36">
        <v>6</v>
      </c>
      <c r="CW36">
        <v>5</v>
      </c>
      <c r="CY36">
        <f t="shared" si="2"/>
        <v>16</v>
      </c>
      <c r="CZ36" s="18">
        <f t="shared" si="3"/>
        <v>5</v>
      </c>
      <c r="DA36">
        <f t="shared" si="4"/>
        <v>1.7677669529663689</v>
      </c>
      <c r="DB36">
        <v>1</v>
      </c>
      <c r="DC36">
        <f t="shared" si="5"/>
        <v>3</v>
      </c>
      <c r="DD36">
        <f t="shared" si="6"/>
        <v>0</v>
      </c>
    </row>
    <row r="37" spans="1:108" x14ac:dyDescent="0.35">
      <c r="A37" t="s">
        <v>376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>
        <v>6.5</v>
      </c>
      <c r="BO37">
        <v>5.5</v>
      </c>
      <c r="BP37">
        <v>5.5</v>
      </c>
      <c r="BQ37">
        <v>5.5</v>
      </c>
      <c r="BR37" t="s">
        <v>26</v>
      </c>
      <c r="BS37">
        <v>5.5</v>
      </c>
      <c r="BT37" t="s">
        <v>26</v>
      </c>
      <c r="BU37" t="s">
        <v>26</v>
      </c>
      <c r="BV37">
        <v>6.5</v>
      </c>
      <c r="BW37">
        <v>5.5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N37">
        <v>6</v>
      </c>
      <c r="CO37">
        <v>5.5</v>
      </c>
      <c r="CQ37">
        <v>7.5</v>
      </c>
      <c r="CS37">
        <v>6</v>
      </c>
      <c r="CT37">
        <v>6</v>
      </c>
      <c r="CU37">
        <v>6.5</v>
      </c>
      <c r="CV37">
        <v>6</v>
      </c>
      <c r="CY37">
        <f t="shared" si="2"/>
        <v>14</v>
      </c>
      <c r="CZ37" s="18">
        <f t="shared" si="3"/>
        <v>6</v>
      </c>
      <c r="DA37">
        <f t="shared" si="4"/>
        <v>0.4879500364742666</v>
      </c>
      <c r="DB37">
        <v>1</v>
      </c>
      <c r="DC37">
        <f t="shared" si="5"/>
        <v>3</v>
      </c>
      <c r="DD37">
        <f t="shared" si="6"/>
        <v>0</v>
      </c>
    </row>
    <row r="38" spans="1:108" x14ac:dyDescent="0.35">
      <c r="A38" t="s">
        <v>340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>
        <v>5.5</v>
      </c>
      <c r="AK38" t="s">
        <v>26</v>
      </c>
      <c r="AL38" t="s">
        <v>26</v>
      </c>
      <c r="AM38" t="s">
        <v>26</v>
      </c>
      <c r="AN38">
        <v>6.5</v>
      </c>
      <c r="AO38">
        <v>5</v>
      </c>
      <c r="AP38">
        <v>5.5</v>
      </c>
      <c r="AQ38">
        <v>6.5</v>
      </c>
      <c r="AR38">
        <v>5.5</v>
      </c>
      <c r="AS38">
        <v>5.5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L38">
        <v>6</v>
      </c>
      <c r="CY38">
        <f t="shared" si="2"/>
        <v>8</v>
      </c>
      <c r="CZ38" s="18">
        <f t="shared" si="3"/>
        <v>5.75</v>
      </c>
      <c r="DA38">
        <f t="shared" si="4"/>
        <v>0.56694670951384085</v>
      </c>
      <c r="DB38">
        <v>0</v>
      </c>
      <c r="DC38">
        <f t="shared" si="5"/>
        <v>0</v>
      </c>
      <c r="DD38">
        <f t="shared" si="6"/>
        <v>0</v>
      </c>
    </row>
    <row r="39" spans="1:108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P39">
        <v>6</v>
      </c>
      <c r="CQ39">
        <v>5.5</v>
      </c>
      <c r="CY39">
        <f t="shared" si="2"/>
        <v>12</v>
      </c>
      <c r="CZ39" s="18">
        <f t="shared" si="3"/>
        <v>5.25</v>
      </c>
      <c r="DA39">
        <f t="shared" si="4"/>
        <v>0.28867513459481287</v>
      </c>
      <c r="DB39">
        <v>1</v>
      </c>
      <c r="DC39">
        <f t="shared" si="5"/>
        <v>3</v>
      </c>
      <c r="DD39">
        <f t="shared" si="6"/>
        <v>0</v>
      </c>
    </row>
    <row r="40" spans="1:108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Y40">
        <f t="shared" si="2"/>
        <v>5</v>
      </c>
      <c r="CZ40" s="18">
        <f t="shared" si="3"/>
        <v>7.8</v>
      </c>
      <c r="DA40">
        <f t="shared" si="4"/>
        <v>1.0307764064044151</v>
      </c>
      <c r="DB40">
        <v>0</v>
      </c>
      <c r="DC40">
        <f t="shared" si="5"/>
        <v>0</v>
      </c>
      <c r="DD40">
        <f t="shared" si="6"/>
        <v>0</v>
      </c>
    </row>
    <row r="41" spans="1:108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Y41">
        <f t="shared" si="2"/>
        <v>5</v>
      </c>
      <c r="CZ41" s="18">
        <f t="shared" si="3"/>
        <v>3.8</v>
      </c>
      <c r="DA41">
        <f t="shared" si="4"/>
        <v>0.47871355387816905</v>
      </c>
      <c r="DB41">
        <v>0</v>
      </c>
      <c r="DC41">
        <f t="shared" si="5"/>
        <v>0</v>
      </c>
      <c r="DD41">
        <f t="shared" si="6"/>
        <v>0</v>
      </c>
    </row>
    <row r="42" spans="1:108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Y42">
        <f t="shared" si="2"/>
        <v>4</v>
      </c>
      <c r="CZ42" s="18">
        <f t="shared" si="3"/>
        <v>5.625</v>
      </c>
      <c r="DA42">
        <f t="shared" si="4"/>
        <v>0.9464847243000456</v>
      </c>
      <c r="DB42">
        <v>0</v>
      </c>
      <c r="DC42">
        <f t="shared" si="5"/>
        <v>0</v>
      </c>
      <c r="DD42">
        <f t="shared" si="6"/>
        <v>0</v>
      </c>
    </row>
    <row r="43" spans="1:108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Y43">
        <f t="shared" si="2"/>
        <v>4</v>
      </c>
      <c r="CZ43" s="18">
        <f t="shared" si="3"/>
        <v>6.75</v>
      </c>
      <c r="DA43">
        <f t="shared" si="4"/>
        <v>1.0408329997330663</v>
      </c>
      <c r="DB43">
        <v>0</v>
      </c>
      <c r="DC43">
        <f t="shared" si="5"/>
        <v>0</v>
      </c>
      <c r="DD43">
        <f t="shared" si="6"/>
        <v>0</v>
      </c>
    </row>
    <row r="44" spans="1:108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Y44">
        <f t="shared" si="2"/>
        <v>4</v>
      </c>
      <c r="CZ44" s="18">
        <f t="shared" si="3"/>
        <v>1.375</v>
      </c>
      <c r="DA44">
        <f t="shared" si="4"/>
        <v>1.8874586088176875</v>
      </c>
      <c r="DB44">
        <v>0</v>
      </c>
      <c r="DC44">
        <f t="shared" si="5"/>
        <v>0</v>
      </c>
      <c r="DD44">
        <f t="shared" si="6"/>
        <v>0</v>
      </c>
    </row>
    <row r="45" spans="1:108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Y45">
        <f t="shared" si="2"/>
        <v>4</v>
      </c>
      <c r="CZ45" s="18">
        <f t="shared" si="3"/>
        <v>4.625</v>
      </c>
      <c r="DA45">
        <f t="shared" si="4"/>
        <v>1.4361406616345072</v>
      </c>
      <c r="DB45">
        <v>0</v>
      </c>
      <c r="DC45">
        <f t="shared" si="5"/>
        <v>0</v>
      </c>
      <c r="DD45">
        <f t="shared" si="6"/>
        <v>0</v>
      </c>
    </row>
    <row r="46" spans="1:108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Y46">
        <f t="shared" si="2"/>
        <v>4</v>
      </c>
      <c r="CZ46" s="18">
        <f t="shared" si="3"/>
        <v>6.25</v>
      </c>
      <c r="DA46">
        <f t="shared" si="4"/>
        <v>0.8660254037844386</v>
      </c>
      <c r="DB46">
        <v>0</v>
      </c>
      <c r="DC46">
        <f t="shared" si="5"/>
        <v>0</v>
      </c>
      <c r="DD46">
        <f t="shared" si="6"/>
        <v>0</v>
      </c>
    </row>
    <row r="47" spans="1:108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Y47">
        <f t="shared" si="2"/>
        <v>4</v>
      </c>
      <c r="CZ47" s="18">
        <f t="shared" si="3"/>
        <v>2.875</v>
      </c>
      <c r="DA47">
        <f t="shared" si="4"/>
        <v>2.7801378862687129</v>
      </c>
      <c r="DB47">
        <v>0</v>
      </c>
      <c r="DC47">
        <f t="shared" si="5"/>
        <v>0</v>
      </c>
      <c r="DD47">
        <f t="shared" si="6"/>
        <v>0</v>
      </c>
    </row>
    <row r="48" spans="1:108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Y48">
        <f t="shared" si="2"/>
        <v>3</v>
      </c>
      <c r="CZ48" s="18">
        <f t="shared" si="3"/>
        <v>4.666666666666667</v>
      </c>
      <c r="DA48">
        <f t="shared" si="4"/>
        <v>1.4433756729740652</v>
      </c>
      <c r="DB48">
        <v>0</v>
      </c>
      <c r="DC48">
        <f t="shared" si="5"/>
        <v>0</v>
      </c>
      <c r="DD48">
        <f t="shared" si="6"/>
        <v>0</v>
      </c>
    </row>
    <row r="49" spans="1:108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Y49">
        <f t="shared" si="2"/>
        <v>3</v>
      </c>
      <c r="CZ49" s="18">
        <f t="shared" si="3"/>
        <v>8.5</v>
      </c>
      <c r="DA49">
        <f t="shared" si="4"/>
        <v>1.5</v>
      </c>
      <c r="DB49">
        <v>0</v>
      </c>
      <c r="DC49">
        <f t="shared" si="5"/>
        <v>0</v>
      </c>
      <c r="DD49">
        <f t="shared" si="6"/>
        <v>0</v>
      </c>
    </row>
    <row r="50" spans="1:108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Y50">
        <f t="shared" si="2"/>
        <v>3</v>
      </c>
      <c r="CZ50" s="18">
        <f t="shared" si="3"/>
        <v>4</v>
      </c>
      <c r="DA50">
        <f t="shared" si="4"/>
        <v>1.7320508075688772</v>
      </c>
      <c r="DB50">
        <v>0</v>
      </c>
      <c r="DC50">
        <f t="shared" si="5"/>
        <v>0</v>
      </c>
      <c r="DD50">
        <f t="shared" si="6"/>
        <v>0</v>
      </c>
    </row>
    <row r="51" spans="1:108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V51">
        <v>5.5</v>
      </c>
      <c r="CY51">
        <f t="shared" si="2"/>
        <v>4</v>
      </c>
      <c r="CZ51" s="18">
        <f t="shared" si="3"/>
        <v>5.625</v>
      </c>
      <c r="DA51">
        <f t="shared" si="4"/>
        <v>0</v>
      </c>
      <c r="DB51">
        <v>0</v>
      </c>
      <c r="DC51">
        <f t="shared" si="5"/>
        <v>0</v>
      </c>
      <c r="DD51">
        <f t="shared" si="6"/>
        <v>0</v>
      </c>
    </row>
    <row r="52" spans="1:108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Y52">
        <f t="shared" si="2"/>
        <v>3</v>
      </c>
      <c r="CZ52" s="18">
        <f t="shared" si="3"/>
        <v>8.5</v>
      </c>
      <c r="DA52">
        <f t="shared" si="4"/>
        <v>0.35355339059327379</v>
      </c>
      <c r="DB52">
        <v>0</v>
      </c>
      <c r="DC52">
        <f t="shared" si="5"/>
        <v>0</v>
      </c>
      <c r="DD52">
        <f t="shared" si="6"/>
        <v>0</v>
      </c>
    </row>
    <row r="53" spans="1:108" x14ac:dyDescent="0.35">
      <c r="A53" t="s">
        <v>345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>
        <v>2.5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I53">
        <v>6</v>
      </c>
      <c r="CJ53">
        <v>4</v>
      </c>
      <c r="CK53">
        <v>3.5</v>
      </c>
      <c r="CL53">
        <v>5.5</v>
      </c>
      <c r="CM53">
        <v>5.5</v>
      </c>
      <c r="CO53">
        <v>4.5</v>
      </c>
      <c r="CY53">
        <f t="shared" si="2"/>
        <v>7</v>
      </c>
      <c r="CZ53" s="18">
        <f t="shared" si="3"/>
        <v>4.5</v>
      </c>
      <c r="DA53" t="e">
        <f t="shared" si="4"/>
        <v>#DIV/0!</v>
      </c>
      <c r="DB53">
        <v>0</v>
      </c>
      <c r="DC53">
        <f t="shared" si="5"/>
        <v>1</v>
      </c>
      <c r="DD53">
        <f t="shared" si="6"/>
        <v>1</v>
      </c>
    </row>
    <row r="54" spans="1:108" x14ac:dyDescent="0.35">
      <c r="A54" t="s">
        <v>53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>
        <v>5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>
        <v>5.5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S54">
        <v>5.5</v>
      </c>
      <c r="CY54">
        <f t="shared" si="2"/>
        <v>3</v>
      </c>
      <c r="CZ54" s="18">
        <f t="shared" si="3"/>
        <v>5.333333333333333</v>
      </c>
      <c r="DA54">
        <f t="shared" si="4"/>
        <v>0.35355339059327379</v>
      </c>
      <c r="DB54">
        <v>0</v>
      </c>
      <c r="DC54">
        <f t="shared" si="5"/>
        <v>1</v>
      </c>
      <c r="DD54">
        <f t="shared" si="6"/>
        <v>1</v>
      </c>
    </row>
    <row r="55" spans="1:108" x14ac:dyDescent="0.35">
      <c r="A55" t="s">
        <v>342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>
        <v>7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>
        <v>4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J55">
        <v>5.5</v>
      </c>
      <c r="CO55">
        <v>6</v>
      </c>
      <c r="CU55">
        <v>5.5</v>
      </c>
      <c r="CY55">
        <f t="shared" si="2"/>
        <v>5</v>
      </c>
      <c r="CZ55" s="18">
        <f t="shared" si="3"/>
        <v>5.6</v>
      </c>
      <c r="DA55">
        <f t="shared" si="4"/>
        <v>2.1213203435596424</v>
      </c>
      <c r="DB55">
        <v>0</v>
      </c>
      <c r="DC55">
        <f t="shared" si="5"/>
        <v>1</v>
      </c>
      <c r="DD55">
        <f t="shared" si="6"/>
        <v>1</v>
      </c>
    </row>
    <row r="56" spans="1:108" x14ac:dyDescent="0.35">
      <c r="A56" t="s">
        <v>390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E56">
        <v>7</v>
      </c>
      <c r="CH56">
        <v>7</v>
      </c>
      <c r="CS56">
        <v>6.5</v>
      </c>
      <c r="CT56">
        <v>6</v>
      </c>
      <c r="CU56">
        <v>6</v>
      </c>
      <c r="CY56">
        <f t="shared" si="2"/>
        <v>5</v>
      </c>
      <c r="CZ56" s="18">
        <f t="shared" si="3"/>
        <v>6.5</v>
      </c>
      <c r="DA56" t="e">
        <f t="shared" si="4"/>
        <v>#DIV/0!</v>
      </c>
      <c r="DB56">
        <v>0</v>
      </c>
      <c r="DC56">
        <f t="shared" si="5"/>
        <v>1</v>
      </c>
      <c r="DD56">
        <f t="shared" si="6"/>
        <v>1</v>
      </c>
    </row>
    <row r="57" spans="1:108" x14ac:dyDescent="0.35">
      <c r="A57" t="s">
        <v>364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6.5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>
        <v>6.5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L57">
        <v>6.5</v>
      </c>
      <c r="CM57">
        <v>5.5</v>
      </c>
      <c r="CN57">
        <v>6</v>
      </c>
      <c r="CY57">
        <f t="shared" si="2"/>
        <v>5</v>
      </c>
      <c r="CZ57" s="18">
        <f t="shared" si="3"/>
        <v>6.2</v>
      </c>
      <c r="DA57">
        <f t="shared" si="4"/>
        <v>0</v>
      </c>
      <c r="DB57">
        <v>0</v>
      </c>
      <c r="DC57">
        <f t="shared" si="5"/>
        <v>0</v>
      </c>
      <c r="DD57">
        <f t="shared" si="6"/>
        <v>0</v>
      </c>
    </row>
    <row r="58" spans="1:108" x14ac:dyDescent="0.35">
      <c r="A58" t="s">
        <v>362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>
        <v>5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D58">
        <v>5.5</v>
      </c>
      <c r="CY58">
        <f t="shared" si="2"/>
        <v>2</v>
      </c>
      <c r="CZ58" s="18">
        <f t="shared" si="3"/>
        <v>5.25</v>
      </c>
      <c r="DA58">
        <f t="shared" si="4"/>
        <v>0.35355339059327379</v>
      </c>
      <c r="DB58">
        <v>0</v>
      </c>
      <c r="DC58">
        <f t="shared" si="5"/>
        <v>0</v>
      </c>
      <c r="DD58">
        <f t="shared" si="6"/>
        <v>0</v>
      </c>
    </row>
    <row r="59" spans="1:108" x14ac:dyDescent="0.35">
      <c r="A59" t="s">
        <v>339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>
        <v>8.5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>
        <v>5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Y59">
        <f t="shared" si="2"/>
        <v>2</v>
      </c>
      <c r="CZ59" s="18">
        <f t="shared" si="3"/>
        <v>6.75</v>
      </c>
      <c r="DA59">
        <f t="shared" si="4"/>
        <v>2.4748737341529163</v>
      </c>
      <c r="DB59">
        <v>0</v>
      </c>
      <c r="DC59">
        <f t="shared" si="5"/>
        <v>0</v>
      </c>
      <c r="DD59">
        <f t="shared" si="6"/>
        <v>0</v>
      </c>
    </row>
    <row r="60" spans="1:108" x14ac:dyDescent="0.35">
      <c r="A60" t="s">
        <v>369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>
        <v>6.5</v>
      </c>
      <c r="BH60">
        <v>5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Y60">
        <f t="shared" si="2"/>
        <v>2</v>
      </c>
      <c r="CZ60" s="18">
        <f t="shared" si="3"/>
        <v>5.75</v>
      </c>
      <c r="DA60">
        <f t="shared" si="4"/>
        <v>1.0606601717798212</v>
      </c>
      <c r="DB60">
        <v>0</v>
      </c>
      <c r="DC60">
        <f t="shared" si="5"/>
        <v>0</v>
      </c>
      <c r="DD60">
        <f t="shared" si="6"/>
        <v>0</v>
      </c>
    </row>
    <row r="61" spans="1:108" x14ac:dyDescent="0.35">
      <c r="A61" t="s">
        <v>379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>
        <v>5.5</v>
      </c>
      <c r="BZ61">
        <v>5.5</v>
      </c>
      <c r="CA61" t="s">
        <v>26</v>
      </c>
      <c r="CB61" t="s">
        <v>26</v>
      </c>
      <c r="CY61">
        <f t="shared" si="2"/>
        <v>2</v>
      </c>
      <c r="CZ61" s="18">
        <f t="shared" si="3"/>
        <v>5.5</v>
      </c>
      <c r="DA61">
        <f t="shared" si="4"/>
        <v>0</v>
      </c>
      <c r="DB61">
        <v>0</v>
      </c>
      <c r="DC61">
        <f t="shared" si="5"/>
        <v>0</v>
      </c>
      <c r="DD61">
        <f t="shared" si="6"/>
        <v>0</v>
      </c>
    </row>
    <row r="62" spans="1:108" x14ac:dyDescent="0.35">
      <c r="A62" t="s">
        <v>388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3.5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H62">
        <v>5</v>
      </c>
      <c r="CY62">
        <f t="shared" si="2"/>
        <v>2</v>
      </c>
      <c r="CZ62" s="18">
        <f t="shared" si="3"/>
        <v>4.25</v>
      </c>
      <c r="DA62" t="e">
        <f t="shared" si="4"/>
        <v>#DIV/0!</v>
      </c>
      <c r="DB62">
        <v>0</v>
      </c>
      <c r="DC62">
        <f t="shared" si="5"/>
        <v>0</v>
      </c>
      <c r="DD62">
        <f t="shared" si="6"/>
        <v>0</v>
      </c>
    </row>
    <row r="63" spans="1:108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Y63">
        <f t="shared" si="2"/>
        <v>3</v>
      </c>
      <c r="CZ63" s="18">
        <f t="shared" si="3"/>
        <v>6.666666666666667</v>
      </c>
      <c r="DA63" t="e">
        <f t="shared" si="4"/>
        <v>#DIV/0!</v>
      </c>
      <c r="DB63">
        <v>0</v>
      </c>
      <c r="DC63">
        <f t="shared" si="5"/>
        <v>0</v>
      </c>
      <c r="DD63">
        <f t="shared" si="6"/>
        <v>0</v>
      </c>
    </row>
    <row r="64" spans="1:108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Y64">
        <f t="shared" si="2"/>
        <v>1</v>
      </c>
      <c r="CZ64" s="18">
        <f t="shared" si="3"/>
        <v>10</v>
      </c>
      <c r="DA64" t="str">
        <f t="shared" si="4"/>
        <v/>
      </c>
      <c r="DB64">
        <v>0</v>
      </c>
      <c r="DC64">
        <f t="shared" si="5"/>
        <v>0</v>
      </c>
      <c r="DD64">
        <f t="shared" si="6"/>
        <v>0</v>
      </c>
    </row>
    <row r="65" spans="1:108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Y65">
        <f t="shared" si="2"/>
        <v>1</v>
      </c>
      <c r="CZ65" s="18">
        <f t="shared" si="3"/>
        <v>7</v>
      </c>
      <c r="DA65" t="str">
        <f t="shared" si="4"/>
        <v/>
      </c>
      <c r="DB65">
        <v>0</v>
      </c>
      <c r="DC65">
        <f t="shared" si="5"/>
        <v>0</v>
      </c>
      <c r="DD65">
        <f t="shared" si="6"/>
        <v>0</v>
      </c>
    </row>
    <row r="66" spans="1:108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Y66">
        <f t="shared" si="2"/>
        <v>1</v>
      </c>
      <c r="CZ66" s="18">
        <f t="shared" si="3"/>
        <v>7</v>
      </c>
      <c r="DA66" t="str">
        <f t="shared" si="4"/>
        <v/>
      </c>
      <c r="DB66">
        <v>0</v>
      </c>
      <c r="DC66">
        <f t="shared" ref="DC66:DC88" si="7">COUNT(CO66:CS66)</f>
        <v>0</v>
      </c>
      <c r="DD66">
        <f t="shared" ref="DD66:DD88" si="8">IF(DB66=0,DC66,0)</f>
        <v>0</v>
      </c>
    </row>
    <row r="67" spans="1:108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Y67">
        <f t="shared" ref="CY67:CY90" si="9">COUNT(B67:CW67)</f>
        <v>1</v>
      </c>
      <c r="CZ67" s="18">
        <f t="shared" ref="CZ67:CZ90" si="10">AVERAGE(B67:CW67)</f>
        <v>7</v>
      </c>
      <c r="DA67" t="str">
        <f t="shared" ref="DA67:DA90" si="11">IF(CY67&gt;1,_xlfn.STDEV.S(B67:CF67),"")</f>
        <v/>
      </c>
      <c r="DB67">
        <v>0</v>
      </c>
      <c r="DC67">
        <f t="shared" si="7"/>
        <v>0</v>
      </c>
      <c r="DD67">
        <f t="shared" si="8"/>
        <v>0</v>
      </c>
    </row>
    <row r="68" spans="1:108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Y68">
        <f t="shared" si="9"/>
        <v>1</v>
      </c>
      <c r="CZ68" s="18">
        <f t="shared" si="10"/>
        <v>3.5</v>
      </c>
      <c r="DA68" t="str">
        <f t="shared" si="11"/>
        <v/>
      </c>
      <c r="DB68">
        <v>0</v>
      </c>
      <c r="DC68">
        <f t="shared" si="7"/>
        <v>0</v>
      </c>
      <c r="DD68">
        <f t="shared" si="8"/>
        <v>0</v>
      </c>
    </row>
    <row r="69" spans="1:108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Y69">
        <f t="shared" si="9"/>
        <v>1</v>
      </c>
      <c r="CZ69" s="18">
        <f t="shared" si="10"/>
        <v>3</v>
      </c>
      <c r="DA69" t="str">
        <f t="shared" si="11"/>
        <v/>
      </c>
      <c r="DB69">
        <v>0</v>
      </c>
      <c r="DC69">
        <f t="shared" si="7"/>
        <v>0</v>
      </c>
      <c r="DD69">
        <f t="shared" si="8"/>
        <v>0</v>
      </c>
    </row>
    <row r="70" spans="1:108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Y70">
        <f t="shared" si="9"/>
        <v>1</v>
      </c>
      <c r="CZ70" s="18">
        <f t="shared" si="10"/>
        <v>6.5</v>
      </c>
      <c r="DA70" t="str">
        <f t="shared" si="11"/>
        <v/>
      </c>
      <c r="DB70">
        <v>0</v>
      </c>
      <c r="DC70">
        <f t="shared" si="7"/>
        <v>0</v>
      </c>
      <c r="DD70">
        <f t="shared" si="8"/>
        <v>0</v>
      </c>
    </row>
    <row r="71" spans="1:108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Y71">
        <f t="shared" si="9"/>
        <v>1</v>
      </c>
      <c r="CZ71" s="18">
        <f t="shared" si="10"/>
        <v>4</v>
      </c>
      <c r="DA71" t="str">
        <f t="shared" si="11"/>
        <v/>
      </c>
      <c r="DB71">
        <v>0</v>
      </c>
      <c r="DC71">
        <f t="shared" si="7"/>
        <v>0</v>
      </c>
      <c r="DD71">
        <f t="shared" si="8"/>
        <v>0</v>
      </c>
    </row>
    <row r="72" spans="1:108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Y72">
        <f t="shared" si="9"/>
        <v>1</v>
      </c>
      <c r="CZ72" s="18">
        <f t="shared" si="10"/>
        <v>6.5</v>
      </c>
      <c r="DA72" t="str">
        <f t="shared" si="11"/>
        <v/>
      </c>
      <c r="DB72">
        <v>0</v>
      </c>
      <c r="DC72">
        <f t="shared" si="7"/>
        <v>0</v>
      </c>
      <c r="DD72">
        <f t="shared" si="8"/>
        <v>0</v>
      </c>
    </row>
    <row r="73" spans="1:108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Y73">
        <f t="shared" si="9"/>
        <v>1</v>
      </c>
      <c r="CZ73" s="18">
        <f t="shared" si="10"/>
        <v>5</v>
      </c>
      <c r="DA73" t="str">
        <f t="shared" si="11"/>
        <v/>
      </c>
      <c r="DB73">
        <v>0</v>
      </c>
      <c r="DC73">
        <f t="shared" si="7"/>
        <v>0</v>
      </c>
      <c r="DD73">
        <f t="shared" si="8"/>
        <v>0</v>
      </c>
    </row>
    <row r="74" spans="1:108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Y74">
        <f t="shared" si="9"/>
        <v>1</v>
      </c>
      <c r="CZ74" s="18">
        <f t="shared" si="10"/>
        <v>5.5</v>
      </c>
      <c r="DA74" t="str">
        <f t="shared" si="11"/>
        <v/>
      </c>
      <c r="DB74">
        <v>0</v>
      </c>
      <c r="DC74">
        <f t="shared" si="7"/>
        <v>0</v>
      </c>
      <c r="DD74">
        <f t="shared" si="8"/>
        <v>0</v>
      </c>
    </row>
    <row r="75" spans="1:108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Y75">
        <f t="shared" si="9"/>
        <v>1</v>
      </c>
      <c r="CZ75" s="18">
        <f t="shared" si="10"/>
        <v>2</v>
      </c>
      <c r="DA75" t="str">
        <f t="shared" si="11"/>
        <v/>
      </c>
      <c r="DB75">
        <v>0</v>
      </c>
      <c r="DC75">
        <f t="shared" si="7"/>
        <v>0</v>
      </c>
      <c r="DD75">
        <f t="shared" si="8"/>
        <v>0</v>
      </c>
    </row>
    <row r="76" spans="1:108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Y76">
        <f t="shared" si="9"/>
        <v>1</v>
      </c>
      <c r="CZ76" s="18">
        <f t="shared" si="10"/>
        <v>2.5</v>
      </c>
      <c r="DA76" t="str">
        <f t="shared" si="11"/>
        <v/>
      </c>
      <c r="DB76">
        <v>0</v>
      </c>
      <c r="DC76">
        <f t="shared" si="7"/>
        <v>0</v>
      </c>
      <c r="DD76">
        <f t="shared" si="8"/>
        <v>0</v>
      </c>
    </row>
    <row r="77" spans="1:108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Y77">
        <f t="shared" si="9"/>
        <v>1</v>
      </c>
      <c r="CZ77" s="18">
        <f t="shared" si="10"/>
        <v>7</v>
      </c>
      <c r="DA77" t="str">
        <f t="shared" si="11"/>
        <v/>
      </c>
      <c r="DB77">
        <v>0</v>
      </c>
      <c r="DC77">
        <f t="shared" si="7"/>
        <v>0</v>
      </c>
      <c r="DD77">
        <f t="shared" si="8"/>
        <v>0</v>
      </c>
    </row>
    <row r="78" spans="1:108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Y78">
        <f t="shared" si="9"/>
        <v>1</v>
      </c>
      <c r="CZ78" s="18">
        <f t="shared" si="10"/>
        <v>5.5</v>
      </c>
      <c r="DA78" t="str">
        <f t="shared" si="11"/>
        <v/>
      </c>
      <c r="DB78">
        <v>0</v>
      </c>
      <c r="DC78">
        <f t="shared" si="7"/>
        <v>0</v>
      </c>
      <c r="DD78">
        <f t="shared" si="8"/>
        <v>0</v>
      </c>
    </row>
    <row r="79" spans="1:108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Y79">
        <f t="shared" si="9"/>
        <v>1</v>
      </c>
      <c r="CZ79" s="18">
        <f t="shared" si="10"/>
        <v>5</v>
      </c>
      <c r="DA79" t="str">
        <f t="shared" si="11"/>
        <v/>
      </c>
      <c r="DB79">
        <v>0</v>
      </c>
      <c r="DC79">
        <f t="shared" si="7"/>
        <v>0</v>
      </c>
      <c r="DD79">
        <f t="shared" si="8"/>
        <v>0</v>
      </c>
    </row>
    <row r="80" spans="1:108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Y80">
        <f t="shared" si="9"/>
        <v>1</v>
      </c>
      <c r="CZ80" s="18">
        <f t="shared" si="10"/>
        <v>5.5</v>
      </c>
      <c r="DA80" t="str">
        <f t="shared" si="11"/>
        <v/>
      </c>
      <c r="DB80">
        <v>0</v>
      </c>
      <c r="DC80">
        <f t="shared" si="7"/>
        <v>0</v>
      </c>
      <c r="DD80">
        <f t="shared" si="8"/>
        <v>0</v>
      </c>
    </row>
    <row r="81" spans="1:108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Y81">
        <f t="shared" si="9"/>
        <v>1</v>
      </c>
      <c r="CZ81" s="18">
        <f t="shared" si="10"/>
        <v>5.5</v>
      </c>
      <c r="DA81" t="str">
        <f t="shared" si="11"/>
        <v/>
      </c>
      <c r="DB81">
        <v>0</v>
      </c>
      <c r="DC81">
        <f t="shared" si="7"/>
        <v>0</v>
      </c>
      <c r="DD81">
        <f t="shared" si="8"/>
        <v>0</v>
      </c>
    </row>
    <row r="82" spans="1:108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Y82">
        <f t="shared" si="9"/>
        <v>1</v>
      </c>
      <c r="CZ82" s="18">
        <f t="shared" si="10"/>
        <v>7.5</v>
      </c>
      <c r="DA82" t="str">
        <f t="shared" si="11"/>
        <v/>
      </c>
      <c r="DB82">
        <v>0</v>
      </c>
      <c r="DC82">
        <f t="shared" si="7"/>
        <v>0</v>
      </c>
      <c r="DD82">
        <f t="shared" si="8"/>
        <v>0</v>
      </c>
    </row>
    <row r="83" spans="1:108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Y83">
        <f t="shared" si="9"/>
        <v>1</v>
      </c>
      <c r="CZ83" s="18">
        <f t="shared" si="10"/>
        <v>7</v>
      </c>
      <c r="DA83" t="str">
        <f t="shared" si="11"/>
        <v/>
      </c>
      <c r="DB83">
        <v>0</v>
      </c>
      <c r="DC83">
        <f t="shared" si="7"/>
        <v>0</v>
      </c>
      <c r="DD83">
        <f t="shared" si="8"/>
        <v>0</v>
      </c>
    </row>
    <row r="84" spans="1:108" x14ac:dyDescent="0.35">
      <c r="A84" t="s">
        <v>393</v>
      </c>
      <c r="CP84">
        <v>6</v>
      </c>
      <c r="CQ84">
        <v>6.5</v>
      </c>
      <c r="CS84">
        <v>6.5</v>
      </c>
      <c r="CT84">
        <v>7</v>
      </c>
      <c r="CU84">
        <v>3.5</v>
      </c>
      <c r="CV84">
        <v>5.5</v>
      </c>
      <c r="CY84">
        <f t="shared" si="9"/>
        <v>6</v>
      </c>
      <c r="CZ84" s="18">
        <f t="shared" si="10"/>
        <v>5.833333333333333</v>
      </c>
      <c r="DA84" t="e">
        <f t="shared" si="11"/>
        <v>#DIV/0!</v>
      </c>
      <c r="DB84">
        <v>0</v>
      </c>
      <c r="DC84">
        <f t="shared" si="7"/>
        <v>3</v>
      </c>
      <c r="DD84">
        <f t="shared" si="8"/>
        <v>3</v>
      </c>
    </row>
    <row r="85" spans="1:108" x14ac:dyDescent="0.35">
      <c r="A85" t="s">
        <v>401</v>
      </c>
      <c r="CP85">
        <v>5.5</v>
      </c>
      <c r="CQ85">
        <v>6</v>
      </c>
      <c r="CS85">
        <v>6</v>
      </c>
      <c r="CV85">
        <v>6.5</v>
      </c>
      <c r="CW85">
        <v>6</v>
      </c>
      <c r="CY85">
        <f t="shared" si="9"/>
        <v>5</v>
      </c>
      <c r="CZ85" s="18">
        <f t="shared" si="10"/>
        <v>6</v>
      </c>
      <c r="DA85" t="e">
        <f t="shared" si="11"/>
        <v>#DIV/0!</v>
      </c>
      <c r="DB85">
        <v>0</v>
      </c>
      <c r="DC85">
        <f t="shared" si="7"/>
        <v>3</v>
      </c>
      <c r="DD85">
        <f t="shared" si="8"/>
        <v>3</v>
      </c>
    </row>
    <row r="86" spans="1:108" x14ac:dyDescent="0.35">
      <c r="A86" t="s">
        <v>395</v>
      </c>
      <c r="CP86">
        <v>6.5</v>
      </c>
      <c r="CY86">
        <f t="shared" si="9"/>
        <v>1</v>
      </c>
      <c r="CZ86" s="18">
        <f t="shared" si="10"/>
        <v>6.5</v>
      </c>
      <c r="DA86" t="str">
        <f t="shared" si="11"/>
        <v/>
      </c>
      <c r="DB86">
        <v>0</v>
      </c>
      <c r="DC86">
        <f t="shared" si="7"/>
        <v>1</v>
      </c>
      <c r="DD86">
        <f t="shared" si="8"/>
        <v>1</v>
      </c>
    </row>
    <row r="87" spans="1:108" x14ac:dyDescent="0.35">
      <c r="A87" t="s">
        <v>396</v>
      </c>
      <c r="CQ87">
        <v>6.5</v>
      </c>
      <c r="CY87">
        <f t="shared" si="9"/>
        <v>1</v>
      </c>
      <c r="CZ87" s="18">
        <f t="shared" si="10"/>
        <v>6.5</v>
      </c>
      <c r="DA87" t="str">
        <f t="shared" si="11"/>
        <v/>
      </c>
      <c r="DB87">
        <v>0</v>
      </c>
      <c r="DC87">
        <f t="shared" si="7"/>
        <v>1</v>
      </c>
      <c r="DD87">
        <f t="shared" si="8"/>
        <v>1</v>
      </c>
    </row>
    <row r="88" spans="1:108" x14ac:dyDescent="0.35">
      <c r="A88" t="s">
        <v>392</v>
      </c>
      <c r="CO88">
        <v>6.5</v>
      </c>
      <c r="CP88">
        <v>7</v>
      </c>
      <c r="CQ88">
        <v>9</v>
      </c>
      <c r="CR88">
        <v>6.5</v>
      </c>
      <c r="CS88">
        <v>5.5</v>
      </c>
      <c r="CT88">
        <v>6.5</v>
      </c>
      <c r="CW88">
        <v>5.5</v>
      </c>
      <c r="CY88">
        <f t="shared" si="9"/>
        <v>7</v>
      </c>
      <c r="CZ88" s="18">
        <f t="shared" si="10"/>
        <v>6.6428571428571432</v>
      </c>
      <c r="DA88" t="e">
        <f t="shared" si="11"/>
        <v>#DIV/0!</v>
      </c>
      <c r="DB88">
        <v>1</v>
      </c>
      <c r="DC88">
        <f t="shared" si="7"/>
        <v>5</v>
      </c>
      <c r="DD88">
        <f t="shared" si="8"/>
        <v>0</v>
      </c>
    </row>
    <row r="89" spans="1:108" x14ac:dyDescent="0.35">
      <c r="A89" t="s">
        <v>399</v>
      </c>
      <c r="CU89">
        <v>7.5</v>
      </c>
      <c r="CY89">
        <f t="shared" si="9"/>
        <v>1</v>
      </c>
      <c r="CZ89" s="18">
        <f t="shared" si="10"/>
        <v>7.5</v>
      </c>
      <c r="DA89" t="str">
        <f t="shared" si="11"/>
        <v/>
      </c>
      <c r="DB89">
        <v>0.44444444444444398</v>
      </c>
      <c r="DC89">
        <f t="shared" ref="DC89:DC90" si="12">COUNT(CO89:CS89)</f>
        <v>0</v>
      </c>
      <c r="DD89">
        <f t="shared" ref="DD89:DD90" si="13">IF(DB89=0,DC89,0)</f>
        <v>0</v>
      </c>
    </row>
    <row r="90" spans="1:108" x14ac:dyDescent="0.35">
      <c r="A90" t="s">
        <v>400</v>
      </c>
      <c r="CV90">
        <v>6</v>
      </c>
      <c r="CY90">
        <f t="shared" si="9"/>
        <v>1</v>
      </c>
      <c r="CZ90" s="18">
        <f t="shared" si="10"/>
        <v>6</v>
      </c>
      <c r="DA90" t="str">
        <f t="shared" si="11"/>
        <v/>
      </c>
      <c r="DB90">
        <v>0.94444444444444398</v>
      </c>
      <c r="DC90">
        <f t="shared" si="12"/>
        <v>0</v>
      </c>
      <c r="DD90">
        <f t="shared" si="13"/>
        <v>0</v>
      </c>
    </row>
  </sheetData>
  <autoFilter ref="A1:DD83" xr:uid="{B9A4D56B-02EF-476F-9B0E-F093A198C591}">
    <sortState ref="A2:DD88">
      <sortCondition descending="1" ref="CY1:CY83"/>
    </sortState>
  </autoFilter>
  <conditionalFormatting sqref="CY2:CY90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90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Y2:CY9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9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90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9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9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W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S34" sqref="S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B93"/>
  <sheetViews>
    <sheetView topLeftCell="A16" zoomScale="85" zoomScaleNormal="85" workbookViewId="0">
      <pane xSplit="1" topLeftCell="K1" activePane="topRight" state="frozen"/>
      <selection activeCell="A31" sqref="A31"/>
      <selection pane="topRight" activeCell="X88" sqref="X88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4" width="12.26953125" style="22" customWidth="1"/>
    <col min="25" max="26" width="9.6328125" customWidth="1"/>
    <col min="28" max="28" width="16.6328125" bestFit="1" customWidth="1"/>
  </cols>
  <sheetData>
    <row r="1" spans="1:28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AB1" t="s">
        <v>349</v>
      </c>
    </row>
    <row r="2" spans="1:28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AB2" s="1">
        <v>46162</v>
      </c>
    </row>
    <row r="3" spans="1:28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</row>
    <row r="4" spans="1:28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8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t="s">
        <v>370</v>
      </c>
      <c r="AB5">
        <v>18</v>
      </c>
    </row>
    <row r="6" spans="1:28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AA6" t="s">
        <v>371</v>
      </c>
      <c r="AB6">
        <f>27*AB5</f>
        <v>486</v>
      </c>
    </row>
    <row r="7" spans="1:28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t="s">
        <v>372</v>
      </c>
      <c r="AB7">
        <f>1950-AB6</f>
        <v>1464</v>
      </c>
    </row>
    <row r="8" spans="1:28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A8" t="s">
        <v>373</v>
      </c>
      <c r="AB8">
        <f>AB7/18</f>
        <v>81.333333333333329</v>
      </c>
    </row>
    <row r="9" spans="1:28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8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</row>
    <row r="11" spans="1:28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</row>
    <row r="12" spans="1:28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</row>
    <row r="13" spans="1:28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</row>
    <row r="14" spans="1:28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</row>
    <row r="15" spans="1:28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</row>
    <row r="16" spans="1:28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AA16" s="60"/>
    </row>
    <row r="17" spans="1:27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AA17" s="60"/>
    </row>
    <row r="18" spans="1:27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</row>
    <row r="19" spans="1:27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</row>
    <row r="20" spans="1:27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</row>
    <row r="21" spans="1:27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7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7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7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</row>
    <row r="25" spans="1:27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7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/>
      <c r="Z26" s="19"/>
    </row>
    <row r="27" spans="1:27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</row>
    <row r="28" spans="1:27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7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7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>
        <v>24.84</v>
      </c>
    </row>
    <row r="31" spans="1:27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7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21">
        <v>81.34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21">
        <v>81.34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4" x14ac:dyDescent="0.35">
      <c r="A49" t="s">
        <v>80</v>
      </c>
      <c r="G49" s="19">
        <v>25</v>
      </c>
      <c r="H49" s="19"/>
      <c r="I49" s="19"/>
    </row>
    <row r="50" spans="1:24" x14ac:dyDescent="0.35">
      <c r="A50" t="s">
        <v>83</v>
      </c>
      <c r="G50" s="19"/>
      <c r="H50" s="19">
        <v>25</v>
      </c>
      <c r="I50" s="19"/>
    </row>
    <row r="51" spans="1:24" x14ac:dyDescent="0.35">
      <c r="A51" t="s">
        <v>86</v>
      </c>
      <c r="G51" s="19"/>
      <c r="H51" s="19">
        <v>25</v>
      </c>
      <c r="I51" s="19"/>
    </row>
    <row r="52" spans="1:24" x14ac:dyDescent="0.35">
      <c r="A52" t="s">
        <v>85</v>
      </c>
      <c r="G52" s="19"/>
      <c r="H52" s="19">
        <v>25</v>
      </c>
      <c r="I52" s="19">
        <v>50</v>
      </c>
    </row>
    <row r="53" spans="1:24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</row>
    <row r="54" spans="1:24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</row>
    <row r="55" spans="1:24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4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4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</row>
    <row r="58" spans="1:24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</row>
    <row r="59" spans="1:24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4" x14ac:dyDescent="0.35">
      <c r="A60" t="s">
        <v>347</v>
      </c>
      <c r="G60"/>
      <c r="H60"/>
      <c r="I60"/>
      <c r="K60" s="19">
        <v>25</v>
      </c>
      <c r="L60" s="19"/>
    </row>
    <row r="61" spans="1:24" x14ac:dyDescent="0.35">
      <c r="A61" t="s">
        <v>354</v>
      </c>
      <c r="G61"/>
      <c r="H61"/>
      <c r="I61"/>
      <c r="K61" s="19"/>
      <c r="L61" s="19">
        <v>25</v>
      </c>
    </row>
    <row r="62" spans="1:24" x14ac:dyDescent="0.35">
      <c r="A62" t="s">
        <v>356</v>
      </c>
      <c r="L62" s="19">
        <v>25</v>
      </c>
    </row>
    <row r="63" spans="1:24" x14ac:dyDescent="0.35">
      <c r="A63" t="s">
        <v>352</v>
      </c>
      <c r="L63" s="19">
        <v>25</v>
      </c>
    </row>
    <row r="64" spans="1:24" x14ac:dyDescent="0.35">
      <c r="A64" t="s">
        <v>350</v>
      </c>
      <c r="L64" s="19">
        <v>25</v>
      </c>
    </row>
    <row r="65" spans="1:24" x14ac:dyDescent="0.35">
      <c r="A65" t="s">
        <v>363</v>
      </c>
      <c r="L65" s="19"/>
      <c r="M65" s="19">
        <v>25</v>
      </c>
      <c r="U65" s="19">
        <v>27</v>
      </c>
    </row>
    <row r="66" spans="1:24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4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</row>
    <row r="68" spans="1:24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4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4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</row>
    <row r="71" spans="1:24" x14ac:dyDescent="0.35">
      <c r="A71" t="s">
        <v>369</v>
      </c>
      <c r="O71" s="19">
        <v>54</v>
      </c>
      <c r="P71" s="19"/>
      <c r="Q71" s="19"/>
    </row>
    <row r="72" spans="1:24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</row>
    <row r="73" spans="1:24" x14ac:dyDescent="0.35">
      <c r="A73" t="s">
        <v>374</v>
      </c>
      <c r="O73" s="19"/>
      <c r="P73" s="19"/>
      <c r="Q73" s="19">
        <v>27</v>
      </c>
    </row>
    <row r="74" spans="1:24" x14ac:dyDescent="0.35">
      <c r="A74" t="s">
        <v>375</v>
      </c>
      <c r="O74" s="19"/>
      <c r="P74" s="19"/>
      <c r="Q74" s="19">
        <v>27</v>
      </c>
    </row>
    <row r="75" spans="1:24" x14ac:dyDescent="0.35">
      <c r="A75" t="s">
        <v>377</v>
      </c>
      <c r="O75" s="19"/>
      <c r="P75" s="19"/>
      <c r="Q75" s="19"/>
      <c r="R75" s="19">
        <v>27</v>
      </c>
      <c r="S75" s="19"/>
    </row>
    <row r="76" spans="1:24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21">
        <v>81.34</v>
      </c>
    </row>
    <row r="77" spans="1:24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4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4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4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21">
        <v>27</v>
      </c>
    </row>
    <row r="81" spans="1:24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4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4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4" x14ac:dyDescent="0.35">
      <c r="A84" t="s">
        <v>398</v>
      </c>
      <c r="O84" s="19"/>
      <c r="P84" s="19"/>
      <c r="Q84" s="19"/>
      <c r="R84" s="19"/>
      <c r="S84" s="19"/>
      <c r="T84" s="19"/>
      <c r="U84" s="19"/>
      <c r="V84" s="19"/>
      <c r="X84" s="21">
        <v>81.34</v>
      </c>
    </row>
    <row r="85" spans="1:24" x14ac:dyDescent="0.35">
      <c r="A85" t="s">
        <v>394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</row>
    <row r="86" spans="1:24" x14ac:dyDescent="0.35">
      <c r="A86" t="s">
        <v>393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</row>
    <row r="87" spans="1:24" x14ac:dyDescent="0.35">
      <c r="A87" t="s">
        <v>395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</row>
    <row r="88" spans="1:24" x14ac:dyDescent="0.35">
      <c r="A88" t="s">
        <v>396</v>
      </c>
      <c r="O88" s="19"/>
      <c r="P88" s="19"/>
      <c r="Q88" s="19"/>
      <c r="R88" s="19"/>
      <c r="S88" s="19"/>
      <c r="T88" s="19"/>
      <c r="U88" s="19"/>
      <c r="V88" s="19"/>
      <c r="X88" s="21">
        <v>27</v>
      </c>
    </row>
    <row r="89" spans="1:24" x14ac:dyDescent="0.35">
      <c r="U89" s="22"/>
    </row>
    <row r="90" spans="1:24" x14ac:dyDescent="0.35">
      <c r="A90" t="s">
        <v>386</v>
      </c>
      <c r="B90" s="20">
        <f>SUM(B2:B80)</f>
        <v>1799.9999999999998</v>
      </c>
      <c r="C90" s="20">
        <f t="shared" ref="C90:U90" si="1">SUM(C2:C80)</f>
        <v>1800.1200000000001</v>
      </c>
      <c r="D90" s="20">
        <f t="shared" si="1"/>
        <v>1825.1200000000001</v>
      </c>
      <c r="E90" s="20">
        <f t="shared" si="1"/>
        <v>1775.04</v>
      </c>
      <c r="F90" s="20">
        <f t="shared" si="1"/>
        <v>1850.04</v>
      </c>
      <c r="G90" s="20">
        <f t="shared" si="1"/>
        <v>1800.0399999999997</v>
      </c>
      <c r="H90" s="20">
        <f t="shared" si="1"/>
        <v>1800.14</v>
      </c>
      <c r="I90" s="20">
        <f t="shared" si="1"/>
        <v>1800.0399999999997</v>
      </c>
      <c r="J90" s="20">
        <f t="shared" si="1"/>
        <v>1800.1599999999994</v>
      </c>
      <c r="K90" s="20">
        <f t="shared" si="1"/>
        <v>1825.0066666666664</v>
      </c>
      <c r="L90" s="20">
        <f t="shared" si="1"/>
        <v>1800.0600000000004</v>
      </c>
      <c r="M90" s="20">
        <f t="shared" si="1"/>
        <v>1800.0200000000004</v>
      </c>
      <c r="N90" s="20">
        <f t="shared" si="1"/>
        <v>1950.1199999999997</v>
      </c>
      <c r="O90" s="20">
        <f t="shared" si="1"/>
        <v>1950.1199999999997</v>
      </c>
      <c r="P90" s="20">
        <f t="shared" si="1"/>
        <v>1950.1199999999997</v>
      </c>
      <c r="Q90" s="20">
        <f t="shared" si="1"/>
        <v>1951.9399999999998</v>
      </c>
      <c r="R90" s="20">
        <f t="shared" si="1"/>
        <v>1952.1199999999997</v>
      </c>
      <c r="S90" s="20">
        <f t="shared" si="1"/>
        <v>1950.1199999999997</v>
      </c>
      <c r="T90" s="20">
        <f t="shared" si="1"/>
        <v>1950.1199999999997</v>
      </c>
      <c r="U90" s="20">
        <f t="shared" si="1"/>
        <v>1950.1199999999997</v>
      </c>
      <c r="V90" s="20">
        <f>SUM(V2:V83)</f>
        <v>1950.12</v>
      </c>
      <c r="W90" s="20">
        <f>SUM(W2:W83)</f>
        <v>1950.1299999999994</v>
      </c>
      <c r="X90" s="20">
        <f>SUM(X2:X88)</f>
        <v>1950.1199999999997</v>
      </c>
    </row>
    <row r="91" spans="1:24" x14ac:dyDescent="0.35">
      <c r="A91" t="s">
        <v>74</v>
      </c>
      <c r="B91" s="20">
        <f>SUM(B3:B28)</f>
        <v>1716.6666666666665</v>
      </c>
      <c r="C91" s="20">
        <f>SUM(C3:C35)</f>
        <v>1729.2800000000002</v>
      </c>
      <c r="D91" s="20">
        <f>SUM(D3:D38)</f>
        <v>1754.2800000000002</v>
      </c>
      <c r="E91" s="20">
        <f>SUM(E3:E41)</f>
        <v>1697.26</v>
      </c>
      <c r="F91" s="20">
        <f>SUM(F3:F44)</f>
        <v>1772.26</v>
      </c>
      <c r="G91" s="20">
        <f>SUM(G3:G49)</f>
        <v>1722.2599999999998</v>
      </c>
      <c r="H91" s="20">
        <f>SUM(H3:H53)</f>
        <v>1715.41</v>
      </c>
      <c r="I91" s="20">
        <f>SUM(I3:I53)</f>
        <v>1722.2599999999998</v>
      </c>
      <c r="J91" s="20">
        <f>SUM(J3:J56)</f>
        <v>1714.0399999999995</v>
      </c>
      <c r="K91" s="20">
        <f>SUM(K3:K59)</f>
        <v>1716.6733333333332</v>
      </c>
      <c r="L91" s="20">
        <f>SUM(L3:L59)</f>
        <v>1620.8900000000003</v>
      </c>
      <c r="M91" s="20">
        <f>SUM(M3:M69)</f>
        <v>1723.6300000000003</v>
      </c>
      <c r="N91" s="20">
        <f>SUM(N3:N69)</f>
        <v>1861.2799999999997</v>
      </c>
      <c r="O91" s="20">
        <f>SUM(O3:O71)</f>
        <v>1865.7799999999997</v>
      </c>
      <c r="P91" s="20">
        <f>SUM(P3:P71)</f>
        <v>1864.2799999999997</v>
      </c>
      <c r="Q91" s="20">
        <f>SUM(Q3:Q74)</f>
        <v>1869.11</v>
      </c>
      <c r="R91" s="20">
        <f>SUM(R3:R75)</f>
        <v>1870.7799999999997</v>
      </c>
      <c r="S91" s="20">
        <f>SUM(S3:S77)</f>
        <v>1864.2799999999997</v>
      </c>
      <c r="T91" s="20">
        <f>SUM(T3:T79)</f>
        <v>1859.7799999999997</v>
      </c>
      <c r="U91" s="20">
        <f>SUM(U3:U80)</f>
        <v>1856.7799999999997</v>
      </c>
      <c r="V91" s="20">
        <f>SUM(V3:V80)</f>
        <v>1736.78</v>
      </c>
      <c r="W91" s="20">
        <f>SUM(W3:W80)</f>
        <v>1853.7899999999993</v>
      </c>
      <c r="X91" s="20">
        <f>X90-X2</f>
        <v>1868.7799999999997</v>
      </c>
    </row>
    <row r="92" spans="1:24" x14ac:dyDescent="0.35">
      <c r="A92" t="s">
        <v>75</v>
      </c>
      <c r="B92" s="20">
        <f>25*12+83.34*17</f>
        <v>1716.78</v>
      </c>
      <c r="C92" s="20">
        <f>22*25+70.84*17</f>
        <v>1754.28</v>
      </c>
      <c r="D92" s="20">
        <f>20*25+70.84*17</f>
        <v>1704.28</v>
      </c>
      <c r="E92" s="20">
        <f>15*25+77.78*17</f>
        <v>1697.26</v>
      </c>
      <c r="F92" s="20">
        <f>18*25+77.78*17</f>
        <v>1772.26</v>
      </c>
      <c r="G92" s="23">
        <f>17*77.78+25*16</f>
        <v>1722.26</v>
      </c>
      <c r="H92" s="23">
        <f>11*25+84.73*17</f>
        <v>1715.41</v>
      </c>
      <c r="I92" s="23">
        <f>17*25+77.78*17</f>
        <v>1747.26</v>
      </c>
      <c r="J92" s="23">
        <f>10*25+86.12*17</f>
        <v>1714.04</v>
      </c>
      <c r="K92" s="23">
        <f>14*25+83.33*17</f>
        <v>1766.61</v>
      </c>
      <c r="L92" s="23">
        <f>15*25+79.17*17</f>
        <v>1720.89</v>
      </c>
      <c r="M92" s="23">
        <f>17*25+76.39*17</f>
        <v>1723.63</v>
      </c>
      <c r="N92" s="23">
        <f>14*27+88.84*17</f>
        <v>1888.28</v>
      </c>
      <c r="O92" s="23">
        <f>16*27+84.34*17</f>
        <v>1865.78</v>
      </c>
      <c r="P92" s="23">
        <f>15*27+85.84*17</f>
        <v>1864.28</v>
      </c>
      <c r="Q92" s="23">
        <f>17*27+82.83*17</f>
        <v>1867.11</v>
      </c>
      <c r="R92" s="23">
        <f>18*27+82.83*17</f>
        <v>1894.11</v>
      </c>
      <c r="S92" s="23">
        <f>15*27+85.84*17</f>
        <v>1864.28</v>
      </c>
      <c r="T92" s="23">
        <f>12*27+85.84*17</f>
        <v>1783.28</v>
      </c>
      <c r="U92" s="23">
        <f>9*27+85.84*17</f>
        <v>1702.28</v>
      </c>
      <c r="V92" s="23">
        <f>19*27+85.84*17</f>
        <v>1972.28</v>
      </c>
      <c r="W92" s="23">
        <f>7*28+85.84*17.25</f>
        <v>1676.74</v>
      </c>
      <c r="X92" s="23">
        <f>16*27+81.34*13</f>
        <v>1489.42</v>
      </c>
    </row>
    <row r="93" spans="1:24" x14ac:dyDescent="0.35">
      <c r="B93" s="24">
        <f t="shared" ref="B93:G93" si="2">B92/B91</f>
        <v>1.0000660194174757</v>
      </c>
      <c r="C93" s="24">
        <f t="shared" si="2"/>
        <v>1.0144568837897852</v>
      </c>
      <c r="D93" s="24">
        <f t="shared" si="2"/>
        <v>0.97149827849602099</v>
      </c>
      <c r="E93" s="24">
        <f t="shared" si="2"/>
        <v>1</v>
      </c>
      <c r="F93" s="24">
        <f t="shared" si="2"/>
        <v>1</v>
      </c>
      <c r="G93" s="24">
        <f t="shared" si="2"/>
        <v>1.0000000000000002</v>
      </c>
      <c r="H93" s="24">
        <f t="shared" ref="H93:I93" si="3">H92/H91</f>
        <v>1</v>
      </c>
      <c r="I93" s="24">
        <f t="shared" si="3"/>
        <v>1.0145158106209284</v>
      </c>
      <c r="J93" s="24">
        <f t="shared" ref="J93:K93" si="4">J92/J91</f>
        <v>1.0000000000000002</v>
      </c>
      <c r="K93" s="24">
        <f t="shared" si="4"/>
        <v>1.0290892074205538</v>
      </c>
      <c r="L93" s="24">
        <f t="shared" ref="L93:M93" si="5">L92/L91</f>
        <v>1.0616945011691106</v>
      </c>
      <c r="M93" s="24">
        <f t="shared" si="5"/>
        <v>0.99999999999999989</v>
      </c>
      <c r="N93" s="24">
        <f t="shared" ref="N93:O93" si="6">N92/N91</f>
        <v>1.0145061463079172</v>
      </c>
      <c r="O93" s="24">
        <f t="shared" si="6"/>
        <v>1.0000000000000002</v>
      </c>
      <c r="P93" s="24">
        <f t="shared" ref="P93" si="7">P92/P91</f>
        <v>1.0000000000000002</v>
      </c>
      <c r="Q93" s="24">
        <f t="shared" ref="Q93:V93" si="8">Q92/Q91</f>
        <v>0.99892997201876832</v>
      </c>
      <c r="R93" s="24">
        <f t="shared" si="8"/>
        <v>1.0124707341322872</v>
      </c>
      <c r="S93" s="24">
        <f t="shared" si="8"/>
        <v>1.0000000000000002</v>
      </c>
      <c r="T93" s="24">
        <f t="shared" si="8"/>
        <v>0.95886610244222448</v>
      </c>
      <c r="U93" s="24">
        <f>U92/U91</f>
        <v>0.91679143463415169</v>
      </c>
      <c r="V93" s="24">
        <f t="shared" si="8"/>
        <v>1.1355957576664863</v>
      </c>
      <c r="W93" s="24">
        <f t="shared" ref="W93:X93" si="9">W92/W91</f>
        <v>0.90449295767050242</v>
      </c>
      <c r="X93" s="24">
        <f t="shared" si="9"/>
        <v>0.79700125215381168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94"/>
  <sheetViews>
    <sheetView topLeftCell="A268" workbookViewId="0">
      <selection activeCell="C293" sqref="C293:G294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392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392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395</v>
      </c>
      <c r="G271" s="8" t="s">
        <v>392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393</v>
      </c>
      <c r="O272" s="61" t="s">
        <v>401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393</v>
      </c>
      <c r="G273" s="61" t="s">
        <v>401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395</v>
      </c>
      <c r="O273" s="8" t="s">
        <v>392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396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392</v>
      </c>
      <c r="N275" s="2" t="s">
        <v>376</v>
      </c>
      <c r="O275" s="61" t="s">
        <v>393</v>
      </c>
      <c r="P275" s="2" t="s">
        <v>401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392</v>
      </c>
      <c r="F276" s="2" t="s">
        <v>376</v>
      </c>
      <c r="G276" s="61" t="s">
        <v>393</v>
      </c>
      <c r="H276" s="2" t="s">
        <v>401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396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392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392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392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393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393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401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401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392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392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393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393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392</v>
      </c>
      <c r="P285" s="8"/>
    </row>
    <row r="286" spans="1:16" x14ac:dyDescent="0.35">
      <c r="A286" s="1">
        <v>46155</v>
      </c>
      <c r="B286" s="62">
        <v>4</v>
      </c>
      <c r="C286" s="8" t="s">
        <v>9</v>
      </c>
      <c r="D286" s="8" t="s">
        <v>56</v>
      </c>
      <c r="E286" s="8" t="s">
        <v>84</v>
      </c>
      <c r="F286" s="8" t="s">
        <v>376</v>
      </c>
      <c r="G286" s="8" t="s">
        <v>342</v>
      </c>
      <c r="H286" s="8" t="s">
        <v>390</v>
      </c>
      <c r="I286" s="9">
        <v>4</v>
      </c>
      <c r="J286" s="10">
        <v>2</v>
      </c>
      <c r="K286" s="10" t="s">
        <v>1</v>
      </c>
      <c r="L286" s="10" t="s">
        <v>46</v>
      </c>
      <c r="M286" s="10" t="s">
        <v>19</v>
      </c>
      <c r="N286" s="10" t="s">
        <v>367</v>
      </c>
      <c r="O286" s="10" t="s">
        <v>63</v>
      </c>
      <c r="P286" s="10" t="s">
        <v>393</v>
      </c>
    </row>
    <row r="287" spans="1:16" x14ac:dyDescent="0.35">
      <c r="A287" s="1">
        <v>46155</v>
      </c>
      <c r="B287" s="62">
        <v>3</v>
      </c>
      <c r="C287" s="10" t="s">
        <v>1</v>
      </c>
      <c r="D287" s="10" t="s">
        <v>46</v>
      </c>
      <c r="E287" s="10" t="s">
        <v>19</v>
      </c>
      <c r="F287" s="10" t="s">
        <v>367</v>
      </c>
      <c r="G287" s="10" t="s">
        <v>63</v>
      </c>
      <c r="H287" s="10" t="s">
        <v>393</v>
      </c>
      <c r="I287" s="11">
        <v>5</v>
      </c>
      <c r="J287" s="2">
        <v>6</v>
      </c>
      <c r="K287" s="2" t="s">
        <v>82</v>
      </c>
      <c r="L287" s="2" t="s">
        <v>15</v>
      </c>
      <c r="M287" s="2" t="s">
        <v>66</v>
      </c>
      <c r="N287" s="61" t="s">
        <v>12</v>
      </c>
      <c r="O287" s="61" t="s">
        <v>343</v>
      </c>
      <c r="P287" s="2" t="s">
        <v>399</v>
      </c>
    </row>
    <row r="288" spans="1:16" x14ac:dyDescent="0.35">
      <c r="A288" s="1">
        <v>46155</v>
      </c>
      <c r="B288" s="62">
        <v>4</v>
      </c>
      <c r="C288" s="2" t="s">
        <v>82</v>
      </c>
      <c r="D288" s="2" t="s">
        <v>15</v>
      </c>
      <c r="E288" s="2" t="s">
        <v>66</v>
      </c>
      <c r="F288" s="61" t="s">
        <v>12</v>
      </c>
      <c r="G288" s="61" t="s">
        <v>343</v>
      </c>
      <c r="H288" s="2" t="s">
        <v>399</v>
      </c>
      <c r="I288" s="5">
        <v>4</v>
      </c>
      <c r="J288" s="8">
        <v>4</v>
      </c>
      <c r="K288" s="8" t="s">
        <v>9</v>
      </c>
      <c r="L288" s="8" t="s">
        <v>56</v>
      </c>
      <c r="M288" s="8" t="s">
        <v>84</v>
      </c>
      <c r="N288" s="8" t="s">
        <v>376</v>
      </c>
      <c r="O288" s="8" t="s">
        <v>342</v>
      </c>
      <c r="P288" s="8" t="s">
        <v>390</v>
      </c>
    </row>
    <row r="289" spans="1:16" x14ac:dyDescent="0.35">
      <c r="A289" s="1">
        <v>46162</v>
      </c>
      <c r="B289" s="62">
        <v>5</v>
      </c>
      <c r="C289" s="8" t="s">
        <v>1</v>
      </c>
      <c r="D289" s="8" t="s">
        <v>56</v>
      </c>
      <c r="E289" s="8" t="s">
        <v>19</v>
      </c>
      <c r="F289" s="8" t="s">
        <v>46</v>
      </c>
      <c r="G289" s="8" t="s">
        <v>401</v>
      </c>
      <c r="H289" s="8"/>
      <c r="I289" s="9">
        <v>5</v>
      </c>
      <c r="J289" s="10">
        <v>4</v>
      </c>
      <c r="K289" s="10" t="s">
        <v>9</v>
      </c>
      <c r="L289" s="10" t="s">
        <v>66</v>
      </c>
      <c r="M289" s="10" t="s">
        <v>400</v>
      </c>
      <c r="N289" s="10" t="s">
        <v>393</v>
      </c>
      <c r="O289" s="10" t="s">
        <v>52</v>
      </c>
      <c r="P289" s="10"/>
    </row>
    <row r="290" spans="1:16" x14ac:dyDescent="0.35">
      <c r="A290" s="1">
        <v>46162</v>
      </c>
      <c r="B290" s="62">
        <v>4</v>
      </c>
      <c r="C290" s="10" t="s">
        <v>9</v>
      </c>
      <c r="D290" s="10" t="s">
        <v>66</v>
      </c>
      <c r="E290" s="10" t="s">
        <v>400</v>
      </c>
      <c r="F290" s="10" t="s">
        <v>393</v>
      </c>
      <c r="G290" s="10" t="s">
        <v>52</v>
      </c>
      <c r="H290" s="10"/>
      <c r="I290" s="11">
        <v>5</v>
      </c>
      <c r="J290" s="2">
        <v>6</v>
      </c>
      <c r="K290" s="2" t="s">
        <v>10</v>
      </c>
      <c r="L290" s="2" t="s">
        <v>15</v>
      </c>
      <c r="M290" s="2" t="s">
        <v>2</v>
      </c>
      <c r="N290" s="61" t="s">
        <v>22</v>
      </c>
      <c r="O290" s="61"/>
      <c r="P290" s="2"/>
    </row>
    <row r="291" spans="1:16" x14ac:dyDescent="0.35">
      <c r="A291" s="1">
        <v>46162</v>
      </c>
      <c r="B291" s="62">
        <v>6</v>
      </c>
      <c r="C291" s="2" t="s">
        <v>10</v>
      </c>
      <c r="D291" s="2" t="s">
        <v>15</v>
      </c>
      <c r="E291" s="2" t="s">
        <v>2</v>
      </c>
      <c r="F291" s="61" t="s">
        <v>22</v>
      </c>
      <c r="G291" s="61"/>
      <c r="H291" s="2"/>
      <c r="I291" s="5">
        <v>8</v>
      </c>
      <c r="J291" s="8">
        <v>7</v>
      </c>
      <c r="K291" s="8" t="s">
        <v>1</v>
      </c>
      <c r="L291" s="8" t="s">
        <v>56</v>
      </c>
      <c r="M291" s="8" t="s">
        <v>19</v>
      </c>
      <c r="N291" s="8" t="s">
        <v>46</v>
      </c>
      <c r="O291" s="8" t="s">
        <v>401</v>
      </c>
      <c r="P291" s="8"/>
    </row>
    <row r="292" spans="1:16" x14ac:dyDescent="0.35">
      <c r="A292" s="1">
        <v>46169</v>
      </c>
      <c r="B292" s="62">
        <v>5</v>
      </c>
      <c r="C292" s="8" t="s">
        <v>1</v>
      </c>
      <c r="D292" s="8" t="s">
        <v>10</v>
      </c>
      <c r="E292" s="8" t="s">
        <v>82</v>
      </c>
      <c r="F292" s="8" t="s">
        <v>2</v>
      </c>
      <c r="G292" s="8" t="s">
        <v>46</v>
      </c>
      <c r="H292" s="8"/>
      <c r="I292" s="9">
        <v>3</v>
      </c>
      <c r="J292" s="10">
        <v>7</v>
      </c>
      <c r="K292" s="10" t="s">
        <v>19</v>
      </c>
      <c r="L292" s="10" t="s">
        <v>56</v>
      </c>
      <c r="M292" s="10" t="s">
        <v>63</v>
      </c>
      <c r="N292" s="10" t="s">
        <v>22</v>
      </c>
      <c r="O292" s="10" t="s">
        <v>401</v>
      </c>
      <c r="P292" s="10"/>
    </row>
    <row r="293" spans="1:16" x14ac:dyDescent="0.35">
      <c r="A293" s="1">
        <v>46169</v>
      </c>
      <c r="B293" s="62">
        <v>4</v>
      </c>
      <c r="C293" s="10" t="s">
        <v>19</v>
      </c>
      <c r="D293" s="10" t="s">
        <v>56</v>
      </c>
      <c r="E293" s="10" t="s">
        <v>63</v>
      </c>
      <c r="F293" s="10" t="s">
        <v>22</v>
      </c>
      <c r="G293" s="10" t="s">
        <v>401</v>
      </c>
      <c r="H293" s="10"/>
      <c r="I293" s="11">
        <v>5</v>
      </c>
      <c r="J293" s="2">
        <v>2</v>
      </c>
      <c r="K293" s="2" t="s">
        <v>14</v>
      </c>
      <c r="L293" s="2" t="s">
        <v>84</v>
      </c>
      <c r="M293" s="2" t="s">
        <v>20</v>
      </c>
      <c r="N293" s="61" t="s">
        <v>343</v>
      </c>
      <c r="O293" s="61" t="s">
        <v>392</v>
      </c>
      <c r="P293" s="2"/>
    </row>
    <row r="294" spans="1:16" x14ac:dyDescent="0.35">
      <c r="A294" s="1">
        <v>46169</v>
      </c>
      <c r="B294" s="62">
        <v>2</v>
      </c>
      <c r="C294" s="2" t="s">
        <v>14</v>
      </c>
      <c r="D294" s="2" t="s">
        <v>84</v>
      </c>
      <c r="E294" s="2" t="s">
        <v>20</v>
      </c>
      <c r="F294" s="61" t="s">
        <v>343</v>
      </c>
      <c r="G294" s="61" t="s">
        <v>392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82</v>
      </c>
      <c r="N294" s="8" t="s">
        <v>2</v>
      </c>
      <c r="O294" s="8" t="s">
        <v>46</v>
      </c>
      <c r="P294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D90"/>
  <sheetViews>
    <sheetView topLeftCell="A48" zoomScaleNormal="100" workbookViewId="0">
      <pane xSplit="1" topLeftCell="BU1" activePane="topRight" state="frozen"/>
      <selection pane="topRight" activeCell="CC73" sqref="CC73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82" width="10.453125" bestFit="1" customWidth="1"/>
  </cols>
  <sheetData>
    <row r="1" spans="1:82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</row>
    <row r="2" spans="1:82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</row>
    <row r="3" spans="1:82" x14ac:dyDescent="0.35">
      <c r="A3" t="s">
        <v>24</v>
      </c>
      <c r="BO3">
        <v>2</v>
      </c>
    </row>
    <row r="4" spans="1:82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82" hidden="1" x14ac:dyDescent="0.35">
      <c r="A5" t="s">
        <v>365</v>
      </c>
    </row>
    <row r="6" spans="1:82" x14ac:dyDescent="0.35">
      <c r="A6" t="s">
        <v>77</v>
      </c>
      <c r="G6">
        <v>3</v>
      </c>
    </row>
    <row r="7" spans="1:82" x14ac:dyDescent="0.35">
      <c r="A7" t="s">
        <v>392</v>
      </c>
      <c r="BW7">
        <v>2</v>
      </c>
      <c r="BX7">
        <v>9</v>
      </c>
      <c r="BY7">
        <v>4</v>
      </c>
      <c r="BZ7">
        <v>1</v>
      </c>
      <c r="CA7">
        <v>3</v>
      </c>
    </row>
    <row r="8" spans="1:82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82" x14ac:dyDescent="0.35">
      <c r="A9" t="s">
        <v>7</v>
      </c>
      <c r="K9">
        <v>1</v>
      </c>
    </row>
    <row r="10" spans="1:82" x14ac:dyDescent="0.35">
      <c r="A10" t="s">
        <v>353</v>
      </c>
      <c r="G10">
        <v>1</v>
      </c>
    </row>
    <row r="11" spans="1:82" hidden="1" x14ac:dyDescent="0.35">
      <c r="A11" t="s">
        <v>347</v>
      </c>
    </row>
    <row r="12" spans="1:82" x14ac:dyDescent="0.35">
      <c r="A12" t="s">
        <v>48</v>
      </c>
    </row>
    <row r="13" spans="1:82" x14ac:dyDescent="0.35">
      <c r="A13" t="s">
        <v>396</v>
      </c>
      <c r="BX13">
        <v>2</v>
      </c>
    </row>
    <row r="14" spans="1:82" x14ac:dyDescent="0.35">
      <c r="A14" t="s">
        <v>401</v>
      </c>
      <c r="BW14">
        <v>1</v>
      </c>
      <c r="CC14">
        <v>3</v>
      </c>
      <c r="CD14">
        <v>1</v>
      </c>
    </row>
    <row r="15" spans="1:82" x14ac:dyDescent="0.35">
      <c r="A15" t="s">
        <v>382</v>
      </c>
    </row>
    <row r="16" spans="1:82" x14ac:dyDescent="0.35">
      <c r="A16" t="s">
        <v>362</v>
      </c>
      <c r="BK16">
        <v>1</v>
      </c>
    </row>
    <row r="17" spans="1:82" hidden="1" x14ac:dyDescent="0.35">
      <c r="A17" t="s">
        <v>18</v>
      </c>
    </row>
    <row r="18" spans="1:82" x14ac:dyDescent="0.35">
      <c r="A18" t="s">
        <v>25</v>
      </c>
      <c r="C18">
        <v>1</v>
      </c>
      <c r="E18">
        <v>1</v>
      </c>
      <c r="G18">
        <v>1</v>
      </c>
      <c r="J18">
        <v>3</v>
      </c>
      <c r="K18">
        <v>3</v>
      </c>
      <c r="M18">
        <v>1</v>
      </c>
      <c r="R18">
        <v>1</v>
      </c>
      <c r="V18">
        <v>1</v>
      </c>
      <c r="AE18">
        <v>1</v>
      </c>
      <c r="AF18">
        <v>1</v>
      </c>
      <c r="AH18">
        <v>2</v>
      </c>
      <c r="AT18">
        <v>1</v>
      </c>
      <c r="BA18">
        <v>1</v>
      </c>
      <c r="BH18">
        <v>1</v>
      </c>
      <c r="BM18">
        <v>1</v>
      </c>
    </row>
    <row r="19" spans="1:82" x14ac:dyDescent="0.35">
      <c r="A19" t="s">
        <v>14</v>
      </c>
      <c r="E19">
        <v>1</v>
      </c>
      <c r="F19">
        <v>1</v>
      </c>
      <c r="J19">
        <v>1</v>
      </c>
      <c r="P19">
        <v>1</v>
      </c>
      <c r="S19">
        <v>1</v>
      </c>
      <c r="W19">
        <v>1</v>
      </c>
      <c r="Z19">
        <v>2</v>
      </c>
      <c r="AA19">
        <v>0.5</v>
      </c>
      <c r="AK19">
        <v>1</v>
      </c>
      <c r="AR19">
        <v>2</v>
      </c>
      <c r="AX19">
        <v>1</v>
      </c>
      <c r="CD19">
        <v>2</v>
      </c>
    </row>
    <row r="20" spans="1:82" x14ac:dyDescent="0.35">
      <c r="A20" t="s">
        <v>378</v>
      </c>
      <c r="BL20">
        <v>1</v>
      </c>
      <c r="BR20">
        <v>1</v>
      </c>
      <c r="BX20">
        <v>2</v>
      </c>
    </row>
    <row r="21" spans="1:82" x14ac:dyDescent="0.35">
      <c r="A21" t="s">
        <v>54</v>
      </c>
      <c r="C21">
        <v>2</v>
      </c>
      <c r="D21">
        <v>3</v>
      </c>
      <c r="V21">
        <v>2</v>
      </c>
    </row>
    <row r="22" spans="1:82" x14ac:dyDescent="0.35">
      <c r="A22" t="s">
        <v>66</v>
      </c>
      <c r="D22">
        <v>2</v>
      </c>
      <c r="I22">
        <v>3</v>
      </c>
      <c r="J22">
        <v>1</v>
      </c>
      <c r="T22">
        <v>1</v>
      </c>
      <c r="W22">
        <v>1</v>
      </c>
      <c r="X22">
        <v>1</v>
      </c>
      <c r="Y22">
        <v>1</v>
      </c>
      <c r="Z22">
        <v>1</v>
      </c>
      <c r="AA22">
        <v>1</v>
      </c>
      <c r="AC22">
        <v>1</v>
      </c>
      <c r="AD22">
        <v>1</v>
      </c>
      <c r="AH22">
        <v>1</v>
      </c>
      <c r="AI22">
        <v>1</v>
      </c>
      <c r="BA22">
        <v>3</v>
      </c>
      <c r="BG22">
        <v>1</v>
      </c>
      <c r="BP22">
        <v>1</v>
      </c>
      <c r="BU22">
        <v>2</v>
      </c>
      <c r="CB22">
        <v>1</v>
      </c>
      <c r="CC22">
        <v>2</v>
      </c>
    </row>
    <row r="23" spans="1:82" x14ac:dyDescent="0.35">
      <c r="A23" t="s">
        <v>84</v>
      </c>
      <c r="I23">
        <v>2</v>
      </c>
      <c r="J23">
        <v>1</v>
      </c>
      <c r="L23">
        <v>3</v>
      </c>
      <c r="N23">
        <v>2</v>
      </c>
      <c r="O23">
        <v>2</v>
      </c>
      <c r="P23">
        <v>1</v>
      </c>
      <c r="S23">
        <v>2</v>
      </c>
      <c r="V23">
        <v>4</v>
      </c>
      <c r="W23">
        <v>6</v>
      </c>
      <c r="X23">
        <v>3</v>
      </c>
      <c r="AB23">
        <v>1</v>
      </c>
      <c r="AC23">
        <v>2</v>
      </c>
      <c r="AD23">
        <v>3</v>
      </c>
      <c r="AE23">
        <v>1</v>
      </c>
      <c r="AH23">
        <v>4</v>
      </c>
      <c r="AI23">
        <v>5</v>
      </c>
      <c r="AK23">
        <v>1</v>
      </c>
      <c r="AL23">
        <v>1</v>
      </c>
      <c r="AN23">
        <v>2</v>
      </c>
      <c r="AU23">
        <v>4</v>
      </c>
      <c r="AV23">
        <v>1</v>
      </c>
      <c r="AX23">
        <v>1</v>
      </c>
      <c r="BH23">
        <v>1</v>
      </c>
      <c r="BI23">
        <v>2</v>
      </c>
      <c r="BK23">
        <v>2</v>
      </c>
      <c r="BQ23">
        <v>2</v>
      </c>
      <c r="BR23">
        <v>3</v>
      </c>
      <c r="BU23">
        <v>1</v>
      </c>
      <c r="BV23">
        <v>1</v>
      </c>
      <c r="CA23">
        <v>1</v>
      </c>
    </row>
    <row r="24" spans="1:82" x14ac:dyDescent="0.35">
      <c r="A24" t="s">
        <v>391</v>
      </c>
      <c r="BP24">
        <v>2</v>
      </c>
    </row>
    <row r="25" spans="1:82" x14ac:dyDescent="0.35">
      <c r="A25" t="s">
        <v>15</v>
      </c>
      <c r="F25">
        <v>1</v>
      </c>
      <c r="H25">
        <v>2</v>
      </c>
      <c r="I25">
        <v>1</v>
      </c>
      <c r="AK25">
        <v>1</v>
      </c>
      <c r="AL25">
        <v>4</v>
      </c>
      <c r="AO25">
        <v>2</v>
      </c>
      <c r="AR25">
        <v>3</v>
      </c>
      <c r="AS25">
        <v>2</v>
      </c>
      <c r="AT25">
        <v>1</v>
      </c>
      <c r="AY25">
        <v>1</v>
      </c>
      <c r="BE25">
        <v>2</v>
      </c>
      <c r="BF25">
        <v>1</v>
      </c>
      <c r="BI25">
        <v>2</v>
      </c>
      <c r="BR25">
        <v>1</v>
      </c>
      <c r="BS25">
        <v>1</v>
      </c>
      <c r="BT25">
        <v>3</v>
      </c>
      <c r="BU25">
        <v>1</v>
      </c>
      <c r="BW25">
        <v>1</v>
      </c>
      <c r="BX25">
        <v>2</v>
      </c>
      <c r="CB25">
        <v>3</v>
      </c>
      <c r="CC25">
        <v>1</v>
      </c>
    </row>
    <row r="26" spans="1:82" x14ac:dyDescent="0.35">
      <c r="A26" t="s">
        <v>375</v>
      </c>
      <c r="AW26">
        <v>1</v>
      </c>
    </row>
    <row r="27" spans="1:82" x14ac:dyDescent="0.35">
      <c r="A27" t="s">
        <v>6</v>
      </c>
      <c r="B27">
        <v>3</v>
      </c>
      <c r="E27">
        <v>2</v>
      </c>
      <c r="H27">
        <v>1</v>
      </c>
      <c r="L27">
        <v>2</v>
      </c>
      <c r="M27">
        <v>2</v>
      </c>
      <c r="N27">
        <v>6</v>
      </c>
      <c r="O27">
        <v>1</v>
      </c>
      <c r="Q27">
        <v>3</v>
      </c>
      <c r="R27">
        <v>1</v>
      </c>
      <c r="S27">
        <v>1</v>
      </c>
      <c r="T27">
        <v>3</v>
      </c>
      <c r="U27">
        <v>3</v>
      </c>
      <c r="V27">
        <v>6</v>
      </c>
      <c r="W27">
        <v>2</v>
      </c>
      <c r="X27">
        <v>3</v>
      </c>
      <c r="Y27">
        <v>1</v>
      </c>
      <c r="Z27">
        <v>3.5</v>
      </c>
      <c r="AA27">
        <v>3.5</v>
      </c>
      <c r="AB27">
        <v>3</v>
      </c>
      <c r="AC27">
        <v>1</v>
      </c>
      <c r="AE27">
        <v>10</v>
      </c>
      <c r="AF27">
        <v>3</v>
      </c>
      <c r="AG27">
        <v>3</v>
      </c>
      <c r="AH27">
        <v>2</v>
      </c>
      <c r="AJ27">
        <v>3</v>
      </c>
      <c r="AK27">
        <v>3</v>
      </c>
      <c r="AL27">
        <v>5</v>
      </c>
      <c r="AN27">
        <v>1</v>
      </c>
      <c r="AO27">
        <v>6</v>
      </c>
      <c r="AP27">
        <v>4</v>
      </c>
      <c r="AQ27">
        <v>3</v>
      </c>
      <c r="AR27">
        <v>4</v>
      </c>
      <c r="AS27">
        <v>2</v>
      </c>
      <c r="AT27">
        <v>4</v>
      </c>
      <c r="AU27">
        <v>4</v>
      </c>
      <c r="AV27">
        <v>6</v>
      </c>
      <c r="AW27">
        <v>1</v>
      </c>
      <c r="AY27">
        <v>4</v>
      </c>
      <c r="AZ27">
        <v>1</v>
      </c>
      <c r="BA27">
        <v>3</v>
      </c>
      <c r="BC27">
        <v>5</v>
      </c>
      <c r="BD27">
        <v>2</v>
      </c>
      <c r="BE27">
        <v>3</v>
      </c>
      <c r="BF27">
        <v>3</v>
      </c>
      <c r="BG27">
        <v>3</v>
      </c>
      <c r="BH27">
        <v>1</v>
      </c>
      <c r="BI27">
        <v>5</v>
      </c>
      <c r="BJ27">
        <v>1</v>
      </c>
      <c r="BK27">
        <v>1</v>
      </c>
      <c r="BL27">
        <v>2</v>
      </c>
    </row>
    <row r="28" spans="1:82" x14ac:dyDescent="0.35">
      <c r="A28" t="s">
        <v>342</v>
      </c>
      <c r="T28">
        <v>4</v>
      </c>
      <c r="AH28">
        <v>1</v>
      </c>
      <c r="AK28">
        <v>1</v>
      </c>
      <c r="BQ28">
        <v>2</v>
      </c>
      <c r="BV28">
        <v>2</v>
      </c>
    </row>
    <row r="29" spans="1:82" x14ac:dyDescent="0.35">
      <c r="A29" t="s">
        <v>52</v>
      </c>
      <c r="CC29">
        <v>1</v>
      </c>
    </row>
    <row r="30" spans="1:82" x14ac:dyDescent="0.35">
      <c r="A30" t="s">
        <v>388</v>
      </c>
    </row>
    <row r="31" spans="1:82" x14ac:dyDescent="0.35">
      <c r="A31" t="s">
        <v>400</v>
      </c>
      <c r="CC31">
        <v>1</v>
      </c>
    </row>
    <row r="32" spans="1:82" x14ac:dyDescent="0.35">
      <c r="A32" t="s">
        <v>12</v>
      </c>
      <c r="N32">
        <v>2</v>
      </c>
      <c r="U32">
        <v>1</v>
      </c>
      <c r="AI32">
        <v>1</v>
      </c>
    </row>
    <row r="33" spans="1:82" x14ac:dyDescent="0.35">
      <c r="A33" t="s">
        <v>4</v>
      </c>
      <c r="E33">
        <v>1</v>
      </c>
      <c r="F33">
        <v>3</v>
      </c>
      <c r="H33">
        <v>1</v>
      </c>
      <c r="J33">
        <v>1</v>
      </c>
      <c r="K33">
        <v>3</v>
      </c>
      <c r="P33">
        <v>3</v>
      </c>
      <c r="U33">
        <v>3</v>
      </c>
      <c r="W33">
        <v>1</v>
      </c>
      <c r="AD33">
        <v>1</v>
      </c>
      <c r="AF33">
        <v>1</v>
      </c>
      <c r="AH33">
        <v>1</v>
      </c>
      <c r="AI33">
        <v>1</v>
      </c>
      <c r="AJ33">
        <v>2</v>
      </c>
      <c r="AO33">
        <v>2</v>
      </c>
      <c r="AP33">
        <v>2</v>
      </c>
      <c r="AQ33">
        <v>4</v>
      </c>
      <c r="AR33">
        <v>2</v>
      </c>
      <c r="AT33">
        <v>1</v>
      </c>
      <c r="AU33">
        <v>2</v>
      </c>
      <c r="AV33">
        <v>1</v>
      </c>
      <c r="AW33">
        <v>1</v>
      </c>
      <c r="AX33">
        <v>1</v>
      </c>
      <c r="AZ33">
        <v>2</v>
      </c>
      <c r="BA33">
        <v>2</v>
      </c>
      <c r="BB33">
        <v>1</v>
      </c>
      <c r="BD33">
        <v>2</v>
      </c>
      <c r="BE33">
        <v>3</v>
      </c>
      <c r="BF33">
        <v>1</v>
      </c>
      <c r="BG33">
        <v>1</v>
      </c>
      <c r="BJ33">
        <v>1</v>
      </c>
      <c r="BK33">
        <v>1</v>
      </c>
      <c r="BL33">
        <v>1</v>
      </c>
      <c r="BM33">
        <v>2</v>
      </c>
    </row>
    <row r="34" spans="1:82" x14ac:dyDescent="0.35">
      <c r="A34" t="s">
        <v>361</v>
      </c>
      <c r="AD34">
        <v>2</v>
      </c>
      <c r="AM34">
        <v>1</v>
      </c>
      <c r="AU34">
        <v>1</v>
      </c>
      <c r="BF34">
        <v>3</v>
      </c>
    </row>
    <row r="35" spans="1:82" x14ac:dyDescent="0.35">
      <c r="A35" t="s">
        <v>389</v>
      </c>
      <c r="BO35">
        <v>3</v>
      </c>
    </row>
    <row r="36" spans="1:82" x14ac:dyDescent="0.35">
      <c r="A36" t="s">
        <v>1</v>
      </c>
      <c r="B36">
        <v>1</v>
      </c>
      <c r="C36">
        <v>1</v>
      </c>
      <c r="D36">
        <v>1</v>
      </c>
      <c r="E36">
        <v>1</v>
      </c>
      <c r="F36">
        <v>2</v>
      </c>
      <c r="I36">
        <v>2</v>
      </c>
      <c r="J36">
        <v>1</v>
      </c>
      <c r="K36">
        <v>2</v>
      </c>
      <c r="L36">
        <v>1</v>
      </c>
      <c r="M36">
        <v>2</v>
      </c>
      <c r="N36">
        <v>1</v>
      </c>
      <c r="O36">
        <v>1</v>
      </c>
      <c r="P36">
        <v>2</v>
      </c>
      <c r="R36">
        <v>1</v>
      </c>
      <c r="T36">
        <v>1</v>
      </c>
      <c r="U36">
        <v>2</v>
      </c>
      <c r="Y36">
        <v>2</v>
      </c>
      <c r="AB36">
        <v>2</v>
      </c>
      <c r="AD36">
        <v>1</v>
      </c>
      <c r="AH36">
        <v>1</v>
      </c>
      <c r="AJ36">
        <v>1</v>
      </c>
      <c r="AN36">
        <v>2</v>
      </c>
      <c r="AO36">
        <v>1</v>
      </c>
      <c r="AP36">
        <v>2</v>
      </c>
      <c r="AQ36">
        <v>1</v>
      </c>
      <c r="AS36">
        <v>2</v>
      </c>
      <c r="AW36">
        <v>1</v>
      </c>
      <c r="AX36">
        <v>1</v>
      </c>
      <c r="AY36">
        <v>2</v>
      </c>
      <c r="AZ36">
        <v>2</v>
      </c>
      <c r="BA36">
        <v>1</v>
      </c>
      <c r="BB36">
        <v>2</v>
      </c>
      <c r="BC36">
        <v>4</v>
      </c>
      <c r="BD36">
        <v>1</v>
      </c>
      <c r="BE36">
        <v>1</v>
      </c>
      <c r="BG36">
        <v>2</v>
      </c>
      <c r="BH36">
        <v>3</v>
      </c>
      <c r="BJ36">
        <v>1</v>
      </c>
      <c r="BM36">
        <v>3</v>
      </c>
      <c r="BN36">
        <v>1</v>
      </c>
      <c r="BP36">
        <v>1</v>
      </c>
      <c r="BR36">
        <v>3</v>
      </c>
      <c r="BV36">
        <v>1</v>
      </c>
      <c r="BW36">
        <v>4</v>
      </c>
      <c r="BX36">
        <v>2</v>
      </c>
      <c r="CB36">
        <v>1</v>
      </c>
      <c r="CC36">
        <v>1</v>
      </c>
    </row>
    <row r="37" spans="1:82" hidden="1" x14ac:dyDescent="0.35">
      <c r="A37" t="s">
        <v>351</v>
      </c>
      <c r="Z37">
        <v>1</v>
      </c>
      <c r="CB37">
        <v>4</v>
      </c>
    </row>
    <row r="38" spans="1:82" x14ac:dyDescent="0.35">
      <c r="A38" t="s">
        <v>9</v>
      </c>
      <c r="C38">
        <v>1</v>
      </c>
      <c r="D38">
        <v>1</v>
      </c>
      <c r="G38">
        <v>2</v>
      </c>
      <c r="H38">
        <v>2</v>
      </c>
      <c r="I38">
        <v>1</v>
      </c>
      <c r="J38">
        <v>1</v>
      </c>
      <c r="K38">
        <v>2</v>
      </c>
      <c r="L38">
        <v>5</v>
      </c>
      <c r="M38">
        <v>1</v>
      </c>
      <c r="O38">
        <v>4</v>
      </c>
      <c r="P38">
        <v>1</v>
      </c>
      <c r="Q38">
        <v>2</v>
      </c>
      <c r="T38">
        <v>6</v>
      </c>
      <c r="X38">
        <v>2</v>
      </c>
      <c r="Y38">
        <v>2</v>
      </c>
      <c r="Z38">
        <v>1</v>
      </c>
      <c r="AA38">
        <v>1</v>
      </c>
      <c r="AB38">
        <v>1</v>
      </c>
      <c r="AC38">
        <v>3</v>
      </c>
      <c r="AF38">
        <v>4</v>
      </c>
      <c r="AI38">
        <v>1</v>
      </c>
      <c r="AL38">
        <v>1</v>
      </c>
      <c r="AN38">
        <v>1</v>
      </c>
      <c r="AR38">
        <v>2</v>
      </c>
      <c r="AS38">
        <v>3</v>
      </c>
      <c r="AT38">
        <v>1</v>
      </c>
      <c r="AW38">
        <v>2</v>
      </c>
      <c r="AX38">
        <v>5</v>
      </c>
      <c r="AY38">
        <v>3</v>
      </c>
      <c r="AZ38">
        <v>1</v>
      </c>
      <c r="BA38">
        <v>3</v>
      </c>
      <c r="BB38">
        <v>2</v>
      </c>
      <c r="BD38">
        <v>3</v>
      </c>
      <c r="BF38">
        <v>3</v>
      </c>
      <c r="BG38">
        <v>4</v>
      </c>
      <c r="BH38">
        <v>3</v>
      </c>
      <c r="BI38">
        <v>2</v>
      </c>
      <c r="BJ38">
        <v>1</v>
      </c>
      <c r="BL38">
        <v>1</v>
      </c>
      <c r="BM38">
        <v>2</v>
      </c>
      <c r="BN38">
        <v>1</v>
      </c>
      <c r="BP38">
        <v>1</v>
      </c>
      <c r="BQ38">
        <v>2</v>
      </c>
      <c r="BR38">
        <v>3</v>
      </c>
      <c r="BS38">
        <v>2</v>
      </c>
      <c r="BV38">
        <v>5</v>
      </c>
      <c r="BW38">
        <v>4</v>
      </c>
      <c r="BY38">
        <v>1</v>
      </c>
      <c r="BZ38">
        <v>3</v>
      </c>
      <c r="CB38">
        <v>4</v>
      </c>
      <c r="CC38">
        <v>2</v>
      </c>
    </row>
    <row r="39" spans="1:82" x14ac:dyDescent="0.35">
      <c r="A39" t="s">
        <v>393</v>
      </c>
      <c r="BW39">
        <v>1</v>
      </c>
      <c r="BZ39">
        <v>2</v>
      </c>
      <c r="CA39">
        <v>5</v>
      </c>
      <c r="CC39">
        <v>1</v>
      </c>
    </row>
    <row r="40" spans="1:82" x14ac:dyDescent="0.35">
      <c r="A40" t="s">
        <v>381</v>
      </c>
      <c r="BG40">
        <v>2</v>
      </c>
    </row>
    <row r="41" spans="1:82" x14ac:dyDescent="0.35">
      <c r="A41" t="s">
        <v>20</v>
      </c>
      <c r="B41">
        <v>1</v>
      </c>
      <c r="D41">
        <v>1</v>
      </c>
      <c r="F41">
        <v>2</v>
      </c>
      <c r="G41">
        <v>2</v>
      </c>
      <c r="H41">
        <v>4</v>
      </c>
      <c r="J41">
        <v>2</v>
      </c>
      <c r="K41">
        <v>2</v>
      </c>
      <c r="L41">
        <v>1</v>
      </c>
      <c r="M41">
        <v>1</v>
      </c>
      <c r="P41">
        <v>1</v>
      </c>
      <c r="Q41">
        <v>1</v>
      </c>
      <c r="R41">
        <v>3</v>
      </c>
      <c r="S41">
        <v>2</v>
      </c>
      <c r="T41">
        <v>2</v>
      </c>
      <c r="U41">
        <v>2</v>
      </c>
      <c r="W41">
        <v>3</v>
      </c>
      <c r="X41">
        <v>3</v>
      </c>
      <c r="Y41">
        <v>2</v>
      </c>
      <c r="AA41">
        <v>2</v>
      </c>
      <c r="AB41">
        <v>2</v>
      </c>
      <c r="AC41">
        <v>2</v>
      </c>
      <c r="AE41">
        <v>2</v>
      </c>
      <c r="AF41">
        <v>1</v>
      </c>
      <c r="AG41">
        <v>2</v>
      </c>
      <c r="AJ41">
        <v>4</v>
      </c>
      <c r="AK41">
        <v>2</v>
      </c>
      <c r="AM41">
        <v>1</v>
      </c>
      <c r="AN41">
        <v>1</v>
      </c>
      <c r="AO41">
        <v>1</v>
      </c>
      <c r="AP41">
        <v>1</v>
      </c>
      <c r="AU41">
        <v>1</v>
      </c>
      <c r="AV41">
        <v>1</v>
      </c>
      <c r="AW41">
        <v>2</v>
      </c>
      <c r="BA41">
        <v>1</v>
      </c>
      <c r="BH41">
        <v>2</v>
      </c>
      <c r="BJ41">
        <v>2</v>
      </c>
      <c r="BK41">
        <v>3</v>
      </c>
      <c r="BP41">
        <v>2</v>
      </c>
    </row>
    <row r="42" spans="1:82" x14ac:dyDescent="0.35">
      <c r="A42" t="s">
        <v>395</v>
      </c>
    </row>
    <row r="43" spans="1:82" x14ac:dyDescent="0.35">
      <c r="A43" t="s">
        <v>80</v>
      </c>
      <c r="F43">
        <v>1</v>
      </c>
    </row>
    <row r="44" spans="1:82" hidden="1" x14ac:dyDescent="0.35">
      <c r="A44" t="s">
        <v>61</v>
      </c>
      <c r="D44">
        <v>1</v>
      </c>
    </row>
    <row r="45" spans="1:82" x14ac:dyDescent="0.35">
      <c r="A45" t="s">
        <v>374</v>
      </c>
      <c r="AW45">
        <v>2</v>
      </c>
    </row>
    <row r="46" spans="1:82" x14ac:dyDescent="0.35">
      <c r="A46" t="s">
        <v>19</v>
      </c>
      <c r="B46">
        <v>2</v>
      </c>
      <c r="C46">
        <v>1</v>
      </c>
      <c r="D46">
        <v>1</v>
      </c>
      <c r="F46">
        <v>4</v>
      </c>
      <c r="G46">
        <v>3</v>
      </c>
      <c r="H46">
        <v>1</v>
      </c>
      <c r="I46">
        <v>1</v>
      </c>
      <c r="M46">
        <v>2</v>
      </c>
      <c r="N46">
        <v>3</v>
      </c>
      <c r="T46">
        <v>1</v>
      </c>
      <c r="X46">
        <v>1</v>
      </c>
      <c r="AA46">
        <v>2</v>
      </c>
      <c r="AB46">
        <v>2</v>
      </c>
      <c r="AC46">
        <v>1</v>
      </c>
      <c r="AD46">
        <v>2</v>
      </c>
      <c r="AE46">
        <v>1</v>
      </c>
      <c r="AG46">
        <v>1</v>
      </c>
      <c r="AH46">
        <v>2</v>
      </c>
      <c r="AJ46">
        <v>1</v>
      </c>
      <c r="AM46">
        <v>4</v>
      </c>
      <c r="AN46">
        <v>1</v>
      </c>
      <c r="AP46">
        <v>1</v>
      </c>
      <c r="AR46">
        <v>1</v>
      </c>
      <c r="AS46">
        <v>1</v>
      </c>
      <c r="AT46">
        <v>1</v>
      </c>
      <c r="AV46">
        <v>1</v>
      </c>
      <c r="AZ46">
        <v>2</v>
      </c>
      <c r="BA46">
        <v>1</v>
      </c>
      <c r="BC46">
        <v>3</v>
      </c>
      <c r="BD46">
        <v>1</v>
      </c>
      <c r="BI46">
        <v>1</v>
      </c>
      <c r="BJ46">
        <v>1</v>
      </c>
      <c r="BK46">
        <v>3</v>
      </c>
      <c r="BL46">
        <v>2</v>
      </c>
      <c r="BM46">
        <v>5</v>
      </c>
      <c r="BO46">
        <v>1</v>
      </c>
      <c r="BP46">
        <v>3</v>
      </c>
      <c r="BQ46">
        <v>3</v>
      </c>
      <c r="BS46">
        <v>1</v>
      </c>
      <c r="BX46">
        <v>3</v>
      </c>
      <c r="BY46">
        <v>5</v>
      </c>
      <c r="BZ46">
        <v>1</v>
      </c>
      <c r="CB46">
        <v>3</v>
      </c>
      <c r="CC46">
        <v>2</v>
      </c>
      <c r="CD46">
        <v>4</v>
      </c>
    </row>
    <row r="47" spans="1:82" x14ac:dyDescent="0.35">
      <c r="A47" t="s">
        <v>43</v>
      </c>
      <c r="AQ47">
        <v>2</v>
      </c>
    </row>
    <row r="48" spans="1:82" x14ac:dyDescent="0.35">
      <c r="A48" t="s">
        <v>68</v>
      </c>
      <c r="E48">
        <v>1</v>
      </c>
      <c r="I48">
        <v>1</v>
      </c>
      <c r="N48">
        <v>1</v>
      </c>
      <c r="W48">
        <v>2</v>
      </c>
      <c r="AQ48">
        <v>1</v>
      </c>
    </row>
    <row r="49" spans="1:82" x14ac:dyDescent="0.35">
      <c r="A49" t="s">
        <v>53</v>
      </c>
      <c r="N49">
        <v>1</v>
      </c>
      <c r="BZ49">
        <v>2</v>
      </c>
    </row>
    <row r="50" spans="1:82" x14ac:dyDescent="0.35">
      <c r="A50" t="s">
        <v>368</v>
      </c>
      <c r="AM50">
        <v>5</v>
      </c>
      <c r="BB50">
        <v>9</v>
      </c>
      <c r="BN50">
        <v>2</v>
      </c>
    </row>
    <row r="51" spans="1:82" x14ac:dyDescent="0.35">
      <c r="A51" t="s">
        <v>345</v>
      </c>
      <c r="U51">
        <v>1</v>
      </c>
      <c r="BR51">
        <v>1</v>
      </c>
      <c r="BS51">
        <v>1</v>
      </c>
      <c r="BT51">
        <v>1</v>
      </c>
    </row>
    <row r="52" spans="1:82" x14ac:dyDescent="0.35">
      <c r="A52" t="s">
        <v>343</v>
      </c>
      <c r="AN52">
        <v>1</v>
      </c>
      <c r="BR52">
        <v>1</v>
      </c>
      <c r="BS52">
        <v>1</v>
      </c>
      <c r="BT52">
        <v>3</v>
      </c>
      <c r="CD52">
        <v>1</v>
      </c>
    </row>
    <row r="53" spans="1:82" x14ac:dyDescent="0.35">
      <c r="A53" t="s">
        <v>344</v>
      </c>
      <c r="X53">
        <v>1</v>
      </c>
      <c r="Y53">
        <v>2</v>
      </c>
      <c r="AF53">
        <v>2</v>
      </c>
    </row>
    <row r="54" spans="1:82" x14ac:dyDescent="0.35">
      <c r="A54" t="s">
        <v>399</v>
      </c>
      <c r="CB54">
        <v>5</v>
      </c>
    </row>
    <row r="55" spans="1:82" x14ac:dyDescent="0.35">
      <c r="A55" t="s">
        <v>10</v>
      </c>
      <c r="B55">
        <v>2</v>
      </c>
      <c r="C55">
        <v>3</v>
      </c>
      <c r="F55">
        <v>2</v>
      </c>
      <c r="I55">
        <v>2</v>
      </c>
      <c r="J55">
        <v>2</v>
      </c>
      <c r="K55">
        <v>1</v>
      </c>
      <c r="L55">
        <v>1</v>
      </c>
      <c r="M55">
        <v>1</v>
      </c>
      <c r="O55">
        <v>2</v>
      </c>
      <c r="R55">
        <v>3</v>
      </c>
      <c r="S55">
        <v>1</v>
      </c>
      <c r="T55">
        <v>1</v>
      </c>
      <c r="V55">
        <v>1</v>
      </c>
      <c r="W55">
        <v>3</v>
      </c>
      <c r="X55">
        <v>1</v>
      </c>
      <c r="Y55">
        <v>1</v>
      </c>
      <c r="Z55">
        <v>1.5</v>
      </c>
      <c r="AC55">
        <v>1</v>
      </c>
      <c r="AD55">
        <v>2</v>
      </c>
      <c r="AE55">
        <v>1</v>
      </c>
      <c r="AF55">
        <v>2</v>
      </c>
      <c r="AH55">
        <v>2</v>
      </c>
      <c r="AL55">
        <v>3</v>
      </c>
      <c r="AP55">
        <v>2</v>
      </c>
      <c r="AQ55">
        <v>4</v>
      </c>
      <c r="AR55">
        <v>3</v>
      </c>
      <c r="AS55">
        <v>0.5</v>
      </c>
      <c r="AU55">
        <v>2</v>
      </c>
      <c r="AV55">
        <v>1</v>
      </c>
      <c r="BC55">
        <v>1</v>
      </c>
      <c r="BD55">
        <v>1</v>
      </c>
      <c r="BE55">
        <v>7</v>
      </c>
      <c r="BH55">
        <v>1</v>
      </c>
      <c r="BI55">
        <v>1</v>
      </c>
      <c r="BJ55">
        <v>3</v>
      </c>
      <c r="BK55">
        <v>3</v>
      </c>
      <c r="BL55">
        <v>1</v>
      </c>
      <c r="BM55">
        <v>1</v>
      </c>
      <c r="BN55">
        <v>4</v>
      </c>
      <c r="BP55">
        <v>1</v>
      </c>
      <c r="BQ55">
        <v>3</v>
      </c>
      <c r="BR55">
        <v>1</v>
      </c>
      <c r="BT55">
        <v>1</v>
      </c>
      <c r="BV55">
        <v>1</v>
      </c>
      <c r="BW55">
        <v>2</v>
      </c>
      <c r="BX55">
        <v>2</v>
      </c>
      <c r="BZ55">
        <v>2</v>
      </c>
      <c r="CC55">
        <v>4</v>
      </c>
      <c r="CD55">
        <v>1</v>
      </c>
    </row>
    <row r="56" spans="1:82" x14ac:dyDescent="0.35">
      <c r="A56" t="s">
        <v>46</v>
      </c>
      <c r="B56">
        <v>1</v>
      </c>
      <c r="O56">
        <v>3</v>
      </c>
      <c r="P56">
        <v>1</v>
      </c>
      <c r="Q56">
        <v>2</v>
      </c>
      <c r="AM56">
        <v>1</v>
      </c>
      <c r="AN56">
        <v>1</v>
      </c>
      <c r="AP56">
        <v>1</v>
      </c>
      <c r="AS56">
        <v>1</v>
      </c>
      <c r="AV56">
        <v>1</v>
      </c>
      <c r="AX56">
        <v>5</v>
      </c>
      <c r="AY56">
        <v>1</v>
      </c>
      <c r="BA56">
        <v>2</v>
      </c>
      <c r="BB56">
        <v>4</v>
      </c>
      <c r="BE56">
        <v>3</v>
      </c>
      <c r="BF56">
        <v>2</v>
      </c>
      <c r="BH56">
        <v>3</v>
      </c>
      <c r="BK56">
        <v>1</v>
      </c>
      <c r="BT56">
        <v>3</v>
      </c>
      <c r="BZ56">
        <v>1</v>
      </c>
      <c r="CB56">
        <v>2</v>
      </c>
      <c r="CC56">
        <v>1</v>
      </c>
      <c r="CD56">
        <v>1</v>
      </c>
    </row>
    <row r="57" spans="1:82" x14ac:dyDescent="0.35">
      <c r="A57" t="s">
        <v>377</v>
      </c>
    </row>
    <row r="58" spans="1:82" x14ac:dyDescent="0.35">
      <c r="A58" t="s">
        <v>3</v>
      </c>
      <c r="F58">
        <v>3</v>
      </c>
      <c r="L58">
        <v>1</v>
      </c>
      <c r="S58">
        <v>3</v>
      </c>
      <c r="AH58">
        <v>1</v>
      </c>
    </row>
    <row r="59" spans="1:82" hidden="1" x14ac:dyDescent="0.35">
      <c r="A59" t="s">
        <v>350</v>
      </c>
    </row>
    <row r="60" spans="1:82" x14ac:dyDescent="0.35">
      <c r="A60" t="s">
        <v>56</v>
      </c>
      <c r="C60">
        <v>3</v>
      </c>
      <c r="E60">
        <v>2</v>
      </c>
      <c r="F60">
        <v>1</v>
      </c>
      <c r="G60">
        <v>2</v>
      </c>
      <c r="I60">
        <v>1</v>
      </c>
      <c r="J60">
        <v>1</v>
      </c>
      <c r="K60">
        <v>1</v>
      </c>
      <c r="L60">
        <v>1</v>
      </c>
      <c r="M60">
        <v>1</v>
      </c>
      <c r="P60">
        <v>1</v>
      </c>
      <c r="R60">
        <v>1</v>
      </c>
      <c r="S60">
        <v>4</v>
      </c>
      <c r="T60">
        <v>1</v>
      </c>
      <c r="V60">
        <v>1</v>
      </c>
      <c r="W60">
        <v>2</v>
      </c>
      <c r="Z60">
        <v>2</v>
      </c>
      <c r="AA60">
        <v>1</v>
      </c>
      <c r="AB60">
        <v>4</v>
      </c>
      <c r="AC60">
        <v>1</v>
      </c>
      <c r="AD60">
        <v>1</v>
      </c>
      <c r="AX60">
        <v>1</v>
      </c>
      <c r="AY60">
        <v>1</v>
      </c>
      <c r="AZ60">
        <v>2</v>
      </c>
      <c r="BD60">
        <v>1</v>
      </c>
      <c r="BF60">
        <v>1</v>
      </c>
      <c r="BH60">
        <v>1</v>
      </c>
      <c r="BI60">
        <v>1</v>
      </c>
      <c r="BJ60">
        <v>2</v>
      </c>
      <c r="BK60">
        <v>1</v>
      </c>
      <c r="BL60">
        <v>2</v>
      </c>
      <c r="BM60">
        <v>2</v>
      </c>
      <c r="BN60">
        <v>2</v>
      </c>
      <c r="BO60">
        <v>1</v>
      </c>
      <c r="BP60">
        <v>1</v>
      </c>
      <c r="BR60">
        <v>1</v>
      </c>
      <c r="BS60">
        <v>2</v>
      </c>
      <c r="BU60">
        <v>2</v>
      </c>
      <c r="BV60">
        <v>1</v>
      </c>
      <c r="BX60">
        <v>1</v>
      </c>
      <c r="BY60">
        <v>2</v>
      </c>
      <c r="BZ60">
        <v>2</v>
      </c>
      <c r="CA60">
        <v>2</v>
      </c>
      <c r="CB60">
        <v>2</v>
      </c>
      <c r="CC60">
        <v>4</v>
      </c>
      <c r="CD60">
        <v>5</v>
      </c>
    </row>
    <row r="61" spans="1:82" x14ac:dyDescent="0.35">
      <c r="A61" t="s">
        <v>369</v>
      </c>
      <c r="AN61">
        <v>3</v>
      </c>
    </row>
    <row r="62" spans="1:82" x14ac:dyDescent="0.35">
      <c r="A62" t="s">
        <v>387</v>
      </c>
      <c r="BN62">
        <v>3</v>
      </c>
      <c r="BO62">
        <v>2</v>
      </c>
      <c r="BQ62">
        <v>2</v>
      </c>
    </row>
    <row r="63" spans="1:82" x14ac:dyDescent="0.35">
      <c r="A63" t="s">
        <v>60</v>
      </c>
      <c r="B63">
        <v>2</v>
      </c>
      <c r="BF63">
        <v>1</v>
      </c>
      <c r="BT63">
        <v>2</v>
      </c>
    </row>
    <row r="64" spans="1:82" x14ac:dyDescent="0.35">
      <c r="A64" t="s">
        <v>340</v>
      </c>
      <c r="Q64">
        <v>1</v>
      </c>
      <c r="U64">
        <v>1</v>
      </c>
      <c r="W64">
        <v>1</v>
      </c>
      <c r="X64">
        <v>3</v>
      </c>
      <c r="Y64">
        <v>1</v>
      </c>
      <c r="Z64">
        <v>1</v>
      </c>
    </row>
    <row r="65" spans="1:82" x14ac:dyDescent="0.35">
      <c r="A65" t="s">
        <v>339</v>
      </c>
    </row>
    <row r="66" spans="1:82" x14ac:dyDescent="0.35">
      <c r="A66" t="s">
        <v>11</v>
      </c>
    </row>
    <row r="67" spans="1:82" x14ac:dyDescent="0.35">
      <c r="A67" t="s">
        <v>55</v>
      </c>
      <c r="B67">
        <v>2</v>
      </c>
      <c r="C67">
        <v>1</v>
      </c>
      <c r="D67">
        <v>1</v>
      </c>
      <c r="E67">
        <v>1</v>
      </c>
      <c r="F67">
        <v>3</v>
      </c>
      <c r="G67">
        <v>2</v>
      </c>
      <c r="H67">
        <v>3</v>
      </c>
      <c r="J67">
        <v>1</v>
      </c>
      <c r="K67">
        <v>1</v>
      </c>
      <c r="M67">
        <v>3</v>
      </c>
      <c r="N67">
        <v>4</v>
      </c>
      <c r="X67">
        <v>6</v>
      </c>
      <c r="Y67">
        <v>5</v>
      </c>
      <c r="Z67">
        <v>1</v>
      </c>
      <c r="AD67">
        <v>2</v>
      </c>
      <c r="AG67">
        <v>3</v>
      </c>
      <c r="AJ67">
        <v>2</v>
      </c>
      <c r="AM67">
        <v>2</v>
      </c>
      <c r="AO67">
        <v>3</v>
      </c>
      <c r="AQ67">
        <v>2</v>
      </c>
      <c r="AT67">
        <v>1</v>
      </c>
      <c r="AU67">
        <v>4</v>
      </c>
      <c r="AV67">
        <v>2</v>
      </c>
      <c r="AX67">
        <v>1</v>
      </c>
      <c r="AY67">
        <v>2</v>
      </c>
      <c r="AZ67">
        <v>1</v>
      </c>
      <c r="BA67">
        <v>4</v>
      </c>
      <c r="BB67">
        <v>2</v>
      </c>
      <c r="BH67">
        <v>1</v>
      </c>
      <c r="BR67">
        <v>2</v>
      </c>
    </row>
    <row r="68" spans="1:82" x14ac:dyDescent="0.35">
      <c r="A68" t="s">
        <v>21</v>
      </c>
    </row>
    <row r="69" spans="1:82" x14ac:dyDescent="0.35">
      <c r="A69" t="s">
        <v>81</v>
      </c>
      <c r="G69">
        <v>3</v>
      </c>
      <c r="K69">
        <v>1</v>
      </c>
      <c r="BG69">
        <v>2</v>
      </c>
      <c r="BN69">
        <v>4</v>
      </c>
      <c r="BP69">
        <v>1</v>
      </c>
      <c r="BR69">
        <v>2</v>
      </c>
      <c r="BS69">
        <v>3</v>
      </c>
      <c r="BU69">
        <v>3</v>
      </c>
      <c r="BV69">
        <v>2</v>
      </c>
      <c r="BW69">
        <v>2</v>
      </c>
      <c r="BX69">
        <v>2</v>
      </c>
      <c r="BY69">
        <v>2</v>
      </c>
    </row>
    <row r="70" spans="1:82" x14ac:dyDescent="0.35">
      <c r="A70" t="s">
        <v>63</v>
      </c>
      <c r="B70">
        <v>2</v>
      </c>
      <c r="D70">
        <v>1</v>
      </c>
      <c r="AF70">
        <v>2</v>
      </c>
      <c r="AQ70">
        <v>3</v>
      </c>
      <c r="BF70">
        <v>1</v>
      </c>
      <c r="BM70">
        <v>1</v>
      </c>
      <c r="BW70">
        <v>1</v>
      </c>
      <c r="CB70">
        <v>1</v>
      </c>
      <c r="CD70">
        <v>2</v>
      </c>
    </row>
    <row r="71" spans="1:82" hidden="1" x14ac:dyDescent="0.35">
      <c r="A71" t="s">
        <v>83</v>
      </c>
    </row>
    <row r="72" spans="1:82" x14ac:dyDescent="0.35">
      <c r="A72" t="s">
        <v>22</v>
      </c>
      <c r="Y72">
        <v>1</v>
      </c>
      <c r="AB72">
        <v>2</v>
      </c>
      <c r="AD72">
        <v>3</v>
      </c>
      <c r="AI72">
        <v>1</v>
      </c>
      <c r="AR72">
        <v>4</v>
      </c>
      <c r="AV72">
        <v>3</v>
      </c>
      <c r="BA72">
        <v>2</v>
      </c>
      <c r="BB72">
        <v>5</v>
      </c>
      <c r="BE72">
        <v>6</v>
      </c>
      <c r="BS72">
        <v>1</v>
      </c>
      <c r="BT72">
        <v>1</v>
      </c>
      <c r="BU72">
        <v>2</v>
      </c>
      <c r="BV72">
        <v>3</v>
      </c>
      <c r="BX72">
        <v>2</v>
      </c>
      <c r="CC72">
        <v>2</v>
      </c>
    </row>
    <row r="73" spans="1:82" x14ac:dyDescent="0.35">
      <c r="A73" t="s">
        <v>376</v>
      </c>
      <c r="AU73">
        <v>1</v>
      </c>
      <c r="AV73">
        <v>1</v>
      </c>
      <c r="AW73">
        <v>3</v>
      </c>
      <c r="AX73">
        <v>1</v>
      </c>
      <c r="AZ73">
        <v>1</v>
      </c>
      <c r="BC73">
        <v>2</v>
      </c>
      <c r="BX73">
        <v>1</v>
      </c>
    </row>
    <row r="74" spans="1:82" x14ac:dyDescent="0.35">
      <c r="A74" t="s">
        <v>44</v>
      </c>
      <c r="N74">
        <v>3</v>
      </c>
      <c r="S74">
        <v>2</v>
      </c>
      <c r="AG74">
        <v>2</v>
      </c>
      <c r="AI74">
        <v>1</v>
      </c>
      <c r="AP74">
        <v>2</v>
      </c>
      <c r="AQ74">
        <v>1</v>
      </c>
      <c r="AR74">
        <v>3</v>
      </c>
      <c r="AW74">
        <v>1</v>
      </c>
      <c r="BA74">
        <v>1</v>
      </c>
      <c r="BE74">
        <v>1</v>
      </c>
      <c r="BI74">
        <v>2</v>
      </c>
      <c r="BL74">
        <v>2</v>
      </c>
      <c r="BN74">
        <v>2</v>
      </c>
      <c r="BO74">
        <v>1</v>
      </c>
      <c r="BP74">
        <v>1</v>
      </c>
      <c r="BR74">
        <v>1</v>
      </c>
    </row>
    <row r="75" spans="1:82" x14ac:dyDescent="0.35">
      <c r="A75" t="s">
        <v>379</v>
      </c>
      <c r="BF75">
        <v>1</v>
      </c>
      <c r="BG75">
        <v>1</v>
      </c>
    </row>
    <row r="76" spans="1:82" x14ac:dyDescent="0.35">
      <c r="A76" t="s">
        <v>8</v>
      </c>
      <c r="B76">
        <v>1</v>
      </c>
      <c r="H76">
        <v>1</v>
      </c>
      <c r="J76">
        <v>2</v>
      </c>
      <c r="Q76">
        <v>2</v>
      </c>
    </row>
    <row r="77" spans="1:82" hidden="1" x14ac:dyDescent="0.35">
      <c r="A77" t="s">
        <v>354</v>
      </c>
    </row>
    <row r="78" spans="1:82" x14ac:dyDescent="0.35">
      <c r="A78" t="s">
        <v>82</v>
      </c>
      <c r="B78">
        <v>2</v>
      </c>
      <c r="C78">
        <v>2</v>
      </c>
      <c r="D78">
        <v>1</v>
      </c>
      <c r="E78">
        <v>2</v>
      </c>
      <c r="F78">
        <v>1</v>
      </c>
      <c r="G78">
        <v>2</v>
      </c>
      <c r="H78">
        <v>2</v>
      </c>
      <c r="I78">
        <v>3</v>
      </c>
      <c r="J78">
        <v>4</v>
      </c>
      <c r="L78">
        <v>4</v>
      </c>
      <c r="M78">
        <v>1</v>
      </c>
      <c r="N78">
        <v>2</v>
      </c>
      <c r="O78">
        <v>1</v>
      </c>
      <c r="P78">
        <v>1</v>
      </c>
      <c r="Q78">
        <v>1</v>
      </c>
      <c r="R78">
        <v>3</v>
      </c>
      <c r="S78">
        <v>3</v>
      </c>
      <c r="U78">
        <v>3</v>
      </c>
      <c r="V78">
        <v>1</v>
      </c>
      <c r="W78">
        <v>3</v>
      </c>
      <c r="AC78">
        <v>1</v>
      </c>
      <c r="AF78">
        <v>1</v>
      </c>
      <c r="AH78">
        <v>2</v>
      </c>
      <c r="AI78">
        <v>3</v>
      </c>
      <c r="AJ78">
        <v>1</v>
      </c>
      <c r="AK78">
        <v>4</v>
      </c>
      <c r="AL78">
        <v>3</v>
      </c>
      <c r="AN78">
        <v>1</v>
      </c>
      <c r="AP78">
        <v>2</v>
      </c>
      <c r="AT78">
        <v>2</v>
      </c>
      <c r="AU78">
        <v>3</v>
      </c>
      <c r="AV78">
        <v>1</v>
      </c>
      <c r="AW78">
        <v>1</v>
      </c>
      <c r="AX78">
        <v>1</v>
      </c>
      <c r="AY78">
        <v>1</v>
      </c>
      <c r="AZ78">
        <v>2</v>
      </c>
      <c r="BC78">
        <v>2</v>
      </c>
      <c r="BD78">
        <v>1</v>
      </c>
      <c r="BF78">
        <v>2</v>
      </c>
      <c r="BH78">
        <v>3</v>
      </c>
      <c r="BI78">
        <v>1</v>
      </c>
      <c r="BJ78">
        <v>2</v>
      </c>
      <c r="BK78">
        <v>3</v>
      </c>
      <c r="BM78">
        <v>2</v>
      </c>
      <c r="BN78">
        <v>3</v>
      </c>
      <c r="BU78">
        <v>1</v>
      </c>
      <c r="BV78">
        <v>3</v>
      </c>
      <c r="BX78">
        <v>2</v>
      </c>
      <c r="BY78">
        <v>1</v>
      </c>
      <c r="BZ78">
        <v>1</v>
      </c>
      <c r="CA78">
        <v>1</v>
      </c>
      <c r="CB78">
        <v>1</v>
      </c>
      <c r="CD78">
        <v>3</v>
      </c>
    </row>
    <row r="79" spans="1:82" x14ac:dyDescent="0.35">
      <c r="A79" t="s">
        <v>49</v>
      </c>
      <c r="G79">
        <v>2</v>
      </c>
    </row>
    <row r="80" spans="1:82" x14ac:dyDescent="0.35">
      <c r="A80" t="s">
        <v>390</v>
      </c>
      <c r="BZ80">
        <v>5</v>
      </c>
      <c r="CA80">
        <v>2</v>
      </c>
      <c r="CB80">
        <v>1</v>
      </c>
    </row>
    <row r="81" spans="1:80" x14ac:dyDescent="0.35">
      <c r="A81" t="s">
        <v>85</v>
      </c>
      <c r="K81">
        <v>4</v>
      </c>
      <c r="L81">
        <v>2</v>
      </c>
      <c r="M81">
        <v>5</v>
      </c>
    </row>
    <row r="82" spans="1:80" x14ac:dyDescent="0.35">
      <c r="A82" t="s">
        <v>5</v>
      </c>
      <c r="B82">
        <v>1</v>
      </c>
      <c r="C82">
        <v>2</v>
      </c>
      <c r="D82">
        <v>2</v>
      </c>
      <c r="E82">
        <v>3</v>
      </c>
      <c r="F82">
        <v>2</v>
      </c>
      <c r="G82">
        <v>3</v>
      </c>
      <c r="H82">
        <v>1</v>
      </c>
      <c r="M82">
        <v>4</v>
      </c>
      <c r="N82">
        <v>6</v>
      </c>
      <c r="P82">
        <v>2</v>
      </c>
      <c r="Q82">
        <v>1</v>
      </c>
      <c r="R82">
        <v>2</v>
      </c>
      <c r="S82">
        <v>3</v>
      </c>
      <c r="V82">
        <v>2</v>
      </c>
      <c r="W82">
        <v>1</v>
      </c>
      <c r="X82">
        <v>1</v>
      </c>
      <c r="Y82">
        <v>4</v>
      </c>
      <c r="Z82">
        <v>5</v>
      </c>
      <c r="AA82">
        <v>1</v>
      </c>
      <c r="AB82">
        <v>3</v>
      </c>
      <c r="AC82">
        <v>4</v>
      </c>
      <c r="AD82">
        <v>3</v>
      </c>
      <c r="AE82">
        <v>3</v>
      </c>
      <c r="AF82">
        <v>2</v>
      </c>
      <c r="AG82">
        <v>5</v>
      </c>
      <c r="AH82">
        <v>7</v>
      </c>
      <c r="AI82">
        <v>3</v>
      </c>
      <c r="AJ82">
        <v>1</v>
      </c>
      <c r="AK82">
        <v>1</v>
      </c>
      <c r="AL82">
        <v>6</v>
      </c>
      <c r="AR82">
        <v>3</v>
      </c>
      <c r="AS82">
        <v>2</v>
      </c>
      <c r="AV82">
        <v>2</v>
      </c>
      <c r="AW82">
        <v>1</v>
      </c>
      <c r="AX82">
        <v>4</v>
      </c>
      <c r="AY82">
        <v>3</v>
      </c>
      <c r="AZ82">
        <v>4</v>
      </c>
      <c r="BA82">
        <v>5</v>
      </c>
      <c r="BB82">
        <v>6</v>
      </c>
      <c r="BC82">
        <v>2</v>
      </c>
      <c r="BD82">
        <v>2</v>
      </c>
      <c r="BE82">
        <v>7</v>
      </c>
      <c r="BG82">
        <v>4</v>
      </c>
      <c r="BH82">
        <v>3</v>
      </c>
      <c r="BI82">
        <v>4</v>
      </c>
      <c r="BK82">
        <v>1</v>
      </c>
      <c r="BL82">
        <v>8</v>
      </c>
      <c r="BM82">
        <v>4</v>
      </c>
      <c r="BN82">
        <v>5</v>
      </c>
      <c r="BO82">
        <v>3</v>
      </c>
      <c r="BP82">
        <v>1</v>
      </c>
      <c r="BQ82">
        <v>1</v>
      </c>
      <c r="BR82">
        <v>3</v>
      </c>
      <c r="BS82">
        <v>1</v>
      </c>
    </row>
    <row r="83" spans="1:80" x14ac:dyDescent="0.35">
      <c r="A83" t="s">
        <v>45</v>
      </c>
      <c r="K83">
        <v>1</v>
      </c>
      <c r="BJ83">
        <v>1</v>
      </c>
    </row>
    <row r="84" spans="1:80" x14ac:dyDescent="0.35">
      <c r="A84" t="s">
        <v>367</v>
      </c>
      <c r="B84">
        <v>1</v>
      </c>
      <c r="D84">
        <v>1</v>
      </c>
      <c r="E84">
        <v>3</v>
      </c>
      <c r="O84">
        <v>2</v>
      </c>
      <c r="P84">
        <v>2</v>
      </c>
      <c r="Q84">
        <v>1</v>
      </c>
      <c r="R84">
        <v>1</v>
      </c>
      <c r="AD84">
        <v>1</v>
      </c>
      <c r="AE84">
        <v>1</v>
      </c>
      <c r="AG84">
        <v>1</v>
      </c>
      <c r="AH84">
        <v>2</v>
      </c>
      <c r="AL84">
        <v>3</v>
      </c>
      <c r="AM84">
        <v>2</v>
      </c>
      <c r="AN84">
        <v>1</v>
      </c>
      <c r="AO84">
        <v>1</v>
      </c>
      <c r="AR84">
        <v>1</v>
      </c>
      <c r="AS84">
        <v>1</v>
      </c>
      <c r="AT84">
        <v>1</v>
      </c>
      <c r="AV84">
        <v>1</v>
      </c>
      <c r="AW84">
        <v>2</v>
      </c>
      <c r="BD84">
        <v>1</v>
      </c>
      <c r="BF84">
        <v>1</v>
      </c>
      <c r="BI84">
        <v>1</v>
      </c>
      <c r="BU84">
        <v>2</v>
      </c>
      <c r="BW84">
        <v>2</v>
      </c>
      <c r="CB84">
        <v>1</v>
      </c>
    </row>
    <row r="85" spans="1:80" hidden="1" x14ac:dyDescent="0.35">
      <c r="A85" t="s">
        <v>352</v>
      </c>
      <c r="Z85">
        <v>1</v>
      </c>
    </row>
    <row r="86" spans="1:80" hidden="1" x14ac:dyDescent="0.35">
      <c r="A86" t="s">
        <v>366</v>
      </c>
    </row>
    <row r="87" spans="1:80" x14ac:dyDescent="0.35">
      <c r="A87" t="s">
        <v>17</v>
      </c>
      <c r="F87">
        <v>2</v>
      </c>
      <c r="J87">
        <v>1</v>
      </c>
      <c r="K87">
        <v>1</v>
      </c>
    </row>
    <row r="88" spans="1:80" hidden="1" x14ac:dyDescent="0.35">
      <c r="A88" t="s">
        <v>86</v>
      </c>
      <c r="K88">
        <v>5</v>
      </c>
    </row>
    <row r="89" spans="1:80" x14ac:dyDescent="0.35">
      <c r="A89" t="s">
        <v>16</v>
      </c>
      <c r="C89">
        <v>4</v>
      </c>
      <c r="D89">
        <v>3</v>
      </c>
      <c r="F89">
        <v>2</v>
      </c>
      <c r="G89">
        <v>5</v>
      </c>
      <c r="H89">
        <v>3</v>
      </c>
      <c r="I89">
        <v>2</v>
      </c>
      <c r="J89">
        <v>5</v>
      </c>
      <c r="K89">
        <v>3</v>
      </c>
      <c r="L89">
        <v>2</v>
      </c>
      <c r="M89">
        <v>3</v>
      </c>
      <c r="O89">
        <v>5</v>
      </c>
      <c r="P89">
        <v>5</v>
      </c>
      <c r="Q89">
        <v>3</v>
      </c>
      <c r="R89">
        <v>2</v>
      </c>
      <c r="S89">
        <v>3</v>
      </c>
      <c r="T89">
        <v>1</v>
      </c>
      <c r="U89">
        <v>1</v>
      </c>
      <c r="V89">
        <v>3</v>
      </c>
      <c r="W89">
        <v>3</v>
      </c>
      <c r="X89">
        <v>5</v>
      </c>
      <c r="Y89">
        <v>4</v>
      </c>
      <c r="Z89">
        <v>1</v>
      </c>
      <c r="AA89">
        <v>3</v>
      </c>
      <c r="AC89">
        <v>1</v>
      </c>
      <c r="AE89">
        <v>4</v>
      </c>
      <c r="AF89">
        <v>2</v>
      </c>
      <c r="AG89">
        <v>3</v>
      </c>
      <c r="AH89">
        <v>2</v>
      </c>
      <c r="AI89">
        <v>2</v>
      </c>
      <c r="AJ89">
        <v>7</v>
      </c>
      <c r="AK89">
        <v>3</v>
      </c>
      <c r="AL89">
        <v>5</v>
      </c>
      <c r="AM89">
        <v>1</v>
      </c>
      <c r="AN89">
        <v>4</v>
      </c>
      <c r="AO89">
        <v>3</v>
      </c>
      <c r="AP89">
        <v>6</v>
      </c>
      <c r="AQ89">
        <v>4</v>
      </c>
      <c r="AR89">
        <v>5</v>
      </c>
      <c r="AS89">
        <v>3</v>
      </c>
      <c r="AT89">
        <v>2</v>
      </c>
      <c r="AU89">
        <v>2</v>
      </c>
      <c r="AW89">
        <v>3</v>
      </c>
      <c r="AY89">
        <v>1</v>
      </c>
      <c r="AZ89">
        <v>3</v>
      </c>
      <c r="BB89">
        <v>4</v>
      </c>
      <c r="BC89">
        <v>4</v>
      </c>
      <c r="BD89">
        <v>3</v>
      </c>
      <c r="BF89">
        <v>2</v>
      </c>
      <c r="BG89">
        <v>4</v>
      </c>
      <c r="BH89">
        <v>5</v>
      </c>
      <c r="BJ89">
        <v>4</v>
      </c>
      <c r="BK89">
        <v>2</v>
      </c>
      <c r="BL89">
        <v>4</v>
      </c>
      <c r="BM89">
        <v>1</v>
      </c>
      <c r="BN89">
        <v>2</v>
      </c>
      <c r="BO89">
        <v>3</v>
      </c>
      <c r="BS89">
        <v>3</v>
      </c>
      <c r="BT89">
        <v>4</v>
      </c>
      <c r="BU89">
        <v>4</v>
      </c>
      <c r="BV89">
        <v>3</v>
      </c>
      <c r="BX89">
        <v>5</v>
      </c>
      <c r="BY89">
        <v>2</v>
      </c>
      <c r="BZ89">
        <v>3</v>
      </c>
      <c r="CA89">
        <v>1</v>
      </c>
    </row>
    <row r="90" spans="1:80" hidden="1" x14ac:dyDescent="0.35">
      <c r="A90" t="s">
        <v>47</v>
      </c>
    </row>
  </sheetData>
  <autoFilter ref="A1:AB90" xr:uid="{130C2564-D265-4C41-A3E0-02A62EDAC91D}">
    <sortState ref="A2:AB90">
      <sortCondition ref="A1:A9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2026-05-28T15:07:20Z</dcterms:modified>
</cp:coreProperties>
</file>