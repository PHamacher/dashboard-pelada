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32" documentId="14_{A1B3B906-E661-414D-BCC5-34D6B6413D4C}" xr6:coauthVersionLast="36" xr6:coauthVersionMax="36" xr10:uidLastSave="{3439D91F-4097-4459-91E0-9116B4219B2B}"/>
  <bookViews>
    <workbookView xWindow="0" yWindow="0" windowWidth="13800" windowHeight="3780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artilharia!$A$1:$AB$83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notas!$A$1:$CQ$83</definedName>
  </definedNames>
  <calcPr calcId="191029"/>
</workbook>
</file>

<file path=xl/calcChain.xml><?xml version="1.0" encoding="utf-8"?>
<calcChain xmlns="http://schemas.openxmlformats.org/spreadsheetml/2006/main">
  <c r="CS3" i="1" l="1"/>
  <c r="CS4" i="1"/>
  <c r="CS5" i="1"/>
  <c r="CS6" i="1"/>
  <c r="CS7" i="1"/>
  <c r="CS8" i="1"/>
  <c r="CS9" i="1"/>
  <c r="CS10" i="1"/>
  <c r="CS11" i="1"/>
  <c r="CS12" i="1"/>
  <c r="CS13" i="1"/>
  <c r="CS14" i="1"/>
  <c r="CS15" i="1"/>
  <c r="CS16" i="1"/>
  <c r="CS17" i="1"/>
  <c r="CS18" i="1"/>
  <c r="CS19" i="1"/>
  <c r="CS20" i="1"/>
  <c r="CS21" i="1"/>
  <c r="CS22" i="1"/>
  <c r="CS23" i="1"/>
  <c r="CS24" i="1"/>
  <c r="CS25" i="1"/>
  <c r="CS26" i="1"/>
  <c r="CS27" i="1"/>
  <c r="CS28" i="1"/>
  <c r="CS29" i="1"/>
  <c r="CS30" i="1"/>
  <c r="CS31" i="1"/>
  <c r="CS32" i="1"/>
  <c r="CS33" i="1"/>
  <c r="CS34" i="1"/>
  <c r="CS35" i="1"/>
  <c r="CS36" i="1"/>
  <c r="CS37" i="1"/>
  <c r="CS38" i="1"/>
  <c r="CS39" i="1"/>
  <c r="CS40" i="1"/>
  <c r="CS41" i="1"/>
  <c r="CS42" i="1"/>
  <c r="CS43" i="1"/>
  <c r="CS44" i="1"/>
  <c r="CS45" i="1"/>
  <c r="CS46" i="1"/>
  <c r="CS47" i="1"/>
  <c r="CS48" i="1"/>
  <c r="CS49" i="1"/>
  <c r="CS50" i="1"/>
  <c r="CS51" i="1"/>
  <c r="CS52" i="1"/>
  <c r="CS53" i="1"/>
  <c r="CS54" i="1"/>
  <c r="CS55" i="1"/>
  <c r="CS56" i="1"/>
  <c r="CS57" i="1"/>
  <c r="CS58" i="1"/>
  <c r="CS59" i="1"/>
  <c r="CS60" i="1"/>
  <c r="CS61" i="1"/>
  <c r="CS62" i="1"/>
  <c r="CS63" i="1"/>
  <c r="CS64" i="1"/>
  <c r="CS65" i="1"/>
  <c r="CS66" i="1"/>
  <c r="CS67" i="1"/>
  <c r="CS68" i="1"/>
  <c r="CS69" i="1"/>
  <c r="CS70" i="1"/>
  <c r="CS71" i="1"/>
  <c r="CS72" i="1"/>
  <c r="CS73" i="1"/>
  <c r="CS74" i="1"/>
  <c r="CS75" i="1"/>
  <c r="CS76" i="1"/>
  <c r="CS77" i="1"/>
  <c r="CS78" i="1"/>
  <c r="CS79" i="1"/>
  <c r="CS80" i="1"/>
  <c r="CS81" i="1"/>
  <c r="CS82" i="1"/>
  <c r="CS83" i="1"/>
  <c r="CS2" i="1"/>
  <c r="CR3" i="1"/>
  <c r="CR4" i="1"/>
  <c r="CR5" i="1"/>
  <c r="CR6" i="1"/>
  <c r="CR7" i="1"/>
  <c r="CR8" i="1"/>
  <c r="CR9" i="1"/>
  <c r="CR10" i="1"/>
  <c r="CR11" i="1"/>
  <c r="CR12" i="1"/>
  <c r="CR13" i="1"/>
  <c r="CR14" i="1"/>
  <c r="CR15" i="1"/>
  <c r="CR16" i="1"/>
  <c r="CR17" i="1"/>
  <c r="CR18" i="1"/>
  <c r="CR19" i="1"/>
  <c r="CR20" i="1"/>
  <c r="CR21" i="1"/>
  <c r="CR22" i="1"/>
  <c r="CR23" i="1"/>
  <c r="CR24" i="1"/>
  <c r="CR25" i="1"/>
  <c r="CR26" i="1"/>
  <c r="CR27" i="1"/>
  <c r="CR28" i="1"/>
  <c r="CR29" i="1"/>
  <c r="CR30" i="1"/>
  <c r="CR31" i="1"/>
  <c r="CR32" i="1"/>
  <c r="CR33" i="1"/>
  <c r="CR34" i="1"/>
  <c r="CR35" i="1"/>
  <c r="CR36" i="1"/>
  <c r="CR37" i="1"/>
  <c r="CR38" i="1"/>
  <c r="CR39" i="1"/>
  <c r="CR40" i="1"/>
  <c r="CR41" i="1"/>
  <c r="CR42" i="1"/>
  <c r="CR43" i="1"/>
  <c r="CR44" i="1"/>
  <c r="CR45" i="1"/>
  <c r="CR46" i="1"/>
  <c r="CR47" i="1"/>
  <c r="CR48" i="1"/>
  <c r="CR49" i="1"/>
  <c r="CR50" i="1"/>
  <c r="CR51" i="1"/>
  <c r="CR52" i="1"/>
  <c r="CR53" i="1"/>
  <c r="CR54" i="1"/>
  <c r="CR55" i="1"/>
  <c r="CR56" i="1"/>
  <c r="CR57" i="1"/>
  <c r="CR58" i="1"/>
  <c r="CR59" i="1"/>
  <c r="CR60" i="1"/>
  <c r="CR61" i="1"/>
  <c r="CR62" i="1"/>
  <c r="CR63" i="1"/>
  <c r="CR64" i="1"/>
  <c r="CR65" i="1"/>
  <c r="CR66" i="1"/>
  <c r="CR67" i="1"/>
  <c r="CR68" i="1"/>
  <c r="CR69" i="1"/>
  <c r="CR70" i="1"/>
  <c r="CR71" i="1"/>
  <c r="CR72" i="1"/>
  <c r="CR73" i="1"/>
  <c r="CR74" i="1"/>
  <c r="CR75" i="1"/>
  <c r="CR76" i="1"/>
  <c r="CR77" i="1"/>
  <c r="CR78" i="1"/>
  <c r="CR79" i="1"/>
  <c r="CR80" i="1"/>
  <c r="CR81" i="1"/>
  <c r="CR82" i="1"/>
  <c r="CR83" i="1"/>
  <c r="CR2" i="1"/>
  <c r="V87" i="4" l="1"/>
  <c r="U87" i="4"/>
  <c r="V85" i="4"/>
  <c r="V81" i="4"/>
  <c r="CP83" i="1"/>
  <c r="CP82" i="1"/>
  <c r="CP81" i="1"/>
  <c r="CP80" i="1"/>
  <c r="CP79" i="1"/>
  <c r="CP78" i="1"/>
  <c r="CP77" i="1"/>
  <c r="CP76" i="1"/>
  <c r="CP75" i="1"/>
  <c r="CP74" i="1"/>
  <c r="CP73" i="1"/>
  <c r="CP72" i="1"/>
  <c r="CP71" i="1"/>
  <c r="CP70" i="1"/>
  <c r="CP69" i="1"/>
  <c r="CP68" i="1"/>
  <c r="CP67" i="1"/>
  <c r="CP66" i="1"/>
  <c r="CP65" i="1"/>
  <c r="CP64" i="1"/>
  <c r="CP63" i="1"/>
  <c r="CP62" i="1"/>
  <c r="CP61" i="1"/>
  <c r="CP60" i="1"/>
  <c r="CP59" i="1"/>
  <c r="CP58" i="1"/>
  <c r="CP57" i="1"/>
  <c r="CP56" i="1"/>
  <c r="CP55" i="1"/>
  <c r="CP54" i="1"/>
  <c r="CP53" i="1"/>
  <c r="CP52" i="1"/>
  <c r="CP51" i="1"/>
  <c r="CP50" i="1"/>
  <c r="CP49" i="1"/>
  <c r="CP48" i="1"/>
  <c r="CP47" i="1"/>
  <c r="CP46" i="1"/>
  <c r="CP45" i="1"/>
  <c r="CP44" i="1"/>
  <c r="CP43" i="1"/>
  <c r="CP42" i="1"/>
  <c r="CP41" i="1"/>
  <c r="CP40" i="1"/>
  <c r="CP39" i="1"/>
  <c r="CP38" i="1"/>
  <c r="CP37" i="1"/>
  <c r="CP36" i="1"/>
  <c r="CP35" i="1"/>
  <c r="CP34" i="1"/>
  <c r="CP33" i="1"/>
  <c r="CP32" i="1"/>
  <c r="CP31" i="1"/>
  <c r="CP30" i="1"/>
  <c r="CP29" i="1"/>
  <c r="CP28" i="1"/>
  <c r="CP27" i="1"/>
  <c r="CP26" i="1"/>
  <c r="CP25" i="1"/>
  <c r="CP24" i="1"/>
  <c r="CP23" i="1"/>
  <c r="CP22" i="1"/>
  <c r="CP21" i="1"/>
  <c r="CP20" i="1"/>
  <c r="CP19" i="1"/>
  <c r="CP18" i="1"/>
  <c r="CP17" i="1"/>
  <c r="CP16" i="1"/>
  <c r="CP15" i="1"/>
  <c r="CP14" i="1"/>
  <c r="CP13" i="1"/>
  <c r="CP12" i="1"/>
  <c r="CP11" i="1"/>
  <c r="CP10" i="1"/>
  <c r="CP9" i="1"/>
  <c r="CP8" i="1"/>
  <c r="CP7" i="1"/>
  <c r="CP6" i="1"/>
  <c r="CP5" i="1"/>
  <c r="CP4" i="1"/>
  <c r="CP3" i="1"/>
  <c r="CP2" i="1"/>
  <c r="V86" i="4"/>
  <c r="V88" i="4" l="1"/>
  <c r="CL38" i="1"/>
  <c r="CM38" i="1"/>
  <c r="CL24" i="1"/>
  <c r="CM24" i="1"/>
  <c r="CL19" i="1"/>
  <c r="CM19" i="1"/>
  <c r="CL16" i="1"/>
  <c r="CM16" i="1"/>
  <c r="CL15" i="1"/>
  <c r="CM15" i="1"/>
  <c r="CL13" i="1"/>
  <c r="CM13" i="1"/>
  <c r="CL12" i="1"/>
  <c r="CM12" i="1"/>
  <c r="CL9" i="1"/>
  <c r="CM9" i="1"/>
  <c r="CL8" i="1"/>
  <c r="CM8" i="1"/>
  <c r="CL7" i="1"/>
  <c r="CM7" i="1"/>
  <c r="CL3" i="1"/>
  <c r="CM3" i="1"/>
  <c r="CL2" i="1"/>
  <c r="CM2" i="1"/>
  <c r="CL83" i="1" l="1"/>
  <c r="CN83" i="1" s="1"/>
  <c r="CM83" i="1"/>
  <c r="CQ83" i="1"/>
  <c r="CN3" i="1"/>
  <c r="CQ3" i="1"/>
  <c r="CL4" i="1"/>
  <c r="CN4" i="1" s="1"/>
  <c r="CM4" i="1"/>
  <c r="CQ4" i="1"/>
  <c r="CL5" i="1"/>
  <c r="CM5" i="1"/>
  <c r="CN5" i="1"/>
  <c r="CQ5" i="1"/>
  <c r="CL6" i="1"/>
  <c r="CN6" i="1" s="1"/>
  <c r="CM6" i="1"/>
  <c r="CQ6" i="1"/>
  <c r="CN7" i="1"/>
  <c r="CQ7" i="1"/>
  <c r="CN8" i="1"/>
  <c r="CQ8" i="1"/>
  <c r="CN9" i="1"/>
  <c r="CQ9" i="1"/>
  <c r="CL10" i="1"/>
  <c r="CN10" i="1" s="1"/>
  <c r="CM10" i="1"/>
  <c r="CQ10" i="1"/>
  <c r="CL11" i="1"/>
  <c r="CN11" i="1" s="1"/>
  <c r="CM11" i="1"/>
  <c r="CQ11" i="1"/>
  <c r="CN12" i="1"/>
  <c r="CQ12" i="1"/>
  <c r="CN13" i="1"/>
  <c r="CQ13" i="1"/>
  <c r="CL14" i="1"/>
  <c r="CM14" i="1"/>
  <c r="CN14" i="1"/>
  <c r="CQ14" i="1"/>
  <c r="CN15" i="1"/>
  <c r="CQ15" i="1"/>
  <c r="CN16" i="1"/>
  <c r="CQ16" i="1"/>
  <c r="CL17" i="1"/>
  <c r="CN17" i="1" s="1"/>
  <c r="CM17" i="1"/>
  <c r="CQ17" i="1"/>
  <c r="CL18" i="1"/>
  <c r="CM18" i="1"/>
  <c r="CN18" i="1"/>
  <c r="CQ18" i="1"/>
  <c r="CN19" i="1"/>
  <c r="CQ19" i="1"/>
  <c r="CL20" i="1"/>
  <c r="CN20" i="1" s="1"/>
  <c r="CM20" i="1"/>
  <c r="CQ20" i="1"/>
  <c r="CL21" i="1"/>
  <c r="CM21" i="1"/>
  <c r="CN21" i="1"/>
  <c r="CQ21" i="1"/>
  <c r="CL22" i="1"/>
  <c r="CN22" i="1" s="1"/>
  <c r="CM22" i="1"/>
  <c r="CQ22" i="1"/>
  <c r="CL23" i="1"/>
  <c r="CN23" i="1" s="1"/>
  <c r="CM23" i="1"/>
  <c r="CQ23" i="1"/>
  <c r="CN24" i="1"/>
  <c r="CQ24" i="1"/>
  <c r="CL25" i="1"/>
  <c r="CM25" i="1"/>
  <c r="CN25" i="1"/>
  <c r="CQ25" i="1"/>
  <c r="CL26" i="1"/>
  <c r="CN26" i="1" s="1"/>
  <c r="CM26" i="1"/>
  <c r="CQ26" i="1"/>
  <c r="CL27" i="1"/>
  <c r="CN27" i="1" s="1"/>
  <c r="CM27" i="1"/>
  <c r="CQ27" i="1"/>
  <c r="CL28" i="1"/>
  <c r="CN28" i="1" s="1"/>
  <c r="CM28" i="1"/>
  <c r="CQ28" i="1"/>
  <c r="CL29" i="1"/>
  <c r="CN29" i="1" s="1"/>
  <c r="CM29" i="1"/>
  <c r="CQ29" i="1"/>
  <c r="CL30" i="1"/>
  <c r="CM30" i="1"/>
  <c r="CN30" i="1"/>
  <c r="CQ30" i="1"/>
  <c r="CL31" i="1"/>
  <c r="CM31" i="1"/>
  <c r="CN31" i="1"/>
  <c r="CQ31" i="1"/>
  <c r="CL32" i="1"/>
  <c r="CN32" i="1" s="1"/>
  <c r="CM32" i="1"/>
  <c r="CQ32" i="1"/>
  <c r="CL33" i="1"/>
  <c r="CN33" i="1" s="1"/>
  <c r="CM33" i="1"/>
  <c r="CQ33" i="1"/>
  <c r="CL34" i="1"/>
  <c r="CN34" i="1" s="1"/>
  <c r="CM34" i="1"/>
  <c r="CQ34" i="1"/>
  <c r="CL35" i="1"/>
  <c r="CN35" i="1" s="1"/>
  <c r="CM35" i="1"/>
  <c r="CQ35" i="1"/>
  <c r="CL36" i="1"/>
  <c r="CM36" i="1"/>
  <c r="CN36" i="1"/>
  <c r="CQ36" i="1"/>
  <c r="CL37" i="1"/>
  <c r="CM37" i="1"/>
  <c r="CN37" i="1"/>
  <c r="CQ37" i="1"/>
  <c r="CN38" i="1"/>
  <c r="CQ38" i="1"/>
  <c r="CL39" i="1"/>
  <c r="CN39" i="1" s="1"/>
  <c r="CM39" i="1"/>
  <c r="CQ39" i="1"/>
  <c r="CL40" i="1"/>
  <c r="CN40" i="1" s="1"/>
  <c r="CM40" i="1"/>
  <c r="CQ40" i="1"/>
  <c r="CL41" i="1"/>
  <c r="CN41" i="1" s="1"/>
  <c r="CM41" i="1"/>
  <c r="CQ41" i="1"/>
  <c r="CL42" i="1"/>
  <c r="CN42" i="1" s="1"/>
  <c r="CM42" i="1"/>
  <c r="CQ42" i="1"/>
  <c r="CL43" i="1"/>
  <c r="CM43" i="1"/>
  <c r="CN43" i="1"/>
  <c r="CQ43" i="1"/>
  <c r="CL44" i="1"/>
  <c r="CM44" i="1"/>
  <c r="CN44" i="1"/>
  <c r="CQ44" i="1"/>
  <c r="CL45" i="1"/>
  <c r="CM45" i="1"/>
  <c r="CN45" i="1"/>
  <c r="CQ45" i="1"/>
  <c r="CL46" i="1"/>
  <c r="CN46" i="1" s="1"/>
  <c r="CM46" i="1"/>
  <c r="CQ46" i="1"/>
  <c r="CL47" i="1"/>
  <c r="CM47" i="1"/>
  <c r="CN47" i="1"/>
  <c r="CQ47" i="1"/>
  <c r="CL48" i="1"/>
  <c r="CN48" i="1" s="1"/>
  <c r="CM48" i="1"/>
  <c r="CQ48" i="1"/>
  <c r="CL49" i="1"/>
  <c r="CN49" i="1" s="1"/>
  <c r="CM49" i="1"/>
  <c r="CQ49" i="1"/>
  <c r="CL50" i="1"/>
  <c r="CM50" i="1"/>
  <c r="CN50" i="1"/>
  <c r="CQ50" i="1"/>
  <c r="CL51" i="1"/>
  <c r="CN51" i="1" s="1"/>
  <c r="CM51" i="1"/>
  <c r="CQ51" i="1"/>
  <c r="CL52" i="1"/>
  <c r="CM52" i="1"/>
  <c r="CN52" i="1"/>
  <c r="CQ52" i="1"/>
  <c r="CL53" i="1"/>
  <c r="CN53" i="1" s="1"/>
  <c r="CM53" i="1"/>
  <c r="CQ53" i="1"/>
  <c r="CL54" i="1"/>
  <c r="CN54" i="1" s="1"/>
  <c r="CM54" i="1"/>
  <c r="CQ54" i="1"/>
  <c r="CL55" i="1"/>
  <c r="CM55" i="1"/>
  <c r="CN55" i="1"/>
  <c r="CQ55" i="1"/>
  <c r="CL56" i="1"/>
  <c r="CN56" i="1" s="1"/>
  <c r="CM56" i="1"/>
  <c r="CQ56" i="1"/>
  <c r="CL57" i="1"/>
  <c r="CN57" i="1" s="1"/>
  <c r="CM57" i="1"/>
  <c r="CQ57" i="1"/>
  <c r="CL58" i="1"/>
  <c r="CM58" i="1"/>
  <c r="CN58" i="1"/>
  <c r="CQ58" i="1"/>
  <c r="CL59" i="1"/>
  <c r="CN59" i="1" s="1"/>
  <c r="CM59" i="1"/>
  <c r="CQ59" i="1"/>
  <c r="CL60" i="1"/>
  <c r="CN60" i="1" s="1"/>
  <c r="CM60" i="1"/>
  <c r="CQ60" i="1"/>
  <c r="CL61" i="1"/>
  <c r="CM61" i="1"/>
  <c r="CN61" i="1"/>
  <c r="CQ61" i="1"/>
  <c r="CL62" i="1"/>
  <c r="CM62" i="1"/>
  <c r="CN62" i="1"/>
  <c r="CQ62" i="1"/>
  <c r="CL63" i="1"/>
  <c r="CN63" i="1" s="1"/>
  <c r="CM63" i="1"/>
  <c r="CQ63" i="1"/>
  <c r="CL64" i="1"/>
  <c r="CM64" i="1"/>
  <c r="CN64" i="1"/>
  <c r="CQ64" i="1"/>
  <c r="CL65" i="1"/>
  <c r="CN65" i="1" s="1"/>
  <c r="CM65" i="1"/>
  <c r="CQ65" i="1"/>
  <c r="CL66" i="1"/>
  <c r="CM66" i="1"/>
  <c r="CN66" i="1"/>
  <c r="CQ66" i="1"/>
  <c r="CL67" i="1"/>
  <c r="CM67" i="1"/>
  <c r="CN67" i="1"/>
  <c r="CQ67" i="1"/>
  <c r="CL68" i="1"/>
  <c r="CN68" i="1" s="1"/>
  <c r="CM68" i="1"/>
  <c r="CQ68" i="1"/>
  <c r="CL69" i="1"/>
  <c r="CN69" i="1" s="1"/>
  <c r="CM69" i="1"/>
  <c r="CQ69" i="1"/>
  <c r="CL70" i="1"/>
  <c r="CN70" i="1" s="1"/>
  <c r="CM70" i="1"/>
  <c r="CQ70" i="1"/>
  <c r="CL71" i="1"/>
  <c r="CM71" i="1"/>
  <c r="CN71" i="1"/>
  <c r="CQ71" i="1"/>
  <c r="CL72" i="1"/>
  <c r="CN72" i="1" s="1"/>
  <c r="CM72" i="1"/>
  <c r="CQ72" i="1"/>
  <c r="CL73" i="1"/>
  <c r="CN73" i="1" s="1"/>
  <c r="CM73" i="1"/>
  <c r="CQ73" i="1"/>
  <c r="CL74" i="1"/>
  <c r="CM74" i="1"/>
  <c r="CN74" i="1"/>
  <c r="CQ74" i="1"/>
  <c r="CL75" i="1"/>
  <c r="CN75" i="1" s="1"/>
  <c r="CM75" i="1"/>
  <c r="CQ75" i="1"/>
  <c r="CL76" i="1"/>
  <c r="CN76" i="1" s="1"/>
  <c r="CM76" i="1"/>
  <c r="CQ76" i="1"/>
  <c r="CL77" i="1"/>
  <c r="CN77" i="1" s="1"/>
  <c r="CM77" i="1"/>
  <c r="CQ77" i="1"/>
  <c r="CL78" i="1"/>
  <c r="CM78" i="1"/>
  <c r="CN78" i="1"/>
  <c r="CQ78" i="1"/>
  <c r="CL79" i="1"/>
  <c r="CM79" i="1"/>
  <c r="CN79" i="1"/>
  <c r="CQ79" i="1"/>
  <c r="CL80" i="1"/>
  <c r="CM80" i="1"/>
  <c r="CN80" i="1"/>
  <c r="CQ80" i="1"/>
  <c r="CL81" i="1"/>
  <c r="CN81" i="1" s="1"/>
  <c r="CM81" i="1"/>
  <c r="CQ81" i="1"/>
  <c r="CL82" i="1"/>
  <c r="CN82" i="1" s="1"/>
  <c r="CM82" i="1"/>
  <c r="CQ82" i="1"/>
  <c r="T87" i="4" l="1"/>
  <c r="S87" i="4"/>
  <c r="U85" i="4" l="1"/>
  <c r="T85" i="4"/>
  <c r="S85" i="4"/>
  <c r="Q85" i="4"/>
  <c r="N85" i="4"/>
  <c r="M85" i="4"/>
  <c r="L85" i="4"/>
  <c r="J85" i="4"/>
  <c r="I85" i="4"/>
  <c r="H85" i="4"/>
  <c r="G85" i="4"/>
  <c r="E85" i="4"/>
  <c r="D85" i="4"/>
  <c r="C85" i="4"/>
  <c r="U86" i="4"/>
  <c r="CQ2" i="1"/>
  <c r="U88" i="4" l="1"/>
  <c r="T86" i="4" l="1"/>
  <c r="R87" i="4"/>
  <c r="N87" i="4"/>
  <c r="K87" i="4"/>
  <c r="T88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U5" i="6" l="1"/>
  <c r="W4" i="6"/>
  <c r="S5" i="6"/>
  <c r="Q6" i="6"/>
  <c r="Q87" i="4"/>
  <c r="U6" i="6" l="1"/>
  <c r="W5" i="6"/>
  <c r="Q7" i="6"/>
  <c r="S6" i="6"/>
  <c r="S86" i="4"/>
  <c r="S88" i="4" s="1"/>
  <c r="W6" i="6" l="1"/>
  <c r="U7" i="6"/>
  <c r="S7" i="6"/>
  <c r="Q8" i="6"/>
  <c r="P87" i="4"/>
  <c r="W7" i="6" l="1"/>
  <c r="U8" i="6"/>
  <c r="S8" i="6"/>
  <c r="Q9" i="6"/>
  <c r="R32" i="4"/>
  <c r="R72" i="4"/>
  <c r="R26" i="4"/>
  <c r="R53" i="4"/>
  <c r="R17" i="4"/>
  <c r="R86" i="4" l="1"/>
  <c r="R85" i="4"/>
  <c r="U9" i="6"/>
  <c r="W8" i="6"/>
  <c r="Q10" i="6"/>
  <c r="S9" i="6"/>
  <c r="R88" i="4"/>
  <c r="U10" i="6" l="1"/>
  <c r="W9" i="6"/>
  <c r="Q11" i="6"/>
  <c r="S10" i="6"/>
  <c r="U11" i="6" l="1"/>
  <c r="W10" i="6"/>
  <c r="Q12" i="6"/>
  <c r="S11" i="6"/>
  <c r="CN2" i="1"/>
  <c r="W11" i="6" l="1"/>
  <c r="U12" i="6"/>
  <c r="Q13" i="6"/>
  <c r="S12" i="6"/>
  <c r="U13" i="6" l="1"/>
  <c r="W12" i="6"/>
  <c r="S13" i="6"/>
  <c r="Q14" i="6"/>
  <c r="Q86" i="4"/>
  <c r="Q88" i="4" s="1"/>
  <c r="W13" i="6" l="1"/>
  <c r="U14" i="6"/>
  <c r="Q15" i="6"/>
  <c r="S14" i="6"/>
  <c r="O87" i="4"/>
  <c r="W14" i="6" l="1"/>
  <c r="U15" i="6"/>
  <c r="S15" i="6"/>
  <c r="Q16" i="6"/>
  <c r="P43" i="4"/>
  <c r="P86" i="4" l="1"/>
  <c r="P88" i="4" s="1"/>
  <c r="P85" i="4"/>
  <c r="W15" i="6"/>
  <c r="U16" i="6"/>
  <c r="Q17" i="6"/>
  <c r="S16" i="6"/>
  <c r="W16" i="6" l="1"/>
  <c r="U17" i="6"/>
  <c r="Q18" i="6"/>
  <c r="S17" i="6"/>
  <c r="O30" i="4"/>
  <c r="O59" i="4"/>
  <c r="O86" i="4"/>
  <c r="Z6" i="4"/>
  <c r="O85" i="4" l="1"/>
  <c r="U18" i="6"/>
  <c r="W17" i="6"/>
  <c r="Q19" i="6"/>
  <c r="S18" i="6"/>
  <c r="O88" i="4"/>
  <c r="U19" i="6" l="1"/>
  <c r="W18" i="6"/>
  <c r="Q20" i="6"/>
  <c r="S19" i="6"/>
  <c r="M87" i="4"/>
  <c r="U20" i="6" l="1"/>
  <c r="W19" i="6"/>
  <c r="Q21" i="6"/>
  <c r="S20" i="6"/>
  <c r="L87" i="4"/>
  <c r="Z7" i="4"/>
  <c r="Z8" i="4" s="1"/>
  <c r="M86" i="4"/>
  <c r="N86" i="4"/>
  <c r="U21" i="6" l="1"/>
  <c r="W20" i="6"/>
  <c r="S21" i="6"/>
  <c r="Q22" i="6"/>
  <c r="N88" i="4"/>
  <c r="U22" i="6" l="1"/>
  <c r="W21" i="6"/>
  <c r="Q23" i="6"/>
  <c r="S22" i="6"/>
  <c r="M88" i="4"/>
  <c r="W22" i="6" l="1"/>
  <c r="U23" i="6"/>
  <c r="S23" i="6"/>
  <c r="Q24" i="6"/>
  <c r="L86" i="4"/>
  <c r="W23" i="6" l="1"/>
  <c r="U24" i="6"/>
  <c r="Q25" i="6"/>
  <c r="S24" i="6"/>
  <c r="L88" i="4"/>
  <c r="W24" i="6" l="1"/>
  <c r="U25" i="6"/>
  <c r="S25" i="6"/>
  <c r="Q26" i="6"/>
  <c r="J87" i="4"/>
  <c r="I87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86" i="4" s="1"/>
  <c r="K2" i="4"/>
  <c r="K85" i="4" s="1"/>
  <c r="U27" i="6" l="1"/>
  <c r="W26" i="6"/>
  <c r="Q28" i="6"/>
  <c r="S27" i="6"/>
  <c r="K88" i="4"/>
  <c r="U28" i="6" l="1"/>
  <c r="W27" i="6"/>
  <c r="Q29" i="6"/>
  <c r="S28" i="6"/>
  <c r="J86" i="4"/>
  <c r="U29" i="6" l="1"/>
  <c r="W28" i="6"/>
  <c r="S29" i="6"/>
  <c r="Q30" i="6"/>
  <c r="J88" i="4"/>
  <c r="U30" i="6" l="1"/>
  <c r="W29" i="6"/>
  <c r="Q31" i="6"/>
  <c r="S30" i="6"/>
  <c r="E87" i="4"/>
  <c r="U31" i="6" l="1"/>
  <c r="W30" i="6"/>
  <c r="S31" i="6"/>
  <c r="Q32" i="6"/>
  <c r="G87" i="4"/>
  <c r="H87" i="4"/>
  <c r="W31" i="6" l="1"/>
  <c r="U32" i="6"/>
  <c r="S32" i="6"/>
  <c r="Q33" i="6"/>
  <c r="I86" i="4"/>
  <c r="I88" i="4" s="1"/>
  <c r="U33" i="6" l="1"/>
  <c r="W32" i="6"/>
  <c r="Q34" i="6"/>
  <c r="S33" i="6"/>
  <c r="D87" i="4"/>
  <c r="C87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87" i="4"/>
  <c r="H86" i="4"/>
  <c r="U37" i="6" l="1"/>
  <c r="W36" i="6"/>
  <c r="S37" i="6"/>
  <c r="Q38" i="6"/>
  <c r="H7" i="6"/>
  <c r="I6" i="6"/>
  <c r="J6" i="6" s="1"/>
  <c r="H88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86" i="4"/>
  <c r="I10" i="6" l="1"/>
  <c r="J10" i="6" s="1"/>
  <c r="H11" i="6"/>
  <c r="G88" i="4"/>
  <c r="B87" i="4"/>
  <c r="E86" i="4"/>
  <c r="D86" i="4"/>
  <c r="C86" i="4"/>
  <c r="F20" i="4"/>
  <c r="F19" i="4"/>
  <c r="F85" i="4" s="1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85" i="4" l="1"/>
  <c r="E88" i="4"/>
  <c r="F86" i="4"/>
  <c r="F88" i="4" s="1"/>
  <c r="H12" i="6"/>
  <c r="I11" i="6"/>
  <c r="J11" i="6" s="1"/>
  <c r="C88" i="4"/>
  <c r="D88" i="4"/>
  <c r="B86" i="4"/>
  <c r="B88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<sst xmlns="http://schemas.openxmlformats.org/spreadsheetml/2006/main" count="9077" uniqueCount="396">
  <si>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</si>
  <si>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</si>
  <si>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</si>
  <si>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</si>
  <si>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</si>
  <si>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</si>
  <si>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</si>
  <si>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</si>
  <si>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</si>
  <si>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</si>
  <si>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</si>
  <si>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</si>
  <si>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</si>
  <si>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</si>
  <si>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</si>
  <si>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</si>
  <si>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</si>
  <si>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</si>
  <si>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</si>
  <si>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</si>
  <si>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</si>
  <si>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</si>
  <si>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</si>
  <si>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</si>
  <si>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</si>
  <si>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</si>
  <si>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</si>
  <si>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</si>
  <si>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</si>
  <si>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</si>
  <si>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</si>
  <si>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</si>
  <si>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</si>
  <si>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</si>
  <si>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</si>
  <si>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</si>
  <si>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</si>
  <si>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</si>
  <si>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</si>
  <si>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</si>
  <si>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</si>
  <si>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</si>
  <si>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</si>
  <si>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</si>
  <si>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</si>
  <si>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</si>
  <si>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</si>
  <si>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</si>
  <si>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</si>
  <si>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</si>
  <si>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</si>
  <si>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</si>
  <si>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</si>
  <si>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</si>
  <si>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</si>
  <si>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</si>
  <si>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</si>
  <si>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</si>
  <si>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</si>
  <si>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</si>
  <si>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</si>
  <si>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</si>
  <si>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</si>
  <si>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</si>
  <si>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</si>
  <si>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</si>
  <si>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</si>
  <si>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</si>
  <si>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</si>
  <si>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</si>
  <si>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</si>
  <si>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</si>
  <si>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</si>
  <si>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</si>
  <si>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</si>
  <si>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</si>
  <si>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</si>
  <si>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</si>
  <si>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</si>
  <si>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</si>
  <si>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</si>
  <si>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</si>
  <si>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</si>
  <si>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</si>
  <si>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</si>
  <si>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</si>
  <si>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</si>
  <si>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</si>
  <si>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</si>
  <si>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</si>
  <si>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</si>
  <si>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</si>
  <si>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</si>
  <si>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</si>
  <si>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</si>
  <si>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</si>
  <si>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</si>
  <si>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</si>
  <si>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</si>
  <si>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</si>
  <si>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</si>
  <si>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</si>
  <si>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</si>
  <si>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</si>
  <si>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</si>
  <si>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</si>
  <si>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</si>
  <si>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</si>
  <si>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</si>
  <si>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</si>
  <si>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</si>
  <si>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</si>
  <si>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</si>
  <si>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</si>
  <si>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</si>
  <si>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</si>
  <si>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</si>
  <si>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</si>
  <si>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</si>
  <si>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</si>
  <si>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</si>
  <si>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</si>
  <si>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</si>
  <si>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</si>
  <si>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</si>
  <si>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</si>
  <si>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</si>
  <si>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</si>
  <si>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</si>
  <si>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</si>
  <si>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</si>
  <si>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</si>
  <si>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</si>
  <si>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</si>
  <si>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</si>
  <si>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</si>
  <si>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</si>
  <si>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</si>
  <si>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</si>
  <si>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</si>
  <si>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</si>
  <si>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</si>
  <si>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</si>
  <si>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</si>
  <si>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</si>
  <si>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</si>
  <si>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</si>
  <si>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</si>
  <si>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</si>
  <si>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</si>
  <si>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</si>
  <si>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</si>
  <si>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</si>
  <si>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</si>
  <si>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</si>
  <si>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</si>
  <si>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</si>
  <si>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</si>
  <si>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</si>
  <si>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</si>
  <si>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</si>
  <si>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</si>
  <si>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</si>
  <si>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</si>
  <si>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</si>
  <si>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</si>
  <si>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</si>
  <si>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</si>
  <si>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</si>
  <si>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</si>
  <si>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</si>
  <si>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</si>
  <si>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</si>
  <si>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</si>
  <si>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</si>
  <si>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</si>
  <si>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</si>
  <si>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</si>
  <si>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</si>
  <si>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</si>
  <si>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</si>
  <si>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</si>
  <si>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</si>
  <si>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</si>
  <si>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</si>
  <si>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</si>
  <si>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</si>
  <si>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</si>
  <si>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</si>
  <si>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</si>
  <si>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</si>
  <si>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</si>
  <si>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</si>
  <si>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</si>
  <si>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</si>
  <si>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</si>
  <si>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</si>
  <si>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</si>
  <si>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</si>
  <si>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</si>
  <si>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</si>
  <si>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</si>
  <si>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</si>
  <si>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</si>
  <si>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</si>
  <si>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</si>
  <si>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</si>
  <si>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</si>
  <si>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</si>
  <si>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</si>
  <si>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</si>
  <si>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</si>
  <si>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</si>
  <si>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</si>
  <si>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</si>
  <si>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</si>
  <si>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</si>
  <si>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</si>
  <si>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</si>
  <si>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</si>
  <si>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</si>
  <si>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</si>
  <si>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</si>
  <si>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</si>
  <si>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</si>
  <si>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</si>
  <si>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</si>
  <si>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</si>
  <si>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</si>
  <si>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</si>
  <si>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</si>
  <si>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</si>
  <si>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</si>
  <si>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</si>
  <si>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</si>
  <si>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</si>
  <si>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</si>
  <si>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</si>
  <si>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</si>
  <si>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</si>
  <si>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</si>
  <si>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</si>
  <si>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</si>
  <si>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</si>
  <si>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</si>
  <si>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</si>
  <si>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</si>
  <si>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</si>
  <si>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</si>
  <si>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</si>
  <si>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</si>
  <si>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</si>
  <si>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</si>
  <si>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</si>
  <si>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</si>
  <si>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</si>
  <si>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</si>
  <si>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</si>
  <si>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</si>
  <si>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</si>
  <si>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</si>
  <si>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</si>
  <si>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</si>
  <si>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</si>
  <si>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</si>
  <si>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</si>
  <si>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</si>
  <si>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</si>
  <si>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</si>
  <si>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</si>
  <si>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</si>
  <si>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</si>
  <si>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</si>
  <si>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</si>
  <si>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</si>
  <si>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</si>
  <si>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</si>
  <si>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</si>
  <si>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</si>
  <si>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</si>
  <si>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</si>
  <si>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</si>
  <si>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</si>
  <si>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</si>
  <si>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</si>
  <si>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</si>
  <si>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</si>
  <si>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</si>
  <si>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</si>
  <si>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</si>
  <si>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</si>
  <si>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</si>
  <si>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</si>
  <si>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</si>
  <si>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</si>
  <si>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</si>
  <si>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</si>
  <si>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</si>
  <si>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</si>
  <si>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</si>
  <si>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</si>
  <si>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</si>
  <si>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</si>
  <si>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</si>
  <si>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</si>
  <si>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</si>
  <si>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</si>
  <si>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</si>
  <si>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</si>
  <si>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</si>
  <si>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</si>
  <si>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</si>
  <si>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</si>
  <si>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</si>
  <si>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</si>
  <si>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</si>
  <si>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</si>
  <si>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</si>
  <si>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</si>
  <si>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</si>
  <si>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</si>
  <si>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</si>
  <si>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</si>
  <si>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</si>
  <si>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</si>
  <si>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</si>
  <si>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</si>
  <si>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</si>
  <si>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</si>
  <si>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</si>
  <si>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</si>
  <si>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</si>
  <si>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</si>
  <si>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</si>
  <si>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</si>
  <si>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</si>
  <si>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</si>
  <si>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</si>
  <si>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</si>
  <si>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</si>
  <si>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</si>
  <si>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</si>
  <si>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</si>
  <si>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</si>
  <si>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</si>
  <si>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</si>
  <si>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</si>
  <si>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</si>
  <si>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</si>
  <si>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</si>
  <si>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</si>
  <si>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</si>
  <si>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</si>
  <si>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</si>
  <si>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</si>
  <si>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</si>
  <si>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</si>
  <si>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</si>
  <si>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</si>
  <si>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</si>
  <si>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</si>
  <si>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</si>
  <si>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</si>
  <si>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</si>
  <si>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</si>
  <si>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</si>
  <si>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</si>
  <si>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</si>
  <si>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</si>
  <si>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</si>
  <si>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</si>
  <si>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</si>
  <si>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</si>
  <si>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</si>
  <si>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</si>
  <si>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</si>
  <si>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</si>
  <si>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</si>
  <si>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</si>
  <si>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</si>
  <si>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</si>
  <si>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</si>
  <si>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</si>
  <si>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</si>
  <si>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conv</t>
  </si>
  <si>
    <t>Thiago</t>
  </si>
  <si>
    <t>jan</t>
  </si>
  <si>
    <t>Verificação</t>
  </si>
  <si>
    <t>Passo</t>
  </si>
  <si>
    <t>Gabe</t>
  </si>
  <si>
    <t>G. Ripardo</t>
  </si>
  <si>
    <t>Thiago T.</t>
  </si>
  <si>
    <t>Eduardo</t>
  </si>
  <si>
    <t>Mateus Luiza</t>
  </si>
  <si>
    <t>M25</t>
  </si>
  <si>
    <t>C25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</si>
</sst>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2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  <xf numFmtId="0" fontId="0" fillId="0" borderId="0" xfId="0" applyFill="1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S83"/>
  <sheetViews>
    <sheetView tabSelected="1" zoomScale="85" zoomScaleNormal="85" workbookViewId="0">
      <pane xSplit="1" topLeftCell="BU1" activePane="topRight" state="frozen"/>
      <selection pane="topRight" activeCell="CG20" sqref="CG20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29" width="10.54296875" customWidth="1"/>
    <col min="30" max="30" width="11" bestFit="1" customWidth="1"/>
    <col min="31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89" width="11" customWidth="1"/>
  </cols>
  <sheetData>
    <row r="1" spans="1:97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>
        <v>46036</v>
      </c>
      <c r="CE1" s="1">
        <v>46043</v>
      </c>
      <c r="CF1" s="1">
        <v>46050</v>
      </c>
      <c r="CG1" s="1">
        <v>46057</v>
      </c>
      <c r="CH1" s="1">
        <v>46064</v>
      </c>
      <c r="CI1" s="1">
        <v>46071</v>
      </c>
      <c r="CJ1" s="1">
        <v>46078</v>
      </c>
      <c r="CK1" s="1"/>
      <c r="CL1" t="s">
        <v>57</v>
      </c>
      <c r="CM1" t="s">
        <v>58</v>
      </c>
      <c r="CN1" t="s">
        <v>59</v>
      </c>
      <c r="CO1" t="s">
        <v>62</v>
      </c>
      <c r="CP1" t="s">
        <v>386</v>
      </c>
      <c r="CQ1" t="s">
        <v>384</v>
      </c>
      <c r="CR1" t="s">
        <v>394</v>
      </c>
      <c r="CS1" t="s">
        <v>395</v>
      </c>
    </row>
    <row r="2" spans="1:97" x14ac:dyDescent="0.35">
      <c r="A2" t="s">
        <v>1</v>
      </c>
      <c r="B2">
        <v>9.5</v>
      </c>
      <c r="C2">
        <v>1.5</v>
      </c>
      <c r="D2">
        <v>8</v>
      </c>
      <c r="E2">
        <v>5.5</v>
      </c>
      <c r="F2">
        <v>7</v>
      </c>
      <c r="G2">
        <v>7</v>
      </c>
      <c r="H2">
        <v>5</v>
      </c>
      <c r="I2">
        <v>8</v>
      </c>
      <c r="J2">
        <v>5</v>
      </c>
      <c r="K2">
        <v>7</v>
      </c>
      <c r="L2">
        <v>8</v>
      </c>
      <c r="M2">
        <v>5</v>
      </c>
      <c r="N2">
        <v>5.5</v>
      </c>
      <c r="O2">
        <v>5</v>
      </c>
      <c r="P2">
        <v>7</v>
      </c>
      <c r="Q2">
        <v>7</v>
      </c>
      <c r="R2">
        <v>7</v>
      </c>
      <c r="S2">
        <v>8</v>
      </c>
      <c r="T2">
        <v>5.5</v>
      </c>
      <c r="U2">
        <v>5</v>
      </c>
      <c r="V2">
        <v>5.5</v>
      </c>
      <c r="W2">
        <v>5.5</v>
      </c>
      <c r="X2">
        <v>5.5</v>
      </c>
      <c r="Y2">
        <v>7</v>
      </c>
      <c r="Z2" t="s">
        <v>26</v>
      </c>
      <c r="AA2">
        <v>5.5</v>
      </c>
      <c r="AB2">
        <v>5.5</v>
      </c>
      <c r="AC2">
        <v>8</v>
      </c>
      <c r="AD2">
        <v>7</v>
      </c>
      <c r="AE2">
        <v>7</v>
      </c>
      <c r="AF2">
        <v>7</v>
      </c>
      <c r="AG2">
        <v>7</v>
      </c>
      <c r="AH2">
        <v>8</v>
      </c>
      <c r="AI2">
        <v>8</v>
      </c>
      <c r="AJ2">
        <v>5</v>
      </c>
      <c r="AK2">
        <v>5.5</v>
      </c>
      <c r="AL2">
        <v>4</v>
      </c>
      <c r="AM2">
        <v>4</v>
      </c>
      <c r="AN2">
        <v>6.5</v>
      </c>
      <c r="AO2">
        <v>5.5</v>
      </c>
      <c r="AP2">
        <v>6.5</v>
      </c>
      <c r="AQ2">
        <v>5.5</v>
      </c>
      <c r="AR2">
        <v>6.5</v>
      </c>
      <c r="AS2">
        <v>5</v>
      </c>
      <c r="AT2">
        <v>6.5</v>
      </c>
      <c r="AU2">
        <v>5.5</v>
      </c>
      <c r="AV2">
        <v>4</v>
      </c>
      <c r="AW2">
        <v>6.5</v>
      </c>
      <c r="AX2">
        <v>6.5</v>
      </c>
      <c r="AY2" t="s">
        <v>26</v>
      </c>
      <c r="AZ2" t="s">
        <v>26</v>
      </c>
      <c r="BA2">
        <v>5.5</v>
      </c>
      <c r="BB2">
        <v>6.5</v>
      </c>
      <c r="BC2">
        <v>4</v>
      </c>
      <c r="BD2">
        <v>5</v>
      </c>
      <c r="BE2" t="s">
        <v>26</v>
      </c>
      <c r="BF2">
        <v>5.5</v>
      </c>
      <c r="BG2">
        <v>5.5</v>
      </c>
      <c r="BH2">
        <v>6.5</v>
      </c>
      <c r="BI2">
        <v>6.5</v>
      </c>
      <c r="BJ2">
        <v>5.5</v>
      </c>
      <c r="BK2">
        <v>6.5</v>
      </c>
      <c r="BL2">
        <v>8</v>
      </c>
      <c r="BM2">
        <v>5.5</v>
      </c>
      <c r="BN2" t="s">
        <v>26</v>
      </c>
      <c r="BO2">
        <v>5.5</v>
      </c>
      <c r="BP2">
        <v>5</v>
      </c>
      <c r="BQ2">
        <v>5.5</v>
      </c>
      <c r="BR2">
        <v>8</v>
      </c>
      <c r="BS2">
        <v>6.5</v>
      </c>
      <c r="BT2">
        <v>5.5</v>
      </c>
      <c r="BU2">
        <v>6.5</v>
      </c>
      <c r="BV2">
        <v>7</v>
      </c>
      <c r="BW2">
        <v>6.5</v>
      </c>
      <c r="BX2">
        <v>5.5</v>
      </c>
      <c r="BY2">
        <v>4</v>
      </c>
      <c r="BZ2">
        <v>6.5</v>
      </c>
      <c r="CA2">
        <v>5.5</v>
      </c>
      <c r="CB2">
        <v>5.5</v>
      </c>
      <c r="CC2">
        <v>5.5</v>
      </c>
      <c r="CD2">
        <v>5.5</v>
      </c>
      <c r="CF2">
        <v>6</v>
      </c>
      <c r="CG2">
        <v>4</v>
      </c>
      <c r="CH2">
        <v>6</v>
      </c>
      <c r="CI2">
        <v>6.5</v>
      </c>
      <c r="CJ2">
        <v>6</v>
      </c>
      <c r="CL2">
        <f>COUNT(B2:CJ2)</f>
        <v>81</v>
      </c>
      <c r="CM2" s="18">
        <f>AVERAGE(B2:CJ2)</f>
        <v>6.0370370370370372</v>
      </c>
      <c r="CN2">
        <f t="shared" ref="CN2" si="0">IF(CL2&gt;1,_xlfn.STDEV.S(B2:CF2),"")</f>
        <v>1.2512468149547391</v>
      </c>
      <c r="CO2">
        <v>1</v>
      </c>
      <c r="CP2">
        <f>COUNT(CG2:CJ2)</f>
        <v>4</v>
      </c>
      <c r="CQ2">
        <f t="shared" ref="CQ2" si="1">IF(CO2=0,CP2,0)</f>
        <v>0</v>
      </c>
      <c r="CR2">
        <f>AVERAGE(AE2:CB2)</f>
        <v>5.9456521739130439</v>
      </c>
      <c r="CS2">
        <f>COUNT(AE2:CB2)</f>
        <v>46</v>
      </c>
    </row>
    <row r="3" spans="1:97" x14ac:dyDescent="0.35">
      <c r="A3" t="s">
        <v>10</v>
      </c>
      <c r="B3">
        <v>3</v>
      </c>
      <c r="C3">
        <v>5</v>
      </c>
      <c r="D3">
        <v>7</v>
      </c>
      <c r="E3">
        <v>5</v>
      </c>
      <c r="F3">
        <v>5</v>
      </c>
      <c r="G3">
        <v>5</v>
      </c>
      <c r="H3">
        <v>5.5</v>
      </c>
      <c r="I3">
        <v>5</v>
      </c>
      <c r="J3">
        <v>5.5</v>
      </c>
      <c r="K3">
        <v>5.5</v>
      </c>
      <c r="L3">
        <v>5</v>
      </c>
      <c r="M3">
        <v>7</v>
      </c>
      <c r="N3">
        <v>7</v>
      </c>
      <c r="O3">
        <v>7</v>
      </c>
      <c r="P3">
        <v>3.5</v>
      </c>
      <c r="Q3">
        <v>5</v>
      </c>
      <c r="R3">
        <v>5</v>
      </c>
      <c r="S3">
        <v>7</v>
      </c>
      <c r="T3">
        <v>5</v>
      </c>
      <c r="U3">
        <v>7</v>
      </c>
      <c r="V3">
        <v>7</v>
      </c>
      <c r="W3" t="s">
        <v>26</v>
      </c>
      <c r="X3">
        <v>5.5</v>
      </c>
      <c r="Y3">
        <v>7</v>
      </c>
      <c r="Z3" t="s">
        <v>26</v>
      </c>
      <c r="AA3">
        <v>5.5</v>
      </c>
      <c r="AB3">
        <v>5.5</v>
      </c>
      <c r="AC3">
        <v>5</v>
      </c>
      <c r="AD3">
        <v>5.5</v>
      </c>
      <c r="AE3">
        <v>8</v>
      </c>
      <c r="AF3">
        <v>5.5</v>
      </c>
      <c r="AG3" t="s">
        <v>26</v>
      </c>
      <c r="AH3">
        <v>8</v>
      </c>
      <c r="AI3">
        <v>5.5</v>
      </c>
      <c r="AJ3">
        <v>5.5</v>
      </c>
      <c r="AK3">
        <v>5.5</v>
      </c>
      <c r="AL3">
        <v>6.5</v>
      </c>
      <c r="AM3">
        <v>5</v>
      </c>
      <c r="AN3">
        <v>5.5</v>
      </c>
      <c r="AO3">
        <v>6.5</v>
      </c>
      <c r="AP3">
        <v>6.5</v>
      </c>
      <c r="AQ3">
        <v>5.5</v>
      </c>
      <c r="AR3">
        <v>5</v>
      </c>
      <c r="AS3">
        <v>6.5</v>
      </c>
      <c r="AT3">
        <v>5</v>
      </c>
      <c r="AU3">
        <v>5</v>
      </c>
      <c r="AV3">
        <v>5</v>
      </c>
      <c r="AW3">
        <v>4</v>
      </c>
      <c r="AX3">
        <v>3.5</v>
      </c>
      <c r="AY3">
        <v>7</v>
      </c>
      <c r="AZ3">
        <v>5</v>
      </c>
      <c r="BA3">
        <v>5.5</v>
      </c>
      <c r="BB3">
        <v>5</v>
      </c>
      <c r="BC3">
        <v>4</v>
      </c>
      <c r="BD3">
        <v>6.5</v>
      </c>
      <c r="BE3">
        <v>8.5</v>
      </c>
      <c r="BF3" t="s">
        <v>26</v>
      </c>
      <c r="BG3" t="s">
        <v>26</v>
      </c>
      <c r="BH3" t="s">
        <v>26</v>
      </c>
      <c r="BI3">
        <v>6.5</v>
      </c>
      <c r="BJ3">
        <v>6.5</v>
      </c>
      <c r="BK3">
        <v>6.5</v>
      </c>
      <c r="BL3">
        <v>5.5</v>
      </c>
      <c r="BM3">
        <v>4</v>
      </c>
      <c r="BN3">
        <v>5.5</v>
      </c>
      <c r="BO3">
        <v>5.5</v>
      </c>
      <c r="BP3">
        <v>5</v>
      </c>
      <c r="BQ3">
        <v>5</v>
      </c>
      <c r="BR3">
        <v>5</v>
      </c>
      <c r="BS3">
        <v>5.5</v>
      </c>
      <c r="BT3" t="s">
        <v>26</v>
      </c>
      <c r="BU3" t="s">
        <v>26</v>
      </c>
      <c r="BV3">
        <v>5</v>
      </c>
      <c r="BW3">
        <v>5.5</v>
      </c>
      <c r="BX3">
        <v>7</v>
      </c>
      <c r="BY3" t="s">
        <v>26</v>
      </c>
      <c r="BZ3">
        <v>5</v>
      </c>
      <c r="CA3">
        <v>5</v>
      </c>
      <c r="CB3">
        <v>5</v>
      </c>
      <c r="CC3">
        <v>6.5</v>
      </c>
      <c r="CD3">
        <v>7</v>
      </c>
      <c r="CE3">
        <v>5.5</v>
      </c>
      <c r="CF3">
        <v>5.5</v>
      </c>
      <c r="CG3">
        <v>6</v>
      </c>
      <c r="CH3">
        <v>5.5</v>
      </c>
      <c r="CI3">
        <v>6</v>
      </c>
      <c r="CJ3">
        <v>6.5</v>
      </c>
      <c r="CL3">
        <f>COUNT(B3:CJ3)</f>
        <v>78</v>
      </c>
      <c r="CM3" s="18">
        <f>AVERAGE(B3:CJ3)</f>
        <v>5.6602564102564106</v>
      </c>
      <c r="CN3">
        <f t="shared" ref="CN3:CN66" si="2">IF(CL3&gt;1,_xlfn.STDEV.S(B3:CF3),"")</f>
        <v>1.0518094984498128</v>
      </c>
      <c r="CO3">
        <v>1</v>
      </c>
      <c r="CP3">
        <f t="shared" ref="CP3:CP66" si="3">COUNT(CG3:CJ3)</f>
        <v>4</v>
      </c>
      <c r="CQ3">
        <f t="shared" ref="CQ3:CQ66" si="4">IF(CO3=0,CP3,0)</f>
        <v>0</v>
      </c>
      <c r="CR3">
        <f t="shared" ref="CR3:CR66" si="5">AVERAGE(AE3:CB3)</f>
        <v>5.6279069767441863</v>
      </c>
      <c r="CS3">
        <f t="shared" ref="CS3:CS66" si="6">COUNT(AE3:CB3)</f>
        <v>43</v>
      </c>
    </row>
    <row r="4" spans="1:97" x14ac:dyDescent="0.35">
      <c r="A4" t="s">
        <v>4</v>
      </c>
      <c r="B4">
        <v>3.5</v>
      </c>
      <c r="C4" t="s">
        <v>26</v>
      </c>
      <c r="D4">
        <v>5.5</v>
      </c>
      <c r="E4">
        <v>5</v>
      </c>
      <c r="F4">
        <v>5.5</v>
      </c>
      <c r="G4" t="s">
        <v>26</v>
      </c>
      <c r="H4">
        <v>7</v>
      </c>
      <c r="I4">
        <v>5</v>
      </c>
      <c r="J4">
        <v>5.5</v>
      </c>
      <c r="K4">
        <v>5</v>
      </c>
      <c r="L4">
        <v>7</v>
      </c>
      <c r="M4">
        <v>5.5</v>
      </c>
      <c r="N4">
        <v>7</v>
      </c>
      <c r="O4">
        <v>5</v>
      </c>
      <c r="P4">
        <v>5</v>
      </c>
      <c r="Q4">
        <v>7</v>
      </c>
      <c r="R4">
        <v>5.5</v>
      </c>
      <c r="S4">
        <v>5.5</v>
      </c>
      <c r="T4">
        <v>7</v>
      </c>
      <c r="U4">
        <v>5.5</v>
      </c>
      <c r="V4">
        <v>5</v>
      </c>
      <c r="W4">
        <v>5</v>
      </c>
      <c r="X4">
        <v>5.5</v>
      </c>
      <c r="Y4">
        <v>5</v>
      </c>
      <c r="Z4" t="s">
        <v>26</v>
      </c>
      <c r="AA4">
        <v>7</v>
      </c>
      <c r="AB4">
        <v>5.5</v>
      </c>
      <c r="AC4">
        <v>5.5</v>
      </c>
      <c r="AD4">
        <v>5.5</v>
      </c>
      <c r="AE4">
        <v>8</v>
      </c>
      <c r="AF4">
        <v>7</v>
      </c>
      <c r="AG4">
        <v>7</v>
      </c>
      <c r="AH4">
        <v>5.5</v>
      </c>
      <c r="AI4">
        <v>7</v>
      </c>
      <c r="AJ4" t="s">
        <v>26</v>
      </c>
      <c r="AK4" t="s">
        <v>26</v>
      </c>
      <c r="AL4">
        <v>2.5</v>
      </c>
      <c r="AM4">
        <v>4</v>
      </c>
      <c r="AN4">
        <v>6.5</v>
      </c>
      <c r="AO4">
        <v>5.5</v>
      </c>
      <c r="AP4">
        <v>5</v>
      </c>
      <c r="AQ4" t="s">
        <v>26</v>
      </c>
      <c r="AR4" t="s">
        <v>26</v>
      </c>
      <c r="AS4" t="s">
        <v>26</v>
      </c>
      <c r="AT4" t="s">
        <v>26</v>
      </c>
      <c r="AU4" t="s">
        <v>26</v>
      </c>
      <c r="AV4">
        <v>4</v>
      </c>
      <c r="AW4">
        <v>5</v>
      </c>
      <c r="AX4">
        <v>5</v>
      </c>
      <c r="AY4">
        <v>5.5</v>
      </c>
      <c r="AZ4">
        <v>4</v>
      </c>
      <c r="BA4">
        <v>5.5</v>
      </c>
      <c r="BB4">
        <v>5.5</v>
      </c>
      <c r="BC4">
        <v>7</v>
      </c>
      <c r="BD4" t="s">
        <v>26</v>
      </c>
      <c r="BE4" t="s">
        <v>26</v>
      </c>
      <c r="BF4" t="s">
        <v>26</v>
      </c>
      <c r="BG4" t="s">
        <v>26</v>
      </c>
      <c r="BH4">
        <v>6.5</v>
      </c>
      <c r="BI4">
        <v>6.5</v>
      </c>
      <c r="BJ4">
        <v>6.5</v>
      </c>
      <c r="BK4">
        <v>5.5</v>
      </c>
      <c r="BL4">
        <v>5</v>
      </c>
      <c r="BM4">
        <v>5.5</v>
      </c>
      <c r="BN4">
        <v>7</v>
      </c>
      <c r="BO4">
        <v>5.5</v>
      </c>
      <c r="BP4">
        <v>5.5</v>
      </c>
      <c r="BQ4">
        <v>5.5</v>
      </c>
      <c r="BR4">
        <v>5.5</v>
      </c>
      <c r="BS4">
        <v>5.5</v>
      </c>
      <c r="BT4">
        <v>6.5</v>
      </c>
      <c r="BU4">
        <v>6.5</v>
      </c>
      <c r="BV4">
        <v>5.5</v>
      </c>
      <c r="BW4">
        <v>6.5</v>
      </c>
      <c r="BX4">
        <v>5.5</v>
      </c>
      <c r="BY4">
        <v>5.5</v>
      </c>
      <c r="BZ4">
        <v>5.5</v>
      </c>
      <c r="CA4">
        <v>5.5</v>
      </c>
      <c r="CB4">
        <v>5.5</v>
      </c>
      <c r="CC4">
        <v>7</v>
      </c>
      <c r="CD4">
        <v>6</v>
      </c>
      <c r="CE4">
        <v>6.5</v>
      </c>
      <c r="CF4">
        <v>7</v>
      </c>
      <c r="CG4">
        <v>5.5</v>
      </c>
      <c r="CH4">
        <v>5.5</v>
      </c>
      <c r="CI4">
        <v>5.5</v>
      </c>
      <c r="CL4">
        <f t="shared" ref="CL4:CL66" si="7">COUNT(B4:CI4)</f>
        <v>72</v>
      </c>
      <c r="CM4" s="18">
        <f t="shared" ref="CM4:CM66" si="8">AVERAGE(B4:CI4)</f>
        <v>5.708333333333333</v>
      </c>
      <c r="CN4">
        <f t="shared" si="2"/>
        <v>0.96435844595057774</v>
      </c>
      <c r="CO4">
        <v>1</v>
      </c>
      <c r="CP4">
        <f t="shared" si="3"/>
        <v>3</v>
      </c>
      <c r="CQ4">
        <f t="shared" si="4"/>
        <v>0</v>
      </c>
      <c r="CR4">
        <f t="shared" si="5"/>
        <v>5.6923076923076925</v>
      </c>
      <c r="CS4">
        <f t="shared" si="6"/>
        <v>39</v>
      </c>
    </row>
    <row r="5" spans="1:97" x14ac:dyDescent="0.35">
      <c r="A5" t="s">
        <v>6</v>
      </c>
      <c r="B5">
        <v>8</v>
      </c>
      <c r="C5">
        <v>7</v>
      </c>
      <c r="D5">
        <v>7</v>
      </c>
      <c r="E5">
        <v>8</v>
      </c>
      <c r="F5">
        <v>5.5</v>
      </c>
      <c r="G5">
        <v>5.5</v>
      </c>
      <c r="H5" t="s">
        <v>26</v>
      </c>
      <c r="I5">
        <v>8</v>
      </c>
      <c r="J5" t="s">
        <v>26</v>
      </c>
      <c r="K5">
        <v>8</v>
      </c>
      <c r="L5" t="s">
        <v>26</v>
      </c>
      <c r="M5" t="s">
        <v>26</v>
      </c>
      <c r="N5">
        <v>5.5</v>
      </c>
      <c r="O5">
        <v>7</v>
      </c>
      <c r="P5">
        <v>5.5</v>
      </c>
      <c r="Q5" t="s">
        <v>26</v>
      </c>
      <c r="R5" t="s">
        <v>26</v>
      </c>
      <c r="S5">
        <v>5.5</v>
      </c>
      <c r="T5">
        <v>7</v>
      </c>
      <c r="U5">
        <v>7</v>
      </c>
      <c r="V5" t="s">
        <v>26</v>
      </c>
      <c r="W5">
        <v>5.5</v>
      </c>
      <c r="X5">
        <v>5.5</v>
      </c>
      <c r="Y5" t="s">
        <v>26</v>
      </c>
      <c r="Z5" t="s">
        <v>26</v>
      </c>
      <c r="AA5">
        <v>5.5</v>
      </c>
      <c r="AB5" t="s">
        <v>26</v>
      </c>
      <c r="AC5" t="s">
        <v>26</v>
      </c>
      <c r="AD5" t="s">
        <v>26</v>
      </c>
      <c r="AE5">
        <v>7</v>
      </c>
      <c r="AF5">
        <v>8</v>
      </c>
      <c r="AG5">
        <v>8.5</v>
      </c>
      <c r="AH5">
        <v>6.5</v>
      </c>
      <c r="AI5" t="s">
        <v>26</v>
      </c>
      <c r="AJ5">
        <v>6.5</v>
      </c>
      <c r="AK5">
        <v>5.5</v>
      </c>
      <c r="AL5">
        <v>5</v>
      </c>
      <c r="AM5">
        <v>6.5</v>
      </c>
      <c r="AN5">
        <v>8</v>
      </c>
      <c r="AO5">
        <v>7</v>
      </c>
      <c r="AP5">
        <v>5.5</v>
      </c>
      <c r="AQ5">
        <v>6.5</v>
      </c>
      <c r="AR5">
        <v>6.5</v>
      </c>
      <c r="AS5">
        <v>5.5</v>
      </c>
      <c r="AT5">
        <v>6.5</v>
      </c>
      <c r="AU5">
        <v>5.5</v>
      </c>
      <c r="AV5">
        <v>5.5</v>
      </c>
      <c r="AW5" t="s">
        <v>26</v>
      </c>
      <c r="AX5">
        <v>10</v>
      </c>
      <c r="AY5">
        <v>6.5</v>
      </c>
      <c r="AZ5">
        <v>5.5</v>
      </c>
      <c r="BA5">
        <v>5.5</v>
      </c>
      <c r="BB5">
        <v>5</v>
      </c>
      <c r="BC5">
        <v>8.5</v>
      </c>
      <c r="BD5">
        <v>6.5</v>
      </c>
      <c r="BE5">
        <v>8</v>
      </c>
      <c r="BF5">
        <v>5</v>
      </c>
      <c r="BG5">
        <v>5</v>
      </c>
      <c r="BH5">
        <v>9.5</v>
      </c>
      <c r="BI5">
        <v>8</v>
      </c>
      <c r="BJ5">
        <v>7</v>
      </c>
      <c r="BK5">
        <v>6.5</v>
      </c>
      <c r="BL5">
        <v>5.5</v>
      </c>
      <c r="BM5">
        <v>7</v>
      </c>
      <c r="BN5">
        <v>7</v>
      </c>
      <c r="BO5">
        <v>8</v>
      </c>
      <c r="BP5">
        <v>5.5</v>
      </c>
      <c r="BQ5">
        <v>5</v>
      </c>
      <c r="BR5">
        <v>7</v>
      </c>
      <c r="BS5">
        <v>5.5</v>
      </c>
      <c r="BT5">
        <v>6.5</v>
      </c>
      <c r="BU5">
        <v>5</v>
      </c>
      <c r="BV5">
        <v>6.5</v>
      </c>
      <c r="BW5">
        <v>5.5</v>
      </c>
      <c r="BX5">
        <v>5.5</v>
      </c>
      <c r="BY5">
        <v>5.5</v>
      </c>
      <c r="BZ5">
        <v>5.5</v>
      </c>
      <c r="CA5">
        <v>5.5</v>
      </c>
      <c r="CB5">
        <v>7</v>
      </c>
      <c r="CC5">
        <v>5.5</v>
      </c>
      <c r="CD5">
        <v>5.5</v>
      </c>
      <c r="CE5">
        <v>5</v>
      </c>
      <c r="CL5">
        <f t="shared" si="7"/>
        <v>68</v>
      </c>
      <c r="CM5" s="18">
        <f t="shared" si="8"/>
        <v>6.4191176470588234</v>
      </c>
      <c r="CN5">
        <f t="shared" si="2"/>
        <v>1.1769245721961776</v>
      </c>
      <c r="CO5">
        <v>0</v>
      </c>
      <c r="CP5">
        <f t="shared" si="3"/>
        <v>0</v>
      </c>
      <c r="CQ5">
        <f t="shared" si="4"/>
        <v>0</v>
      </c>
      <c r="CR5">
        <f t="shared" si="5"/>
        <v>6.447916666666667</v>
      </c>
      <c r="CS5">
        <f t="shared" si="6"/>
        <v>48</v>
      </c>
    </row>
    <row r="6" spans="1:97" x14ac:dyDescent="0.35">
      <c r="A6" t="s">
        <v>20</v>
      </c>
      <c r="B6" t="s">
        <v>26</v>
      </c>
      <c r="C6" t="s">
        <v>26</v>
      </c>
      <c r="D6">
        <v>7</v>
      </c>
      <c r="E6">
        <v>7</v>
      </c>
      <c r="F6">
        <v>7</v>
      </c>
      <c r="G6">
        <v>7</v>
      </c>
      <c r="H6">
        <v>8</v>
      </c>
      <c r="I6">
        <v>7</v>
      </c>
      <c r="J6">
        <v>8</v>
      </c>
      <c r="K6">
        <v>7</v>
      </c>
      <c r="L6">
        <v>5.5</v>
      </c>
      <c r="M6">
        <v>5</v>
      </c>
      <c r="N6">
        <v>5</v>
      </c>
      <c r="O6" t="s">
        <v>26</v>
      </c>
      <c r="P6">
        <v>7</v>
      </c>
      <c r="Q6">
        <v>3.5</v>
      </c>
      <c r="R6">
        <v>5.5</v>
      </c>
      <c r="S6">
        <v>7</v>
      </c>
      <c r="T6">
        <v>5.5</v>
      </c>
      <c r="U6">
        <v>7</v>
      </c>
      <c r="V6">
        <v>5.5</v>
      </c>
      <c r="W6">
        <v>5.5</v>
      </c>
      <c r="X6">
        <v>5</v>
      </c>
      <c r="Y6">
        <v>5.5</v>
      </c>
      <c r="Z6">
        <v>5.5</v>
      </c>
      <c r="AA6">
        <v>7</v>
      </c>
      <c r="AB6">
        <v>5</v>
      </c>
      <c r="AC6">
        <v>5.5</v>
      </c>
      <c r="AD6">
        <v>7</v>
      </c>
      <c r="AE6">
        <v>7</v>
      </c>
      <c r="AF6">
        <v>7</v>
      </c>
      <c r="AG6">
        <v>8</v>
      </c>
      <c r="AH6" t="s">
        <v>26</v>
      </c>
      <c r="AI6">
        <v>6.5</v>
      </c>
      <c r="AJ6">
        <v>5.5</v>
      </c>
      <c r="AK6">
        <v>6.5</v>
      </c>
      <c r="AL6">
        <v>5.5</v>
      </c>
      <c r="AM6">
        <v>5.5</v>
      </c>
      <c r="AN6">
        <v>6.5</v>
      </c>
      <c r="AO6" t="s">
        <v>26</v>
      </c>
      <c r="AP6">
        <v>5.5</v>
      </c>
      <c r="AQ6">
        <v>5</v>
      </c>
      <c r="AR6">
        <v>5</v>
      </c>
      <c r="AS6" t="s">
        <v>26</v>
      </c>
      <c r="AT6">
        <v>6.5</v>
      </c>
      <c r="AU6">
        <v>6.5</v>
      </c>
      <c r="AV6">
        <v>5.5</v>
      </c>
      <c r="AW6">
        <v>5</v>
      </c>
      <c r="AX6">
        <v>5</v>
      </c>
      <c r="AY6">
        <v>5.5</v>
      </c>
      <c r="AZ6">
        <v>6.5</v>
      </c>
      <c r="BA6" t="s">
        <v>26</v>
      </c>
      <c r="BB6">
        <v>5</v>
      </c>
      <c r="BC6">
        <v>7</v>
      </c>
      <c r="BD6">
        <v>6.5</v>
      </c>
      <c r="BE6">
        <v>4</v>
      </c>
      <c r="BF6">
        <v>5</v>
      </c>
      <c r="BG6">
        <v>6.5</v>
      </c>
      <c r="BH6">
        <v>5.5</v>
      </c>
      <c r="BI6">
        <v>5.5</v>
      </c>
      <c r="BJ6">
        <v>6.5</v>
      </c>
      <c r="BK6" t="s">
        <v>26</v>
      </c>
      <c r="BL6" t="s">
        <v>26</v>
      </c>
      <c r="BM6">
        <v>4</v>
      </c>
      <c r="BN6">
        <v>6.5</v>
      </c>
      <c r="BO6">
        <v>5</v>
      </c>
      <c r="BP6">
        <v>5.5</v>
      </c>
      <c r="BQ6">
        <v>5.5</v>
      </c>
      <c r="BR6">
        <v>5.5</v>
      </c>
      <c r="BS6" t="s">
        <v>26</v>
      </c>
      <c r="BT6">
        <v>6.5</v>
      </c>
      <c r="BU6" t="s">
        <v>26</v>
      </c>
      <c r="BV6" t="s">
        <v>26</v>
      </c>
      <c r="BW6" t="s">
        <v>26</v>
      </c>
      <c r="BX6" t="s">
        <v>26</v>
      </c>
      <c r="BY6" t="s">
        <v>26</v>
      </c>
      <c r="BZ6">
        <v>5.5</v>
      </c>
      <c r="CA6">
        <v>5.5</v>
      </c>
      <c r="CB6" t="s">
        <v>26</v>
      </c>
      <c r="CC6">
        <v>6.5</v>
      </c>
      <c r="CD6">
        <v>7</v>
      </c>
      <c r="CF6">
        <v>5.5</v>
      </c>
      <c r="CI6">
        <v>5.5</v>
      </c>
      <c r="CL6">
        <f t="shared" si="7"/>
        <v>67</v>
      </c>
      <c r="CM6" s="18">
        <f t="shared" si="8"/>
        <v>5.9701492537313436</v>
      </c>
      <c r="CN6">
        <f t="shared" si="2"/>
        <v>0.96648378625350351</v>
      </c>
      <c r="CO6">
        <v>0</v>
      </c>
      <c r="CP6">
        <f t="shared" si="3"/>
        <v>1</v>
      </c>
      <c r="CQ6">
        <f t="shared" si="4"/>
        <v>1</v>
      </c>
      <c r="CR6">
        <f t="shared" si="5"/>
        <v>5.8108108108108105</v>
      </c>
      <c r="CS6">
        <f t="shared" si="6"/>
        <v>37</v>
      </c>
    </row>
    <row r="7" spans="1:97" x14ac:dyDescent="0.35">
      <c r="A7" t="s">
        <v>82</v>
      </c>
      <c r="B7">
        <v>10</v>
      </c>
      <c r="C7" t="s">
        <v>26</v>
      </c>
      <c r="D7">
        <v>8</v>
      </c>
      <c r="E7">
        <v>7</v>
      </c>
      <c r="F7">
        <v>5.5</v>
      </c>
      <c r="G7">
        <v>7</v>
      </c>
      <c r="H7">
        <v>5.5</v>
      </c>
      <c r="I7">
        <v>7</v>
      </c>
      <c r="J7">
        <v>7</v>
      </c>
      <c r="K7">
        <v>7</v>
      </c>
      <c r="L7">
        <v>5.5</v>
      </c>
      <c r="M7">
        <v>5.5</v>
      </c>
      <c r="N7">
        <v>7</v>
      </c>
      <c r="O7">
        <v>7</v>
      </c>
      <c r="P7">
        <v>7</v>
      </c>
      <c r="Q7">
        <v>7</v>
      </c>
      <c r="R7">
        <v>8</v>
      </c>
      <c r="S7">
        <v>7</v>
      </c>
      <c r="T7">
        <v>8</v>
      </c>
      <c r="U7">
        <v>7</v>
      </c>
      <c r="V7">
        <v>7</v>
      </c>
      <c r="W7">
        <v>7</v>
      </c>
      <c r="X7">
        <v>5.5</v>
      </c>
      <c r="Y7">
        <v>5.5</v>
      </c>
      <c r="Z7">
        <v>5.5</v>
      </c>
      <c r="AA7">
        <v>7</v>
      </c>
      <c r="AB7">
        <v>7</v>
      </c>
      <c r="AC7">
        <v>7</v>
      </c>
      <c r="AD7" t="s">
        <v>26</v>
      </c>
      <c r="AE7">
        <v>8.5</v>
      </c>
      <c r="AF7">
        <v>7</v>
      </c>
      <c r="AG7">
        <v>7</v>
      </c>
      <c r="AH7">
        <v>5.5</v>
      </c>
      <c r="AI7">
        <v>8</v>
      </c>
      <c r="AJ7">
        <v>6.5</v>
      </c>
      <c r="AK7">
        <v>8</v>
      </c>
      <c r="AL7">
        <v>6.5</v>
      </c>
      <c r="AM7" t="s">
        <v>26</v>
      </c>
      <c r="AN7">
        <v>8</v>
      </c>
      <c r="AO7">
        <v>6.5</v>
      </c>
      <c r="AP7">
        <v>7</v>
      </c>
      <c r="AQ7" t="s">
        <v>26</v>
      </c>
      <c r="AR7" t="s">
        <v>26</v>
      </c>
      <c r="AS7" t="s">
        <v>26</v>
      </c>
      <c r="AT7" t="s">
        <v>26</v>
      </c>
      <c r="AU7" t="s">
        <v>26</v>
      </c>
      <c r="AV7">
        <v>5.5</v>
      </c>
      <c r="AW7" t="s">
        <v>26</v>
      </c>
      <c r="AX7" t="s">
        <v>26</v>
      </c>
      <c r="AY7">
        <v>7</v>
      </c>
      <c r="AZ7" t="s">
        <v>26</v>
      </c>
      <c r="BA7">
        <v>5.5</v>
      </c>
      <c r="BB7">
        <v>7</v>
      </c>
      <c r="BC7">
        <v>5.5</v>
      </c>
      <c r="BD7">
        <v>8</v>
      </c>
      <c r="BE7">
        <v>7</v>
      </c>
      <c r="BF7">
        <v>5.5</v>
      </c>
      <c r="BG7">
        <v>6.5</v>
      </c>
      <c r="BH7">
        <v>6.5</v>
      </c>
      <c r="BI7">
        <v>5.5</v>
      </c>
      <c r="BJ7" t="s">
        <v>26</v>
      </c>
      <c r="BK7" t="s">
        <v>26</v>
      </c>
      <c r="BL7">
        <v>5.5</v>
      </c>
      <c r="BM7">
        <v>6.5</v>
      </c>
      <c r="BN7">
        <v>8</v>
      </c>
      <c r="BO7">
        <v>7</v>
      </c>
      <c r="BP7">
        <v>5.5</v>
      </c>
      <c r="BQ7">
        <v>5.5</v>
      </c>
      <c r="BR7">
        <v>6.5</v>
      </c>
      <c r="BS7">
        <v>6.5</v>
      </c>
      <c r="BT7" t="s">
        <v>26</v>
      </c>
      <c r="BU7" t="s">
        <v>26</v>
      </c>
      <c r="BV7">
        <v>6.5</v>
      </c>
      <c r="BW7">
        <v>5.5</v>
      </c>
      <c r="BX7" t="s">
        <v>26</v>
      </c>
      <c r="BY7">
        <v>6.5</v>
      </c>
      <c r="BZ7" t="s">
        <v>26</v>
      </c>
      <c r="CA7">
        <v>6.5</v>
      </c>
      <c r="CB7">
        <v>5.5</v>
      </c>
      <c r="CC7">
        <v>6.5</v>
      </c>
      <c r="CD7">
        <v>7.5</v>
      </c>
      <c r="CF7">
        <v>6.5</v>
      </c>
      <c r="CG7">
        <v>6.5</v>
      </c>
      <c r="CH7">
        <v>5.5</v>
      </c>
      <c r="CJ7">
        <v>4.5</v>
      </c>
      <c r="CL7">
        <f>COUNT(B7:CJ7)</f>
        <v>68</v>
      </c>
      <c r="CM7" s="18">
        <f>AVERAGE(B7:CJ7)</f>
        <v>6.632352941176471</v>
      </c>
      <c r="CN7">
        <f t="shared" si="2"/>
        <v>0.9419445925236869</v>
      </c>
      <c r="CO7">
        <v>1</v>
      </c>
      <c r="CP7">
        <f t="shared" si="3"/>
        <v>3</v>
      </c>
      <c r="CQ7">
        <f t="shared" si="4"/>
        <v>0</v>
      </c>
      <c r="CR7">
        <f t="shared" si="5"/>
        <v>6.5571428571428569</v>
      </c>
      <c r="CS7">
        <f t="shared" si="6"/>
        <v>35</v>
      </c>
    </row>
    <row r="8" spans="1:97" x14ac:dyDescent="0.35">
      <c r="A8" t="s">
        <v>9</v>
      </c>
      <c r="B8">
        <v>7</v>
      </c>
      <c r="C8" t="s">
        <v>26</v>
      </c>
      <c r="D8">
        <v>7</v>
      </c>
      <c r="E8">
        <v>5.5</v>
      </c>
      <c r="F8">
        <v>8</v>
      </c>
      <c r="G8">
        <v>7</v>
      </c>
      <c r="H8">
        <v>7</v>
      </c>
      <c r="I8" t="s">
        <v>26</v>
      </c>
      <c r="J8">
        <v>5.5</v>
      </c>
      <c r="K8" t="s">
        <v>26</v>
      </c>
      <c r="L8">
        <v>7</v>
      </c>
      <c r="M8">
        <v>7</v>
      </c>
      <c r="N8">
        <v>8</v>
      </c>
      <c r="O8">
        <v>5.5</v>
      </c>
      <c r="P8">
        <v>5.5</v>
      </c>
      <c r="Q8">
        <v>7</v>
      </c>
      <c r="R8" t="s">
        <v>26</v>
      </c>
      <c r="S8">
        <v>5.5</v>
      </c>
      <c r="T8">
        <v>8</v>
      </c>
      <c r="U8" t="s">
        <v>26</v>
      </c>
      <c r="V8">
        <v>5.5</v>
      </c>
      <c r="W8">
        <v>7</v>
      </c>
      <c r="X8">
        <v>7</v>
      </c>
      <c r="Y8" t="s">
        <v>26</v>
      </c>
      <c r="Z8">
        <v>8</v>
      </c>
      <c r="AA8">
        <v>7</v>
      </c>
      <c r="AB8">
        <v>7</v>
      </c>
      <c r="AC8">
        <v>5.5</v>
      </c>
      <c r="AD8">
        <v>7</v>
      </c>
      <c r="AE8">
        <v>10</v>
      </c>
      <c r="AF8">
        <v>8</v>
      </c>
      <c r="AG8" t="s">
        <v>26</v>
      </c>
      <c r="AH8">
        <v>9.5</v>
      </c>
      <c r="AI8">
        <v>6.5</v>
      </c>
      <c r="AJ8">
        <v>6.5</v>
      </c>
      <c r="AK8">
        <v>6.5</v>
      </c>
      <c r="AL8" t="s">
        <v>26</v>
      </c>
      <c r="AM8">
        <v>8.5</v>
      </c>
      <c r="AN8" t="s">
        <v>26</v>
      </c>
      <c r="AO8" t="s">
        <v>26</v>
      </c>
      <c r="AP8" t="s">
        <v>26</v>
      </c>
      <c r="AQ8">
        <v>5.5</v>
      </c>
      <c r="AR8">
        <v>6.5</v>
      </c>
      <c r="AS8">
        <v>5.5</v>
      </c>
      <c r="AT8">
        <v>6.5</v>
      </c>
      <c r="AU8">
        <v>6.5</v>
      </c>
      <c r="AV8">
        <v>6.5</v>
      </c>
      <c r="AW8" t="s">
        <v>26</v>
      </c>
      <c r="AX8">
        <v>7</v>
      </c>
      <c r="AY8">
        <v>8</v>
      </c>
      <c r="AZ8">
        <v>6.5</v>
      </c>
      <c r="BA8">
        <v>6.5</v>
      </c>
      <c r="BB8">
        <v>5</v>
      </c>
      <c r="BC8">
        <v>4</v>
      </c>
      <c r="BD8">
        <v>5</v>
      </c>
      <c r="BE8">
        <v>6.5</v>
      </c>
      <c r="BF8">
        <v>5.5</v>
      </c>
      <c r="BG8">
        <v>5.5</v>
      </c>
      <c r="BH8">
        <v>5.5</v>
      </c>
      <c r="BI8" t="s">
        <v>26</v>
      </c>
      <c r="BJ8" t="s">
        <v>26</v>
      </c>
      <c r="BK8">
        <v>5.5</v>
      </c>
      <c r="BL8">
        <v>6.5</v>
      </c>
      <c r="BM8">
        <v>5.5</v>
      </c>
      <c r="BN8" t="s">
        <v>26</v>
      </c>
      <c r="BO8" t="s">
        <v>26</v>
      </c>
      <c r="BP8">
        <v>6.5</v>
      </c>
      <c r="BQ8">
        <v>8.5</v>
      </c>
      <c r="BR8">
        <v>7</v>
      </c>
      <c r="BS8">
        <v>6.5</v>
      </c>
      <c r="BT8">
        <v>6.5</v>
      </c>
      <c r="BU8">
        <v>6.5</v>
      </c>
      <c r="BV8" t="s">
        <v>26</v>
      </c>
      <c r="BW8">
        <v>7</v>
      </c>
      <c r="BX8" t="s">
        <v>26</v>
      </c>
      <c r="BY8">
        <v>7</v>
      </c>
      <c r="BZ8">
        <v>7</v>
      </c>
      <c r="CA8">
        <v>6.5</v>
      </c>
      <c r="CB8">
        <v>6.5</v>
      </c>
      <c r="CC8">
        <v>6.5</v>
      </c>
      <c r="CD8">
        <v>6</v>
      </c>
      <c r="CE8">
        <v>6</v>
      </c>
      <c r="CF8">
        <v>7</v>
      </c>
      <c r="CG8">
        <v>6.5</v>
      </c>
      <c r="CI8">
        <v>6</v>
      </c>
      <c r="CJ8">
        <v>6.5</v>
      </c>
      <c r="CL8">
        <f>COUNT(B8:CJ8)</f>
        <v>68</v>
      </c>
      <c r="CM8" s="18">
        <f>AVERAGE(B8:CJ8)</f>
        <v>6.6102941176470589</v>
      </c>
      <c r="CN8">
        <f t="shared" si="2"/>
        <v>1.0570846156365068</v>
      </c>
      <c r="CO8">
        <v>1</v>
      </c>
      <c r="CP8">
        <f t="shared" si="3"/>
        <v>3</v>
      </c>
      <c r="CQ8">
        <f t="shared" si="4"/>
        <v>0</v>
      </c>
      <c r="CR8">
        <f t="shared" si="5"/>
        <v>6.5921052631578947</v>
      </c>
      <c r="CS8">
        <f t="shared" si="6"/>
        <v>38</v>
      </c>
    </row>
    <row r="9" spans="1:97" x14ac:dyDescent="0.35">
      <c r="A9" t="s">
        <v>5</v>
      </c>
      <c r="B9">
        <v>10</v>
      </c>
      <c r="C9">
        <v>9.5</v>
      </c>
      <c r="D9">
        <v>9.5</v>
      </c>
      <c r="E9">
        <v>8</v>
      </c>
      <c r="F9">
        <v>7</v>
      </c>
      <c r="G9">
        <v>8</v>
      </c>
      <c r="H9">
        <v>7</v>
      </c>
      <c r="I9" t="s">
        <v>26</v>
      </c>
      <c r="J9">
        <v>9.5</v>
      </c>
      <c r="K9">
        <v>8</v>
      </c>
      <c r="L9">
        <v>9.5</v>
      </c>
      <c r="M9">
        <v>7</v>
      </c>
      <c r="N9">
        <v>8</v>
      </c>
      <c r="O9">
        <v>8</v>
      </c>
      <c r="P9">
        <v>7</v>
      </c>
      <c r="Q9">
        <v>7</v>
      </c>
      <c r="R9" t="s">
        <v>26</v>
      </c>
      <c r="S9" t="s">
        <v>26</v>
      </c>
      <c r="T9" t="s">
        <v>26</v>
      </c>
      <c r="U9">
        <v>7</v>
      </c>
      <c r="V9">
        <v>5.5</v>
      </c>
      <c r="W9">
        <v>8</v>
      </c>
      <c r="X9">
        <v>7</v>
      </c>
      <c r="Y9">
        <v>7</v>
      </c>
      <c r="Z9">
        <v>7</v>
      </c>
      <c r="AA9">
        <v>7</v>
      </c>
      <c r="AB9" t="s">
        <v>26</v>
      </c>
      <c r="AC9" t="s">
        <v>26</v>
      </c>
      <c r="AD9" t="s">
        <v>26</v>
      </c>
      <c r="AE9" t="s">
        <v>26</v>
      </c>
      <c r="AF9">
        <v>8</v>
      </c>
      <c r="AG9">
        <v>10</v>
      </c>
      <c r="AH9" t="s">
        <v>26</v>
      </c>
      <c r="AI9">
        <v>8</v>
      </c>
      <c r="AJ9">
        <v>6.5</v>
      </c>
      <c r="AK9">
        <v>8</v>
      </c>
      <c r="AL9">
        <v>7</v>
      </c>
      <c r="AM9" t="s">
        <v>26</v>
      </c>
      <c r="AN9" t="s">
        <v>26</v>
      </c>
      <c r="AO9">
        <v>7</v>
      </c>
      <c r="AP9">
        <v>5.5</v>
      </c>
      <c r="AQ9">
        <v>6.5</v>
      </c>
      <c r="AR9">
        <v>8</v>
      </c>
      <c r="AS9">
        <v>7</v>
      </c>
      <c r="AT9">
        <v>6.5</v>
      </c>
      <c r="AU9">
        <v>8</v>
      </c>
      <c r="AV9">
        <v>7</v>
      </c>
      <c r="AW9">
        <v>7</v>
      </c>
      <c r="AX9">
        <v>7</v>
      </c>
      <c r="AY9">
        <v>6.5</v>
      </c>
      <c r="AZ9">
        <v>8.5</v>
      </c>
      <c r="BA9">
        <v>10</v>
      </c>
      <c r="BB9">
        <v>6.5</v>
      </c>
      <c r="BC9">
        <v>5</v>
      </c>
      <c r="BD9">
        <v>6.5</v>
      </c>
      <c r="BE9">
        <v>8</v>
      </c>
      <c r="BF9">
        <v>6.5</v>
      </c>
      <c r="BG9">
        <v>5.5</v>
      </c>
      <c r="BH9" t="s">
        <v>26</v>
      </c>
      <c r="BI9" t="s">
        <v>26</v>
      </c>
      <c r="BJ9" t="s">
        <v>26</v>
      </c>
      <c r="BK9">
        <v>6.5</v>
      </c>
      <c r="BL9">
        <v>7</v>
      </c>
      <c r="BM9" t="s">
        <v>26</v>
      </c>
      <c r="BN9" t="s">
        <v>26</v>
      </c>
      <c r="BO9">
        <v>6.5</v>
      </c>
      <c r="BP9">
        <v>6.5</v>
      </c>
      <c r="BQ9">
        <v>7</v>
      </c>
      <c r="BR9">
        <v>6.5</v>
      </c>
      <c r="BS9">
        <v>7</v>
      </c>
      <c r="BT9">
        <v>7</v>
      </c>
      <c r="BU9">
        <v>8</v>
      </c>
      <c r="BV9">
        <v>6.5</v>
      </c>
      <c r="BW9">
        <v>6.5</v>
      </c>
      <c r="BX9">
        <v>8</v>
      </c>
      <c r="BY9" t="s">
        <v>26</v>
      </c>
      <c r="BZ9">
        <v>7</v>
      </c>
      <c r="CA9">
        <v>6.5</v>
      </c>
      <c r="CB9">
        <v>7</v>
      </c>
      <c r="CD9">
        <v>5.5</v>
      </c>
      <c r="CE9">
        <v>9</v>
      </c>
      <c r="CF9">
        <v>7</v>
      </c>
      <c r="CG9">
        <v>8</v>
      </c>
      <c r="CH9">
        <v>7.5</v>
      </c>
      <c r="CI9">
        <v>6.5</v>
      </c>
      <c r="CJ9">
        <v>5.5</v>
      </c>
      <c r="CL9">
        <f>COUNT(B9:CJ9)</f>
        <v>69</v>
      </c>
      <c r="CM9" s="18">
        <f>AVERAGE(B9:CJ9)</f>
        <v>7.3043478260869561</v>
      </c>
      <c r="CN9">
        <f t="shared" si="2"/>
        <v>1.1294250579557983</v>
      </c>
      <c r="CO9">
        <v>1</v>
      </c>
      <c r="CP9">
        <f t="shared" si="3"/>
        <v>4</v>
      </c>
      <c r="CQ9">
        <f t="shared" si="4"/>
        <v>0</v>
      </c>
      <c r="CR9">
        <f t="shared" si="5"/>
        <v>7.0875000000000004</v>
      </c>
      <c r="CS9">
        <f t="shared" si="6"/>
        <v>40</v>
      </c>
    </row>
    <row r="10" spans="1:97" x14ac:dyDescent="0.35">
      <c r="A10" t="s">
        <v>11</v>
      </c>
      <c r="B10">
        <v>5</v>
      </c>
      <c r="C10" t="s">
        <v>26</v>
      </c>
      <c r="D10">
        <v>8</v>
      </c>
      <c r="E10">
        <v>8</v>
      </c>
      <c r="F10">
        <v>8</v>
      </c>
      <c r="G10">
        <v>5</v>
      </c>
      <c r="H10" t="s">
        <v>26</v>
      </c>
      <c r="I10">
        <v>3.5</v>
      </c>
      <c r="J10">
        <v>7</v>
      </c>
      <c r="K10">
        <v>5.5</v>
      </c>
      <c r="L10" t="s">
        <v>26</v>
      </c>
      <c r="M10" t="s">
        <v>26</v>
      </c>
      <c r="N10">
        <v>5.5</v>
      </c>
      <c r="O10">
        <v>5</v>
      </c>
      <c r="P10">
        <v>5.5</v>
      </c>
      <c r="Q10" t="s">
        <v>26</v>
      </c>
      <c r="R10" t="s">
        <v>26</v>
      </c>
      <c r="S10">
        <v>3.5</v>
      </c>
      <c r="T10">
        <v>7</v>
      </c>
      <c r="U10" t="s">
        <v>26</v>
      </c>
      <c r="V10" t="s">
        <v>26</v>
      </c>
      <c r="W10" t="s">
        <v>26</v>
      </c>
      <c r="X10">
        <v>5.5</v>
      </c>
      <c r="Y10">
        <v>5.5</v>
      </c>
      <c r="Z10" t="s">
        <v>26</v>
      </c>
      <c r="AA10">
        <v>3.5</v>
      </c>
      <c r="AB10" t="s">
        <v>26</v>
      </c>
      <c r="AC10">
        <v>7</v>
      </c>
      <c r="AD10" t="s">
        <v>26</v>
      </c>
      <c r="AE10">
        <v>2.5</v>
      </c>
      <c r="AF10">
        <v>7</v>
      </c>
      <c r="AG10">
        <v>5</v>
      </c>
      <c r="AH10">
        <v>7</v>
      </c>
      <c r="AI10">
        <v>7</v>
      </c>
      <c r="AJ10">
        <v>6.5</v>
      </c>
      <c r="AK10">
        <v>8.5</v>
      </c>
      <c r="AL10">
        <v>5.5</v>
      </c>
      <c r="AM10">
        <v>5</v>
      </c>
      <c r="AN10">
        <v>5</v>
      </c>
      <c r="AO10">
        <v>5.5</v>
      </c>
      <c r="AP10">
        <v>5.5</v>
      </c>
      <c r="AQ10" t="s">
        <v>26</v>
      </c>
      <c r="AR10">
        <v>6.5</v>
      </c>
      <c r="AS10">
        <v>6.5</v>
      </c>
      <c r="AT10">
        <v>5.5</v>
      </c>
      <c r="AU10">
        <v>7</v>
      </c>
      <c r="AV10">
        <v>5.5</v>
      </c>
      <c r="AW10" t="s">
        <v>26</v>
      </c>
      <c r="AX10">
        <v>5.5</v>
      </c>
      <c r="AY10">
        <v>5</v>
      </c>
      <c r="AZ10" t="s">
        <v>26</v>
      </c>
      <c r="BA10" t="s">
        <v>26</v>
      </c>
      <c r="BB10" t="s">
        <v>26</v>
      </c>
      <c r="BC10" t="s">
        <v>26</v>
      </c>
      <c r="BD10">
        <v>4</v>
      </c>
      <c r="BE10">
        <v>7</v>
      </c>
      <c r="BF10" t="s">
        <v>26</v>
      </c>
      <c r="BG10">
        <v>3.5</v>
      </c>
      <c r="BH10">
        <v>6.5</v>
      </c>
      <c r="BI10">
        <v>5.5</v>
      </c>
      <c r="BJ10">
        <v>5.5</v>
      </c>
      <c r="BK10">
        <v>5.5</v>
      </c>
      <c r="BL10" t="s">
        <v>26</v>
      </c>
      <c r="BM10">
        <v>5</v>
      </c>
      <c r="BN10">
        <v>8.5</v>
      </c>
      <c r="BO10">
        <v>5.5</v>
      </c>
      <c r="BP10" t="s">
        <v>26</v>
      </c>
      <c r="BQ10" t="s">
        <v>26</v>
      </c>
      <c r="BR10">
        <v>8.5</v>
      </c>
      <c r="BS10">
        <v>6.5</v>
      </c>
      <c r="BT10">
        <v>6.5</v>
      </c>
      <c r="BU10">
        <v>6.5</v>
      </c>
      <c r="BV10">
        <v>5.5</v>
      </c>
      <c r="BW10">
        <v>5.5</v>
      </c>
      <c r="BX10">
        <v>5.5</v>
      </c>
      <c r="BY10">
        <v>3.5</v>
      </c>
      <c r="BZ10">
        <v>5</v>
      </c>
      <c r="CA10">
        <v>4</v>
      </c>
      <c r="CB10">
        <v>3.5</v>
      </c>
      <c r="CC10">
        <v>7</v>
      </c>
      <c r="CD10">
        <v>4.5</v>
      </c>
      <c r="CE10">
        <v>6</v>
      </c>
      <c r="CF10">
        <v>5</v>
      </c>
      <c r="CG10">
        <v>5.5</v>
      </c>
      <c r="CL10">
        <f t="shared" si="7"/>
        <v>62</v>
      </c>
      <c r="CM10" s="18">
        <f t="shared" si="8"/>
        <v>5.717741935483871</v>
      </c>
      <c r="CN10">
        <f t="shared" si="2"/>
        <v>1.3617531291315086</v>
      </c>
      <c r="CO10">
        <v>1</v>
      </c>
      <c r="CP10">
        <f t="shared" si="3"/>
        <v>1</v>
      </c>
      <c r="CQ10">
        <f t="shared" si="4"/>
        <v>0</v>
      </c>
      <c r="CR10">
        <f t="shared" si="5"/>
        <v>5.7125000000000004</v>
      </c>
      <c r="CS10">
        <f t="shared" si="6"/>
        <v>40</v>
      </c>
    </row>
    <row r="11" spans="1:97" x14ac:dyDescent="0.35">
      <c r="A11" t="s">
        <v>16</v>
      </c>
      <c r="B11">
        <v>8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26</v>
      </c>
      <c r="I11" t="s">
        <v>26</v>
      </c>
      <c r="J11" t="s">
        <v>26</v>
      </c>
      <c r="K11" t="s">
        <v>26</v>
      </c>
      <c r="L11" t="s">
        <v>26</v>
      </c>
      <c r="M11" t="s">
        <v>26</v>
      </c>
      <c r="N11" t="s">
        <v>26</v>
      </c>
      <c r="O11" t="s">
        <v>26</v>
      </c>
      <c r="P11" t="s">
        <v>26</v>
      </c>
      <c r="Q11" t="s">
        <v>26</v>
      </c>
      <c r="R11" t="s">
        <v>26</v>
      </c>
      <c r="S11" t="s">
        <v>26</v>
      </c>
      <c r="T11" t="s">
        <v>26</v>
      </c>
      <c r="U11" t="s">
        <v>26</v>
      </c>
      <c r="V11">
        <v>7</v>
      </c>
      <c r="W11">
        <v>7</v>
      </c>
      <c r="X11">
        <v>5.5</v>
      </c>
      <c r="Y11">
        <v>7</v>
      </c>
      <c r="Z11">
        <v>8</v>
      </c>
      <c r="AA11">
        <v>7</v>
      </c>
      <c r="AB11">
        <v>7</v>
      </c>
      <c r="AC11">
        <v>8</v>
      </c>
      <c r="AD11">
        <v>7</v>
      </c>
      <c r="AE11">
        <v>7</v>
      </c>
      <c r="AF11">
        <v>8</v>
      </c>
      <c r="AG11" t="s">
        <v>26</v>
      </c>
      <c r="AH11">
        <v>8</v>
      </c>
      <c r="AI11">
        <v>8</v>
      </c>
      <c r="AJ11">
        <v>6.5</v>
      </c>
      <c r="AK11">
        <v>6.5</v>
      </c>
      <c r="AL11">
        <v>7</v>
      </c>
      <c r="AM11">
        <v>5.5</v>
      </c>
      <c r="AN11">
        <v>5.5</v>
      </c>
      <c r="AO11">
        <v>5.5</v>
      </c>
      <c r="AP11">
        <v>6.5</v>
      </c>
      <c r="AQ11">
        <v>6.5</v>
      </c>
      <c r="AR11">
        <v>7</v>
      </c>
      <c r="AS11">
        <v>5.5</v>
      </c>
      <c r="AT11">
        <v>6.5</v>
      </c>
      <c r="AU11" t="s">
        <v>26</v>
      </c>
      <c r="AV11">
        <v>5</v>
      </c>
      <c r="AW11" t="s">
        <v>26</v>
      </c>
      <c r="AX11">
        <v>7</v>
      </c>
      <c r="AY11">
        <v>6.5</v>
      </c>
      <c r="AZ11">
        <v>8</v>
      </c>
      <c r="BA11">
        <v>5.5</v>
      </c>
      <c r="BB11">
        <v>5.5</v>
      </c>
      <c r="BC11">
        <v>10</v>
      </c>
      <c r="BD11">
        <v>6.5</v>
      </c>
      <c r="BE11">
        <v>8</v>
      </c>
      <c r="BF11">
        <v>5</v>
      </c>
      <c r="BG11">
        <v>7</v>
      </c>
      <c r="BH11">
        <v>6.5</v>
      </c>
      <c r="BI11">
        <v>8.5</v>
      </c>
      <c r="BJ11">
        <v>6.5</v>
      </c>
      <c r="BK11">
        <v>8</v>
      </c>
      <c r="BL11">
        <v>6.5</v>
      </c>
      <c r="BM11">
        <v>6.5</v>
      </c>
      <c r="BN11">
        <v>5.5</v>
      </c>
      <c r="BO11" t="s">
        <v>26</v>
      </c>
      <c r="BP11">
        <v>6.5</v>
      </c>
      <c r="BQ11">
        <v>5.5</v>
      </c>
      <c r="BR11">
        <v>5.5</v>
      </c>
      <c r="BS11">
        <v>6.5</v>
      </c>
      <c r="BT11" t="s">
        <v>26</v>
      </c>
      <c r="BU11">
        <v>6.5</v>
      </c>
      <c r="BV11">
        <v>7</v>
      </c>
      <c r="BW11">
        <v>6.5</v>
      </c>
      <c r="BX11" t="s">
        <v>26</v>
      </c>
      <c r="BY11">
        <v>5.5</v>
      </c>
      <c r="BZ11">
        <v>5.5</v>
      </c>
      <c r="CA11">
        <v>7</v>
      </c>
      <c r="CB11" t="s">
        <v>26</v>
      </c>
      <c r="CC11">
        <v>7</v>
      </c>
      <c r="CD11">
        <v>5.5</v>
      </c>
      <c r="CE11">
        <v>7.5</v>
      </c>
      <c r="CF11">
        <v>6</v>
      </c>
      <c r="CG11">
        <v>6.5</v>
      </c>
      <c r="CH11">
        <v>6.5</v>
      </c>
      <c r="CL11">
        <f t="shared" si="7"/>
        <v>59</v>
      </c>
      <c r="CM11" s="18">
        <f t="shared" si="8"/>
        <v>6.6779661016949152</v>
      </c>
      <c r="CN11">
        <f t="shared" si="2"/>
        <v>1.0072574989410263</v>
      </c>
      <c r="CO11">
        <v>1</v>
      </c>
      <c r="CP11">
        <f t="shared" si="3"/>
        <v>2</v>
      </c>
      <c r="CQ11">
        <f t="shared" si="4"/>
        <v>0</v>
      </c>
      <c r="CR11">
        <f t="shared" si="5"/>
        <v>6.5930232558139537</v>
      </c>
      <c r="CS11">
        <f t="shared" si="6"/>
        <v>43</v>
      </c>
    </row>
    <row r="12" spans="1:97" x14ac:dyDescent="0.35">
      <c r="A12" t="s">
        <v>2</v>
      </c>
      <c r="B12">
        <v>7</v>
      </c>
      <c r="C12" t="s">
        <v>26</v>
      </c>
      <c r="D12">
        <v>3.5</v>
      </c>
      <c r="E12">
        <v>3.5</v>
      </c>
      <c r="F12">
        <v>5</v>
      </c>
      <c r="G12">
        <v>5</v>
      </c>
      <c r="H12">
        <v>7</v>
      </c>
      <c r="I12" t="s">
        <v>26</v>
      </c>
      <c r="J12">
        <v>5.5</v>
      </c>
      <c r="K12">
        <v>5.5</v>
      </c>
      <c r="L12">
        <v>5</v>
      </c>
      <c r="M12">
        <v>5.5</v>
      </c>
      <c r="N12" t="s">
        <v>26</v>
      </c>
      <c r="O12">
        <v>5</v>
      </c>
      <c r="P12">
        <v>5.5</v>
      </c>
      <c r="Q12">
        <v>3.5</v>
      </c>
      <c r="R12">
        <v>5.5</v>
      </c>
      <c r="S12">
        <v>7</v>
      </c>
      <c r="T12">
        <v>5</v>
      </c>
      <c r="U12">
        <v>5</v>
      </c>
      <c r="V12">
        <v>5</v>
      </c>
      <c r="W12">
        <v>5</v>
      </c>
      <c r="X12">
        <v>5.5</v>
      </c>
      <c r="Y12">
        <v>5</v>
      </c>
      <c r="Z12" t="s">
        <v>26</v>
      </c>
      <c r="AA12">
        <v>7</v>
      </c>
      <c r="AB12">
        <v>5.5</v>
      </c>
      <c r="AC12">
        <v>5.5</v>
      </c>
      <c r="AD12" t="s">
        <v>26</v>
      </c>
      <c r="AE12">
        <v>8.5</v>
      </c>
      <c r="AF12" t="s">
        <v>26</v>
      </c>
      <c r="AG12" t="s">
        <v>26</v>
      </c>
      <c r="AH12">
        <v>8</v>
      </c>
      <c r="AI12">
        <v>5</v>
      </c>
      <c r="AJ12" t="s">
        <v>26</v>
      </c>
      <c r="AK12">
        <v>5.5</v>
      </c>
      <c r="AL12">
        <v>5.5</v>
      </c>
      <c r="AM12">
        <v>6.5</v>
      </c>
      <c r="AN12">
        <v>4</v>
      </c>
      <c r="AO12" t="s">
        <v>26</v>
      </c>
      <c r="AP12" t="s">
        <v>26</v>
      </c>
      <c r="AQ12" t="s">
        <v>26</v>
      </c>
      <c r="AR12" t="s">
        <v>26</v>
      </c>
      <c r="AS12" t="s">
        <v>26</v>
      </c>
      <c r="AT12">
        <v>5</v>
      </c>
      <c r="AU12" t="s">
        <v>26</v>
      </c>
      <c r="AV12" t="s">
        <v>26</v>
      </c>
      <c r="AW12" t="s">
        <v>26</v>
      </c>
      <c r="AX12" t="s">
        <v>26</v>
      </c>
      <c r="AY12" t="s">
        <v>26</v>
      </c>
      <c r="AZ12">
        <v>5</v>
      </c>
      <c r="BA12" t="s">
        <v>26</v>
      </c>
      <c r="BB12" t="s">
        <v>26</v>
      </c>
      <c r="BC12">
        <v>4</v>
      </c>
      <c r="BD12" t="s">
        <v>26</v>
      </c>
      <c r="BE12" t="s">
        <v>26</v>
      </c>
      <c r="BF12" t="s">
        <v>26</v>
      </c>
      <c r="BG12">
        <v>5</v>
      </c>
      <c r="BH12">
        <v>6.5</v>
      </c>
      <c r="BI12">
        <v>5.5</v>
      </c>
      <c r="BJ12">
        <v>5</v>
      </c>
      <c r="BK12">
        <v>5</v>
      </c>
      <c r="BL12">
        <v>5</v>
      </c>
      <c r="BM12">
        <v>5.5</v>
      </c>
      <c r="BN12">
        <v>6.5</v>
      </c>
      <c r="BO12" t="s">
        <v>26</v>
      </c>
      <c r="BP12" t="s">
        <v>26</v>
      </c>
      <c r="BQ12">
        <v>5.5</v>
      </c>
      <c r="BR12" t="s">
        <v>26</v>
      </c>
      <c r="BS12" t="s">
        <v>26</v>
      </c>
      <c r="BT12" t="s">
        <v>26</v>
      </c>
      <c r="BU12" t="s">
        <v>26</v>
      </c>
      <c r="BV12" t="s">
        <v>26</v>
      </c>
      <c r="BW12">
        <v>5.5</v>
      </c>
      <c r="BX12" t="s">
        <v>26</v>
      </c>
      <c r="BY12">
        <v>4</v>
      </c>
      <c r="BZ12">
        <v>5.5</v>
      </c>
      <c r="CA12">
        <v>5.5</v>
      </c>
      <c r="CB12">
        <v>5</v>
      </c>
      <c r="CC12">
        <v>7</v>
      </c>
      <c r="CD12">
        <v>5</v>
      </c>
      <c r="CE12">
        <v>6.5</v>
      </c>
      <c r="CF12">
        <v>5.5</v>
      </c>
      <c r="CG12">
        <v>5.5</v>
      </c>
      <c r="CJ12">
        <v>5.5</v>
      </c>
      <c r="CL12">
        <f>COUNT(B12:CJ12)</f>
        <v>54</v>
      </c>
      <c r="CM12" s="18">
        <f>AVERAGE(B12:CJ12)</f>
        <v>5.4537037037037033</v>
      </c>
      <c r="CN12">
        <f t="shared" si="2"/>
        <v>1.0254583642020354</v>
      </c>
      <c r="CO12">
        <v>1</v>
      </c>
      <c r="CP12">
        <f t="shared" si="3"/>
        <v>2</v>
      </c>
      <c r="CQ12">
        <f t="shared" si="4"/>
        <v>0</v>
      </c>
      <c r="CR12">
        <f t="shared" si="5"/>
        <v>5.5</v>
      </c>
      <c r="CS12">
        <f t="shared" si="6"/>
        <v>24</v>
      </c>
    </row>
    <row r="13" spans="1:97" x14ac:dyDescent="0.35">
      <c r="A13" t="s">
        <v>19</v>
      </c>
      <c r="B13">
        <v>10</v>
      </c>
      <c r="C13" t="s">
        <v>26</v>
      </c>
      <c r="D13">
        <v>7</v>
      </c>
      <c r="E13">
        <v>7</v>
      </c>
      <c r="F13">
        <v>5.5</v>
      </c>
      <c r="G13" t="s">
        <v>26</v>
      </c>
      <c r="H13" t="s">
        <v>26</v>
      </c>
      <c r="I13" t="s">
        <v>26</v>
      </c>
      <c r="J13" t="s">
        <v>26</v>
      </c>
      <c r="K13" t="s">
        <v>26</v>
      </c>
      <c r="L13" t="s">
        <v>26</v>
      </c>
      <c r="M13">
        <v>5.5</v>
      </c>
      <c r="N13">
        <v>5.5</v>
      </c>
      <c r="O13">
        <v>5.5</v>
      </c>
      <c r="P13">
        <v>5.5</v>
      </c>
      <c r="Q13">
        <v>7</v>
      </c>
      <c r="R13" t="s">
        <v>26</v>
      </c>
      <c r="S13" t="s">
        <v>26</v>
      </c>
      <c r="T13">
        <v>5.5</v>
      </c>
      <c r="U13">
        <v>5.5</v>
      </c>
      <c r="V13">
        <v>7</v>
      </c>
      <c r="W13">
        <v>5.5</v>
      </c>
      <c r="X13" t="s">
        <v>26</v>
      </c>
      <c r="Y13">
        <v>9.5</v>
      </c>
      <c r="Z13">
        <v>5.5</v>
      </c>
      <c r="AA13">
        <v>5.5</v>
      </c>
      <c r="AB13">
        <v>5</v>
      </c>
      <c r="AC13" t="s">
        <v>26</v>
      </c>
      <c r="AD13" t="s">
        <v>26</v>
      </c>
      <c r="AE13">
        <v>7</v>
      </c>
      <c r="AF13">
        <v>8</v>
      </c>
      <c r="AG13">
        <v>8</v>
      </c>
      <c r="AH13" t="s">
        <v>26</v>
      </c>
      <c r="AI13" t="s">
        <v>26</v>
      </c>
      <c r="AJ13" t="s">
        <v>26</v>
      </c>
      <c r="AK13" t="s">
        <v>26</v>
      </c>
      <c r="AL13">
        <v>5</v>
      </c>
      <c r="AM13">
        <v>6.5</v>
      </c>
      <c r="AN13" t="s">
        <v>26</v>
      </c>
      <c r="AO13" t="s">
        <v>26</v>
      </c>
      <c r="AP13" t="s">
        <v>26</v>
      </c>
      <c r="AQ13">
        <v>5.5</v>
      </c>
      <c r="AR13" t="s">
        <v>26</v>
      </c>
      <c r="AS13" t="s">
        <v>26</v>
      </c>
      <c r="AT13">
        <v>6.5</v>
      </c>
      <c r="AU13">
        <v>6.5</v>
      </c>
      <c r="AV13">
        <v>5.5</v>
      </c>
      <c r="AW13">
        <v>5.5</v>
      </c>
      <c r="AX13">
        <v>6.5</v>
      </c>
      <c r="AY13" t="s">
        <v>26</v>
      </c>
      <c r="AZ13">
        <v>6.5</v>
      </c>
      <c r="BA13">
        <v>5.5</v>
      </c>
      <c r="BB13" t="s">
        <v>26</v>
      </c>
      <c r="BC13">
        <v>8.5</v>
      </c>
      <c r="BD13" t="s">
        <v>26</v>
      </c>
      <c r="BE13">
        <v>5</v>
      </c>
      <c r="BF13">
        <v>9.5</v>
      </c>
      <c r="BG13">
        <v>5.5</v>
      </c>
      <c r="BH13">
        <v>7</v>
      </c>
      <c r="BI13">
        <v>5.5</v>
      </c>
      <c r="BJ13" t="s">
        <v>26</v>
      </c>
      <c r="BK13">
        <v>6.5</v>
      </c>
      <c r="BL13">
        <v>6.5</v>
      </c>
      <c r="BM13">
        <v>5.5</v>
      </c>
      <c r="BN13" t="s">
        <v>26</v>
      </c>
      <c r="BO13">
        <v>5.5</v>
      </c>
      <c r="BP13">
        <v>6.5</v>
      </c>
      <c r="BQ13" t="s">
        <v>26</v>
      </c>
      <c r="BR13" t="s">
        <v>26</v>
      </c>
      <c r="BS13">
        <v>6.5</v>
      </c>
      <c r="BT13" t="s">
        <v>26</v>
      </c>
      <c r="BU13" t="s">
        <v>26</v>
      </c>
      <c r="BV13">
        <v>6.5</v>
      </c>
      <c r="BW13">
        <v>6.5</v>
      </c>
      <c r="BX13" t="s">
        <v>26</v>
      </c>
      <c r="BY13" t="s">
        <v>26</v>
      </c>
      <c r="BZ13" t="s">
        <v>26</v>
      </c>
      <c r="CA13" t="s">
        <v>26</v>
      </c>
      <c r="CB13">
        <v>5.5</v>
      </c>
      <c r="CC13">
        <v>7</v>
      </c>
      <c r="CD13">
        <v>7</v>
      </c>
      <c r="CE13">
        <v>6</v>
      </c>
      <c r="CF13">
        <v>7</v>
      </c>
      <c r="CH13">
        <v>6</v>
      </c>
      <c r="CI13">
        <v>6.5</v>
      </c>
      <c r="CJ13">
        <v>6.5</v>
      </c>
      <c r="CL13">
        <f>COUNT(B13:CJ13)</f>
        <v>52</v>
      </c>
      <c r="CM13" s="18">
        <f>AVERAGE(B13:CJ13)</f>
        <v>6.3942307692307692</v>
      </c>
      <c r="CN13">
        <f t="shared" si="2"/>
        <v>1.1769469323774333</v>
      </c>
      <c r="CO13">
        <v>1</v>
      </c>
      <c r="CP13">
        <f t="shared" si="3"/>
        <v>3</v>
      </c>
      <c r="CQ13">
        <f t="shared" si="4"/>
        <v>0</v>
      </c>
      <c r="CR13">
        <f t="shared" si="5"/>
        <v>6.3928571428571432</v>
      </c>
      <c r="CS13">
        <f t="shared" si="6"/>
        <v>28</v>
      </c>
    </row>
    <row r="14" spans="1:97" x14ac:dyDescent="0.35">
      <c r="A14" t="s">
        <v>25</v>
      </c>
      <c r="B14" t="s">
        <v>26</v>
      </c>
      <c r="C14" t="s">
        <v>26</v>
      </c>
      <c r="D14" t="s">
        <v>26</v>
      </c>
      <c r="E14">
        <v>3.5</v>
      </c>
      <c r="F14">
        <v>5.5</v>
      </c>
      <c r="G14">
        <v>3</v>
      </c>
      <c r="H14" t="s">
        <v>26</v>
      </c>
      <c r="I14" t="s">
        <v>26</v>
      </c>
      <c r="J14">
        <v>3.5</v>
      </c>
      <c r="K14" t="s">
        <v>26</v>
      </c>
      <c r="L14">
        <v>1</v>
      </c>
      <c r="M14">
        <v>3.5</v>
      </c>
      <c r="N14">
        <v>5</v>
      </c>
      <c r="O14">
        <v>5.5</v>
      </c>
      <c r="P14">
        <v>3.5</v>
      </c>
      <c r="Q14" t="s">
        <v>26</v>
      </c>
      <c r="R14" t="s">
        <v>26</v>
      </c>
      <c r="S14">
        <v>3</v>
      </c>
      <c r="T14">
        <v>5.5</v>
      </c>
      <c r="U14">
        <v>1</v>
      </c>
      <c r="V14">
        <v>5</v>
      </c>
      <c r="W14">
        <v>5.5</v>
      </c>
      <c r="X14">
        <v>5.5</v>
      </c>
      <c r="Y14" t="s">
        <v>26</v>
      </c>
      <c r="Z14">
        <v>5</v>
      </c>
      <c r="AA14" t="s">
        <v>26</v>
      </c>
      <c r="AB14" t="s">
        <v>26</v>
      </c>
      <c r="AC14">
        <v>3</v>
      </c>
      <c r="AD14">
        <v>3.5</v>
      </c>
      <c r="AE14">
        <v>4</v>
      </c>
      <c r="AF14">
        <v>2</v>
      </c>
      <c r="AG14">
        <v>2.5</v>
      </c>
      <c r="AH14">
        <v>5.5</v>
      </c>
      <c r="AI14" t="s">
        <v>26</v>
      </c>
      <c r="AJ14" t="s">
        <v>26</v>
      </c>
      <c r="AK14">
        <v>5.5</v>
      </c>
      <c r="AL14">
        <v>2</v>
      </c>
      <c r="AM14">
        <v>4</v>
      </c>
      <c r="AN14" t="s">
        <v>26</v>
      </c>
      <c r="AO14">
        <v>6.5</v>
      </c>
      <c r="AP14">
        <v>6.5</v>
      </c>
      <c r="AQ14">
        <v>4</v>
      </c>
      <c r="AR14">
        <v>3.5</v>
      </c>
      <c r="AS14" t="s">
        <v>26</v>
      </c>
      <c r="AT14">
        <v>5.5</v>
      </c>
      <c r="AU14">
        <v>4</v>
      </c>
      <c r="AV14" t="s">
        <v>26</v>
      </c>
      <c r="AW14" t="s">
        <v>26</v>
      </c>
      <c r="AX14">
        <v>6.5</v>
      </c>
      <c r="AY14">
        <v>5</v>
      </c>
      <c r="AZ14">
        <v>5</v>
      </c>
      <c r="BA14">
        <v>5.5</v>
      </c>
      <c r="BB14" t="s">
        <v>26</v>
      </c>
      <c r="BC14">
        <v>4</v>
      </c>
      <c r="BD14" t="s">
        <v>26</v>
      </c>
      <c r="BE14">
        <v>5</v>
      </c>
      <c r="BF14" t="s">
        <v>26</v>
      </c>
      <c r="BG14" t="s">
        <v>26</v>
      </c>
      <c r="BH14" t="s">
        <v>26</v>
      </c>
      <c r="BI14" t="s">
        <v>26</v>
      </c>
      <c r="BJ14" t="s">
        <v>26</v>
      </c>
      <c r="BK14">
        <v>5</v>
      </c>
      <c r="BL14">
        <v>4</v>
      </c>
      <c r="BM14">
        <v>5.5</v>
      </c>
      <c r="BN14" t="s">
        <v>26</v>
      </c>
      <c r="BO14">
        <v>5</v>
      </c>
      <c r="BP14" t="s">
        <v>26</v>
      </c>
      <c r="BQ14" t="s">
        <v>26</v>
      </c>
      <c r="BR14">
        <v>5</v>
      </c>
      <c r="BS14" t="s">
        <v>26</v>
      </c>
      <c r="BT14">
        <v>5.5</v>
      </c>
      <c r="BU14" t="s">
        <v>26</v>
      </c>
      <c r="BV14" t="s">
        <v>26</v>
      </c>
      <c r="BW14" t="s">
        <v>26</v>
      </c>
      <c r="BX14" t="s">
        <v>26</v>
      </c>
      <c r="BY14" t="s">
        <v>26</v>
      </c>
      <c r="BZ14" t="s">
        <v>26</v>
      </c>
      <c r="CA14">
        <v>5.5</v>
      </c>
      <c r="CB14" t="s">
        <v>26</v>
      </c>
      <c r="CC14">
        <v>4.5</v>
      </c>
      <c r="CE14">
        <v>5</v>
      </c>
      <c r="CF14">
        <v>5.5</v>
      </c>
      <c r="CL14">
        <f t="shared" si="7"/>
        <v>47</v>
      </c>
      <c r="CM14" s="18">
        <f t="shared" si="8"/>
        <v>4.4255319148936172</v>
      </c>
      <c r="CN14">
        <f t="shared" si="2"/>
        <v>1.3391217246854428</v>
      </c>
      <c r="CO14">
        <v>1</v>
      </c>
      <c r="CP14">
        <f t="shared" si="3"/>
        <v>0</v>
      </c>
      <c r="CQ14">
        <f t="shared" si="4"/>
        <v>0</v>
      </c>
      <c r="CR14">
        <f t="shared" si="5"/>
        <v>4.6923076923076925</v>
      </c>
      <c r="CS14">
        <f t="shared" si="6"/>
        <v>26</v>
      </c>
    </row>
    <row r="15" spans="1:97" x14ac:dyDescent="0.35">
      <c r="A15" t="s">
        <v>56</v>
      </c>
      <c r="B15" t="s">
        <v>26</v>
      </c>
      <c r="C15" t="s">
        <v>26</v>
      </c>
      <c r="D15" t="s">
        <v>26</v>
      </c>
      <c r="E15" t="s">
        <v>26</v>
      </c>
      <c r="F15" t="s">
        <v>26</v>
      </c>
      <c r="G15" t="s">
        <v>26</v>
      </c>
      <c r="H15" t="s">
        <v>26</v>
      </c>
      <c r="I15" t="s">
        <v>26</v>
      </c>
      <c r="J15" t="s">
        <v>26</v>
      </c>
      <c r="K15" t="s">
        <v>26</v>
      </c>
      <c r="L15" t="s">
        <v>26</v>
      </c>
      <c r="M15" t="s">
        <v>26</v>
      </c>
      <c r="N15" t="s">
        <v>26</v>
      </c>
      <c r="O15" t="s">
        <v>26</v>
      </c>
      <c r="P15" t="s">
        <v>26</v>
      </c>
      <c r="Q15">
        <v>5</v>
      </c>
      <c r="R15" t="s">
        <v>26</v>
      </c>
      <c r="S15">
        <v>7</v>
      </c>
      <c r="T15" t="s">
        <v>26</v>
      </c>
      <c r="U15" t="s">
        <v>26</v>
      </c>
      <c r="V15">
        <v>7</v>
      </c>
      <c r="W15" t="s">
        <v>26</v>
      </c>
      <c r="X15">
        <v>5.5</v>
      </c>
      <c r="Y15">
        <v>7</v>
      </c>
      <c r="Z15">
        <v>7</v>
      </c>
      <c r="AA15" t="s">
        <v>26</v>
      </c>
      <c r="AB15">
        <v>7</v>
      </c>
      <c r="AC15">
        <v>3.5</v>
      </c>
      <c r="AD15">
        <v>7</v>
      </c>
      <c r="AE15">
        <v>7</v>
      </c>
      <c r="AF15">
        <v>5.5</v>
      </c>
      <c r="AG15">
        <v>8</v>
      </c>
      <c r="AH15">
        <v>8</v>
      </c>
      <c r="AI15">
        <v>8</v>
      </c>
      <c r="AJ15">
        <v>5.5</v>
      </c>
      <c r="AK15">
        <v>5.5</v>
      </c>
      <c r="AL15">
        <v>7</v>
      </c>
      <c r="AM15">
        <v>5.5</v>
      </c>
      <c r="AN15" t="s">
        <v>26</v>
      </c>
      <c r="AO15">
        <v>5.5</v>
      </c>
      <c r="AP15">
        <v>6.5</v>
      </c>
      <c r="AQ15">
        <v>5</v>
      </c>
      <c r="AR15">
        <v>5.5</v>
      </c>
      <c r="AS15">
        <v>5.5</v>
      </c>
      <c r="AT15">
        <v>5.5</v>
      </c>
      <c r="AU15">
        <v>7</v>
      </c>
      <c r="AV15">
        <v>5</v>
      </c>
      <c r="AW15">
        <v>5.5</v>
      </c>
      <c r="AX15" t="s">
        <v>26</v>
      </c>
      <c r="AY15" t="s">
        <v>26</v>
      </c>
      <c r="AZ15" t="s">
        <v>26</v>
      </c>
      <c r="BA15" t="s">
        <v>26</v>
      </c>
      <c r="BB15" t="s">
        <v>26</v>
      </c>
      <c r="BC15" t="s">
        <v>26</v>
      </c>
      <c r="BD15" t="s">
        <v>26</v>
      </c>
      <c r="BE15" t="s">
        <v>26</v>
      </c>
      <c r="BF15" t="s">
        <v>26</v>
      </c>
      <c r="BG15" t="s">
        <v>26</v>
      </c>
      <c r="BH15" t="s">
        <v>26</v>
      </c>
      <c r="BI15" t="s">
        <v>26</v>
      </c>
      <c r="BJ15" t="s">
        <v>26</v>
      </c>
      <c r="BK15" t="s">
        <v>26</v>
      </c>
      <c r="BL15" t="s">
        <v>26</v>
      </c>
      <c r="BM15" t="s">
        <v>26</v>
      </c>
      <c r="BN15" t="s">
        <v>26</v>
      </c>
      <c r="BO15" t="s">
        <v>26</v>
      </c>
      <c r="BP15">
        <v>5.5</v>
      </c>
      <c r="BQ15">
        <v>5.5</v>
      </c>
      <c r="BR15">
        <v>6.5</v>
      </c>
      <c r="BS15">
        <v>6.5</v>
      </c>
      <c r="BT15" t="s">
        <v>26</v>
      </c>
      <c r="BU15" t="s">
        <v>26</v>
      </c>
      <c r="BV15">
        <v>5.5</v>
      </c>
      <c r="BW15">
        <v>6.5</v>
      </c>
      <c r="BX15" t="s">
        <v>26</v>
      </c>
      <c r="BY15">
        <v>5</v>
      </c>
      <c r="BZ15" t="s">
        <v>26</v>
      </c>
      <c r="CA15">
        <v>5.5</v>
      </c>
      <c r="CB15">
        <v>6.5</v>
      </c>
      <c r="CC15">
        <v>6</v>
      </c>
      <c r="CD15">
        <v>6</v>
      </c>
      <c r="CE15">
        <v>6</v>
      </c>
      <c r="CF15">
        <v>6.5</v>
      </c>
      <c r="CG15">
        <v>6.5</v>
      </c>
      <c r="CH15">
        <v>5.5</v>
      </c>
      <c r="CI15">
        <v>5.5</v>
      </c>
      <c r="CJ15">
        <v>6</v>
      </c>
      <c r="CL15">
        <f>COUNT(B15:CJ15)</f>
        <v>44</v>
      </c>
      <c r="CM15" s="18">
        <f>AVERAGE(B15:CJ15)</f>
        <v>6.0909090909090908</v>
      </c>
      <c r="CN15">
        <f t="shared" si="2"/>
        <v>0.9573434129174403</v>
      </c>
      <c r="CO15">
        <v>1</v>
      </c>
      <c r="CP15">
        <f t="shared" si="3"/>
        <v>4</v>
      </c>
      <c r="CQ15">
        <f t="shared" si="4"/>
        <v>0</v>
      </c>
      <c r="CR15">
        <f t="shared" si="5"/>
        <v>6.0740740740740744</v>
      </c>
      <c r="CS15">
        <f t="shared" si="6"/>
        <v>27</v>
      </c>
    </row>
    <row r="16" spans="1:97" x14ac:dyDescent="0.35">
      <c r="A16" t="s">
        <v>44</v>
      </c>
      <c r="B16" t="s">
        <v>26</v>
      </c>
      <c r="C16" t="s">
        <v>26</v>
      </c>
      <c r="D16" t="s">
        <v>26</v>
      </c>
      <c r="E16" t="s">
        <v>26</v>
      </c>
      <c r="F16">
        <v>5</v>
      </c>
      <c r="G16">
        <v>3.5</v>
      </c>
      <c r="H16">
        <v>5.5</v>
      </c>
      <c r="I16" t="s">
        <v>26</v>
      </c>
      <c r="J16" t="s">
        <v>26</v>
      </c>
      <c r="K16" t="s">
        <v>26</v>
      </c>
      <c r="L16" t="s">
        <v>26</v>
      </c>
      <c r="M16" t="s">
        <v>26</v>
      </c>
      <c r="N16" t="s">
        <v>26</v>
      </c>
      <c r="O16" t="s">
        <v>26</v>
      </c>
      <c r="P16" t="s">
        <v>26</v>
      </c>
      <c r="Q16">
        <v>5.5</v>
      </c>
      <c r="R16" t="s">
        <v>26</v>
      </c>
      <c r="S16">
        <v>5.5</v>
      </c>
      <c r="T16">
        <v>5.5</v>
      </c>
      <c r="U16" t="s">
        <v>26</v>
      </c>
      <c r="V16" t="s">
        <v>26</v>
      </c>
      <c r="W16" t="s">
        <v>26</v>
      </c>
      <c r="X16" t="s">
        <v>26</v>
      </c>
      <c r="Y16" t="s">
        <v>26</v>
      </c>
      <c r="Z16" t="s">
        <v>26</v>
      </c>
      <c r="AA16" t="s">
        <v>26</v>
      </c>
      <c r="AB16" t="s">
        <v>26</v>
      </c>
      <c r="AC16" t="s">
        <v>26</v>
      </c>
      <c r="AD16" t="s">
        <v>26</v>
      </c>
      <c r="AE16" t="s">
        <v>26</v>
      </c>
      <c r="AF16" t="s">
        <v>26</v>
      </c>
      <c r="AG16">
        <v>8</v>
      </c>
      <c r="AH16" t="s">
        <v>26</v>
      </c>
      <c r="AI16">
        <v>4</v>
      </c>
      <c r="AJ16">
        <v>3.5</v>
      </c>
      <c r="AK16">
        <v>2.5</v>
      </c>
      <c r="AL16">
        <v>5.5</v>
      </c>
      <c r="AM16" t="s">
        <v>26</v>
      </c>
      <c r="AN16">
        <v>5.5</v>
      </c>
      <c r="AO16">
        <v>5.5</v>
      </c>
      <c r="AP16" t="s">
        <v>26</v>
      </c>
      <c r="AQ16" t="s">
        <v>26</v>
      </c>
      <c r="AR16" t="s">
        <v>26</v>
      </c>
      <c r="AS16" t="s">
        <v>26</v>
      </c>
      <c r="AT16" t="s">
        <v>26</v>
      </c>
      <c r="AU16" t="s">
        <v>26</v>
      </c>
      <c r="AV16" t="s">
        <v>26</v>
      </c>
      <c r="AW16">
        <v>5</v>
      </c>
      <c r="AX16">
        <v>5</v>
      </c>
      <c r="AY16">
        <v>5</v>
      </c>
      <c r="AZ16">
        <v>5</v>
      </c>
      <c r="BA16" t="s">
        <v>26</v>
      </c>
      <c r="BB16">
        <v>6.5</v>
      </c>
      <c r="BC16">
        <v>2</v>
      </c>
      <c r="BD16" t="s">
        <v>26</v>
      </c>
      <c r="BE16">
        <v>4</v>
      </c>
      <c r="BF16">
        <v>5.5</v>
      </c>
      <c r="BG16">
        <v>3.5</v>
      </c>
      <c r="BH16">
        <v>4</v>
      </c>
      <c r="BI16">
        <v>5.5</v>
      </c>
      <c r="BJ16">
        <v>5</v>
      </c>
      <c r="BK16">
        <v>5.5</v>
      </c>
      <c r="BL16">
        <v>5</v>
      </c>
      <c r="BM16" t="s">
        <v>26</v>
      </c>
      <c r="BN16" t="s">
        <v>26</v>
      </c>
      <c r="BO16">
        <v>4</v>
      </c>
      <c r="BP16">
        <v>5.5</v>
      </c>
      <c r="BQ16">
        <v>5</v>
      </c>
      <c r="BR16" t="s">
        <v>26</v>
      </c>
      <c r="BS16">
        <v>5</v>
      </c>
      <c r="BT16">
        <v>5</v>
      </c>
      <c r="BU16" t="s">
        <v>26</v>
      </c>
      <c r="BV16">
        <v>4</v>
      </c>
      <c r="BW16" t="s">
        <v>26</v>
      </c>
      <c r="BX16">
        <v>5.5</v>
      </c>
      <c r="BY16" t="s">
        <v>26</v>
      </c>
      <c r="BZ16" t="s">
        <v>26</v>
      </c>
      <c r="CA16" t="s">
        <v>26</v>
      </c>
      <c r="CB16">
        <v>5.5</v>
      </c>
      <c r="CC16">
        <v>5.5</v>
      </c>
      <c r="CD16">
        <v>4.5</v>
      </c>
      <c r="CE16">
        <v>5.5</v>
      </c>
      <c r="CG16">
        <v>6</v>
      </c>
      <c r="CH16">
        <v>6.5</v>
      </c>
      <c r="CI16">
        <v>5.5</v>
      </c>
      <c r="CJ16">
        <v>4.5</v>
      </c>
      <c r="CL16">
        <f>COUNT(B16:CJ16)</f>
        <v>42</v>
      </c>
      <c r="CM16" s="18">
        <f>AVERAGE(B16:CJ16)</f>
        <v>4.9761904761904763</v>
      </c>
      <c r="CN16">
        <f t="shared" si="2"/>
        <v>1.0645089158214895</v>
      </c>
      <c r="CO16">
        <v>1</v>
      </c>
      <c r="CP16">
        <f t="shared" si="3"/>
        <v>4</v>
      </c>
      <c r="CQ16">
        <f t="shared" si="4"/>
        <v>0</v>
      </c>
      <c r="CR16">
        <f t="shared" si="5"/>
        <v>4.8448275862068968</v>
      </c>
      <c r="CS16">
        <f t="shared" si="6"/>
        <v>29</v>
      </c>
    </row>
    <row r="17" spans="1:97" x14ac:dyDescent="0.35">
      <c r="A17" t="s">
        <v>84</v>
      </c>
      <c r="B17" t="s">
        <v>26</v>
      </c>
      <c r="C17" t="s">
        <v>26</v>
      </c>
      <c r="D17" t="s">
        <v>26</v>
      </c>
      <c r="E17" t="s">
        <v>26</v>
      </c>
      <c r="F17" t="s">
        <v>26</v>
      </c>
      <c r="G17" t="s">
        <v>26</v>
      </c>
      <c r="H17" t="s">
        <v>26</v>
      </c>
      <c r="I17" t="s">
        <v>26</v>
      </c>
      <c r="J17" t="s">
        <v>26</v>
      </c>
      <c r="K17" t="s">
        <v>26</v>
      </c>
      <c r="L17" t="s">
        <v>26</v>
      </c>
      <c r="M17" t="s">
        <v>26</v>
      </c>
      <c r="N17" t="s">
        <v>26</v>
      </c>
      <c r="O17" t="s">
        <v>26</v>
      </c>
      <c r="P17" t="s">
        <v>26</v>
      </c>
      <c r="Q17" t="s">
        <v>26</v>
      </c>
      <c r="R17" t="s">
        <v>26</v>
      </c>
      <c r="S17" t="s">
        <v>26</v>
      </c>
      <c r="T17" t="s">
        <v>26</v>
      </c>
      <c r="U17" t="s">
        <v>26</v>
      </c>
      <c r="V17" t="s">
        <v>26</v>
      </c>
      <c r="W17" t="s">
        <v>26</v>
      </c>
      <c r="X17" t="s">
        <v>26</v>
      </c>
      <c r="Y17" t="s">
        <v>26</v>
      </c>
      <c r="Z17" t="s">
        <v>26</v>
      </c>
      <c r="AA17" t="s">
        <v>26</v>
      </c>
      <c r="AB17">
        <v>3.5</v>
      </c>
      <c r="AC17">
        <v>5.5</v>
      </c>
      <c r="AD17" t="s">
        <v>26</v>
      </c>
      <c r="AE17">
        <v>8</v>
      </c>
      <c r="AF17">
        <v>7</v>
      </c>
      <c r="AG17">
        <v>8</v>
      </c>
      <c r="AH17">
        <v>5.5</v>
      </c>
      <c r="AI17">
        <v>6.5</v>
      </c>
      <c r="AJ17" t="s">
        <v>26</v>
      </c>
      <c r="AK17" t="s">
        <v>26</v>
      </c>
      <c r="AL17">
        <v>5.5</v>
      </c>
      <c r="AM17" t="s">
        <v>26</v>
      </c>
      <c r="AN17" t="s">
        <v>26</v>
      </c>
      <c r="AO17">
        <v>6.5</v>
      </c>
      <c r="AP17">
        <v>7</v>
      </c>
      <c r="AQ17">
        <v>6.5</v>
      </c>
      <c r="AR17" t="s">
        <v>26</v>
      </c>
      <c r="AS17" t="s">
        <v>26</v>
      </c>
      <c r="AT17">
        <v>5</v>
      </c>
      <c r="AU17">
        <v>5.5</v>
      </c>
      <c r="AV17">
        <v>5.5</v>
      </c>
      <c r="AW17">
        <v>5</v>
      </c>
      <c r="AX17">
        <v>5.5</v>
      </c>
      <c r="AY17" t="s">
        <v>26</v>
      </c>
      <c r="AZ17">
        <v>5.5</v>
      </c>
      <c r="BA17">
        <v>6.5</v>
      </c>
      <c r="BB17">
        <v>6.5</v>
      </c>
      <c r="BC17">
        <v>4</v>
      </c>
      <c r="BD17">
        <v>5</v>
      </c>
      <c r="BE17">
        <v>5</v>
      </c>
      <c r="BF17">
        <v>5</v>
      </c>
      <c r="BG17">
        <v>5.5</v>
      </c>
      <c r="BH17" t="s">
        <v>26</v>
      </c>
      <c r="BI17">
        <v>5</v>
      </c>
      <c r="BJ17" t="s">
        <v>26</v>
      </c>
      <c r="BK17" t="s">
        <v>26</v>
      </c>
      <c r="BL17">
        <v>5.5</v>
      </c>
      <c r="BM17">
        <v>5.5</v>
      </c>
      <c r="BN17">
        <v>6.5</v>
      </c>
      <c r="BO17">
        <v>5.5</v>
      </c>
      <c r="BP17" t="s">
        <v>26</v>
      </c>
      <c r="BQ17">
        <v>5.5</v>
      </c>
      <c r="BR17">
        <v>5</v>
      </c>
      <c r="BS17" t="s">
        <v>26</v>
      </c>
      <c r="BT17" t="s">
        <v>26</v>
      </c>
      <c r="BU17" t="s">
        <v>26</v>
      </c>
      <c r="BV17" t="s">
        <v>26</v>
      </c>
      <c r="BW17">
        <v>5.5</v>
      </c>
      <c r="BX17" t="s">
        <v>26</v>
      </c>
      <c r="BY17" t="s">
        <v>26</v>
      </c>
      <c r="BZ17" t="s">
        <v>26</v>
      </c>
      <c r="CA17">
        <v>5.5</v>
      </c>
      <c r="CB17">
        <v>6.5</v>
      </c>
      <c r="CC17">
        <v>6</v>
      </c>
      <c r="CD17">
        <v>5.5</v>
      </c>
      <c r="CJ17">
        <v>6</v>
      </c>
      <c r="CL17">
        <f t="shared" si="7"/>
        <v>36</v>
      </c>
      <c r="CM17" s="18">
        <f t="shared" si="8"/>
        <v>5.7361111111111107</v>
      </c>
      <c r="CN17">
        <f t="shared" si="2"/>
        <v>0.92956296268047622</v>
      </c>
      <c r="CO17">
        <v>1</v>
      </c>
      <c r="CP17">
        <f t="shared" si="3"/>
        <v>1</v>
      </c>
      <c r="CQ17">
        <f t="shared" si="4"/>
        <v>0</v>
      </c>
      <c r="CR17">
        <f t="shared" si="5"/>
        <v>5.8125</v>
      </c>
      <c r="CS17">
        <f t="shared" si="6"/>
        <v>32</v>
      </c>
    </row>
    <row r="18" spans="1:97" x14ac:dyDescent="0.35">
      <c r="A18" t="s">
        <v>15</v>
      </c>
      <c r="B18">
        <v>7</v>
      </c>
      <c r="C18">
        <v>5</v>
      </c>
      <c r="D18" t="s">
        <v>26</v>
      </c>
      <c r="E18" t="s">
        <v>26</v>
      </c>
      <c r="F18" t="s">
        <v>26</v>
      </c>
      <c r="G18">
        <v>5.5</v>
      </c>
      <c r="H18">
        <v>3.5</v>
      </c>
      <c r="I18" t="s">
        <v>26</v>
      </c>
      <c r="J18" t="s">
        <v>26</v>
      </c>
      <c r="K18" t="s">
        <v>26</v>
      </c>
      <c r="L18" t="s">
        <v>26</v>
      </c>
      <c r="M18" t="s">
        <v>26</v>
      </c>
      <c r="N18" t="s">
        <v>26</v>
      </c>
      <c r="O18" t="s">
        <v>26</v>
      </c>
      <c r="P18">
        <v>5.5</v>
      </c>
      <c r="Q18">
        <v>5</v>
      </c>
      <c r="R18">
        <v>7</v>
      </c>
      <c r="S18">
        <v>5.5</v>
      </c>
      <c r="T18">
        <v>5.5</v>
      </c>
      <c r="U18">
        <v>7</v>
      </c>
      <c r="V18">
        <v>5</v>
      </c>
      <c r="W18">
        <v>5.5</v>
      </c>
      <c r="X18">
        <v>5</v>
      </c>
      <c r="Y18">
        <v>7</v>
      </c>
      <c r="Z18" t="s">
        <v>26</v>
      </c>
      <c r="AA18">
        <v>7</v>
      </c>
      <c r="AB18">
        <v>5.5</v>
      </c>
      <c r="AC18" t="s">
        <v>26</v>
      </c>
      <c r="AD18">
        <v>5.5</v>
      </c>
      <c r="AE18" t="s">
        <v>26</v>
      </c>
      <c r="AF18" t="s">
        <v>26</v>
      </c>
      <c r="AG18" t="s">
        <v>26</v>
      </c>
      <c r="AH18" t="s">
        <v>26</v>
      </c>
      <c r="AI18" t="s">
        <v>26</v>
      </c>
      <c r="AJ18" t="s">
        <v>26</v>
      </c>
      <c r="AK18" t="s">
        <v>26</v>
      </c>
      <c r="AL18" t="s">
        <v>26</v>
      </c>
      <c r="AM18" t="s">
        <v>26</v>
      </c>
      <c r="AN18" t="s">
        <v>26</v>
      </c>
      <c r="AO18" t="s">
        <v>26</v>
      </c>
      <c r="AP18" t="s">
        <v>26</v>
      </c>
      <c r="AQ18" t="s">
        <v>26</v>
      </c>
      <c r="AR18" t="s">
        <v>26</v>
      </c>
      <c r="AS18" t="s">
        <v>26</v>
      </c>
      <c r="AT18" t="s">
        <v>26</v>
      </c>
      <c r="AU18" t="s">
        <v>26</v>
      </c>
      <c r="AV18" t="s">
        <v>26</v>
      </c>
      <c r="AW18" t="s">
        <v>26</v>
      </c>
      <c r="AX18" t="s">
        <v>26</v>
      </c>
      <c r="AY18" t="s">
        <v>26</v>
      </c>
      <c r="AZ18" t="s">
        <v>26</v>
      </c>
      <c r="BA18" t="s">
        <v>26</v>
      </c>
      <c r="BB18">
        <v>3.5</v>
      </c>
      <c r="BC18">
        <v>4</v>
      </c>
      <c r="BD18">
        <v>5.5</v>
      </c>
      <c r="BE18">
        <v>8.5</v>
      </c>
      <c r="BF18" t="s">
        <v>26</v>
      </c>
      <c r="BG18" t="s">
        <v>26</v>
      </c>
      <c r="BH18">
        <v>5.5</v>
      </c>
      <c r="BI18" t="s">
        <v>26</v>
      </c>
      <c r="BJ18">
        <v>5</v>
      </c>
      <c r="BK18">
        <v>6.5</v>
      </c>
      <c r="BL18">
        <v>5.5</v>
      </c>
      <c r="BM18">
        <v>5.5</v>
      </c>
      <c r="BN18">
        <v>6.5</v>
      </c>
      <c r="BO18" t="s">
        <v>26</v>
      </c>
      <c r="BP18" t="s">
        <v>26</v>
      </c>
      <c r="BQ18" t="s">
        <v>26</v>
      </c>
      <c r="BR18">
        <v>5.5</v>
      </c>
      <c r="BS18">
        <v>5.5</v>
      </c>
      <c r="BT18" t="s">
        <v>26</v>
      </c>
      <c r="BU18" t="s">
        <v>26</v>
      </c>
      <c r="BV18" t="s">
        <v>26</v>
      </c>
      <c r="BW18">
        <v>6.5</v>
      </c>
      <c r="BX18">
        <v>5.5</v>
      </c>
      <c r="BY18">
        <v>5.5</v>
      </c>
      <c r="BZ18" t="s">
        <v>26</v>
      </c>
      <c r="CA18">
        <v>5</v>
      </c>
      <c r="CB18">
        <v>5.5</v>
      </c>
      <c r="CC18">
        <v>5</v>
      </c>
      <c r="CI18">
        <v>5</v>
      </c>
      <c r="CJ18">
        <v>6</v>
      </c>
      <c r="CL18">
        <f t="shared" si="7"/>
        <v>36</v>
      </c>
      <c r="CM18" s="18">
        <f t="shared" si="8"/>
        <v>5.6111111111111107</v>
      </c>
      <c r="CN18">
        <f t="shared" si="2"/>
        <v>1.0098256776095882</v>
      </c>
      <c r="CO18">
        <v>1</v>
      </c>
      <c r="CP18">
        <f t="shared" si="3"/>
        <v>2</v>
      </c>
      <c r="CQ18">
        <f t="shared" si="4"/>
        <v>0</v>
      </c>
      <c r="CR18">
        <f t="shared" si="5"/>
        <v>5.5882352941176467</v>
      </c>
      <c r="CS18">
        <f t="shared" si="6"/>
        <v>17</v>
      </c>
    </row>
    <row r="19" spans="1:97" x14ac:dyDescent="0.35">
      <c r="A19" t="s">
        <v>46</v>
      </c>
      <c r="B19" t="s">
        <v>26</v>
      </c>
      <c r="C19" t="s">
        <v>26</v>
      </c>
      <c r="D19" t="s">
        <v>26</v>
      </c>
      <c r="E19" t="s">
        <v>26</v>
      </c>
      <c r="F19" t="s">
        <v>26</v>
      </c>
      <c r="G19" t="s">
        <v>26</v>
      </c>
      <c r="H19">
        <v>5.5</v>
      </c>
      <c r="I19">
        <v>5</v>
      </c>
      <c r="J19">
        <v>5</v>
      </c>
      <c r="K19">
        <v>3</v>
      </c>
      <c r="L19" t="s">
        <v>26</v>
      </c>
      <c r="M19">
        <v>3</v>
      </c>
      <c r="N19">
        <v>3.5</v>
      </c>
      <c r="O19">
        <v>8</v>
      </c>
      <c r="P19">
        <v>7</v>
      </c>
      <c r="Q19">
        <v>3.5</v>
      </c>
      <c r="R19" t="s">
        <v>26</v>
      </c>
      <c r="S19" t="s">
        <v>26</v>
      </c>
      <c r="T19" t="s">
        <v>26</v>
      </c>
      <c r="U19">
        <v>5</v>
      </c>
      <c r="V19" t="s">
        <v>26</v>
      </c>
      <c r="W19" t="s">
        <v>26</v>
      </c>
      <c r="X19" t="s">
        <v>26</v>
      </c>
      <c r="Y19" t="s">
        <v>26</v>
      </c>
      <c r="Z19" t="s">
        <v>26</v>
      </c>
      <c r="AA19" t="s">
        <v>26</v>
      </c>
      <c r="AB19" t="s">
        <v>26</v>
      </c>
      <c r="AC19" t="s">
        <v>26</v>
      </c>
      <c r="AD19" t="s">
        <v>26</v>
      </c>
      <c r="AE19" t="s">
        <v>26</v>
      </c>
      <c r="AF19" t="s">
        <v>26</v>
      </c>
      <c r="AG19" t="s">
        <v>26</v>
      </c>
      <c r="AH19">
        <v>5.5</v>
      </c>
      <c r="AI19">
        <v>6.5</v>
      </c>
      <c r="AJ19">
        <v>3.5</v>
      </c>
      <c r="AK19" t="s">
        <v>26</v>
      </c>
      <c r="AL19" t="s">
        <v>26</v>
      </c>
      <c r="AM19" t="s">
        <v>26</v>
      </c>
      <c r="AN19" t="s">
        <v>26</v>
      </c>
      <c r="AO19" t="s">
        <v>26</v>
      </c>
      <c r="AP19" t="s">
        <v>26</v>
      </c>
      <c r="AQ19" t="s">
        <v>26</v>
      </c>
      <c r="AR19" t="s">
        <v>26</v>
      </c>
      <c r="AS19" t="s">
        <v>26</v>
      </c>
      <c r="AT19" t="s">
        <v>26</v>
      </c>
      <c r="AU19" t="s">
        <v>26</v>
      </c>
      <c r="AV19" t="s">
        <v>26</v>
      </c>
      <c r="AW19" t="s">
        <v>26</v>
      </c>
      <c r="AX19" t="s">
        <v>26</v>
      </c>
      <c r="AY19" t="s">
        <v>26</v>
      </c>
      <c r="AZ19" t="s">
        <v>26</v>
      </c>
      <c r="BA19" t="s">
        <v>26</v>
      </c>
      <c r="BB19" t="s">
        <v>26</v>
      </c>
      <c r="BC19" t="s">
        <v>26</v>
      </c>
      <c r="BD19" t="s">
        <v>26</v>
      </c>
      <c r="BE19" t="s">
        <v>26</v>
      </c>
      <c r="BF19">
        <v>3.5</v>
      </c>
      <c r="BG19">
        <v>5</v>
      </c>
      <c r="BH19">
        <v>4</v>
      </c>
      <c r="BI19">
        <v>5.5</v>
      </c>
      <c r="BJ19">
        <v>3.5</v>
      </c>
      <c r="BK19">
        <v>4</v>
      </c>
      <c r="BL19">
        <v>5.5</v>
      </c>
      <c r="BM19" t="s">
        <v>26</v>
      </c>
      <c r="BN19" t="s">
        <v>26</v>
      </c>
      <c r="BO19">
        <v>5.5</v>
      </c>
      <c r="BP19" t="s">
        <v>26</v>
      </c>
      <c r="BQ19">
        <v>8.5</v>
      </c>
      <c r="BR19">
        <v>5</v>
      </c>
      <c r="BS19" t="s">
        <v>26</v>
      </c>
      <c r="BT19">
        <v>5.5</v>
      </c>
      <c r="BU19">
        <v>6.5</v>
      </c>
      <c r="BV19">
        <v>5</v>
      </c>
      <c r="BW19" t="s">
        <v>26</v>
      </c>
      <c r="BX19">
        <v>5.5</v>
      </c>
      <c r="BY19">
        <v>5.5</v>
      </c>
      <c r="BZ19" t="s">
        <v>26</v>
      </c>
      <c r="CA19">
        <v>5.5</v>
      </c>
      <c r="CB19">
        <v>5.5</v>
      </c>
      <c r="CC19">
        <v>4</v>
      </c>
      <c r="CD19">
        <v>6.5</v>
      </c>
      <c r="CE19">
        <v>6</v>
      </c>
      <c r="CF19">
        <v>6</v>
      </c>
      <c r="CH19">
        <v>5.5</v>
      </c>
      <c r="CI19">
        <v>6</v>
      </c>
      <c r="CJ19">
        <v>5.5</v>
      </c>
      <c r="CL19">
        <f>COUNT(B19:CJ19)</f>
        <v>37</v>
      </c>
      <c r="CM19" s="18">
        <f>AVERAGE(B19:CJ19)</f>
        <v>5.2027027027027026</v>
      </c>
      <c r="CN19">
        <f t="shared" si="2"/>
        <v>1.3241383031954423</v>
      </c>
      <c r="CO19">
        <v>1</v>
      </c>
      <c r="CP19">
        <f t="shared" si="3"/>
        <v>3</v>
      </c>
      <c r="CQ19">
        <f t="shared" si="4"/>
        <v>0</v>
      </c>
      <c r="CR19">
        <f t="shared" si="5"/>
        <v>5.2249999999999996</v>
      </c>
      <c r="CS19">
        <f t="shared" si="6"/>
        <v>20</v>
      </c>
    </row>
    <row r="20" spans="1:97" x14ac:dyDescent="0.35">
      <c r="A20" t="s">
        <v>367</v>
      </c>
      <c r="B20">
        <v>9.5</v>
      </c>
      <c r="C20" t="s">
        <v>26</v>
      </c>
      <c r="D20" t="s">
        <v>26</v>
      </c>
      <c r="E20">
        <v>7</v>
      </c>
      <c r="F20">
        <v>7</v>
      </c>
      <c r="G20" t="s">
        <v>26</v>
      </c>
      <c r="H20">
        <v>10</v>
      </c>
      <c r="I20">
        <v>7</v>
      </c>
      <c r="J20" t="s">
        <v>26</v>
      </c>
      <c r="K20">
        <v>5.5</v>
      </c>
      <c r="L20">
        <v>7</v>
      </c>
      <c r="M20">
        <v>5.5</v>
      </c>
      <c r="N20">
        <v>5.5</v>
      </c>
      <c r="O20">
        <v>5.5</v>
      </c>
      <c r="P20">
        <v>7</v>
      </c>
      <c r="Q20">
        <v>5</v>
      </c>
      <c r="R20">
        <v>8</v>
      </c>
      <c r="S20">
        <v>7</v>
      </c>
      <c r="T20">
        <v>7</v>
      </c>
      <c r="U20">
        <v>5.5</v>
      </c>
      <c r="V20">
        <v>7</v>
      </c>
      <c r="W20">
        <v>7</v>
      </c>
      <c r="X20">
        <v>7</v>
      </c>
      <c r="Y20" t="s">
        <v>26</v>
      </c>
      <c r="Z20">
        <v>5.5</v>
      </c>
      <c r="AA20">
        <v>5.5</v>
      </c>
      <c r="AB20" t="s">
        <v>26</v>
      </c>
      <c r="AC20">
        <v>5.5</v>
      </c>
      <c r="AD20" t="s">
        <v>26</v>
      </c>
      <c r="AE20" t="s">
        <v>26</v>
      </c>
      <c r="AF20">
        <v>8.5</v>
      </c>
      <c r="AG20">
        <v>6.5</v>
      </c>
      <c r="AH20">
        <v>6.5</v>
      </c>
      <c r="AI20">
        <v>6.5</v>
      </c>
      <c r="AJ20">
        <v>6.5</v>
      </c>
      <c r="AK20">
        <v>8</v>
      </c>
      <c r="AL20">
        <v>5</v>
      </c>
      <c r="AM20" t="s">
        <v>26</v>
      </c>
      <c r="AN20" t="s">
        <v>26</v>
      </c>
      <c r="AO20" t="s">
        <v>26</v>
      </c>
      <c r="AP20" t="s">
        <v>26</v>
      </c>
      <c r="AQ20" t="s">
        <v>26</v>
      </c>
      <c r="AR20" t="s">
        <v>26</v>
      </c>
      <c r="AS20" t="s">
        <v>26</v>
      </c>
      <c r="AT20" t="s">
        <v>26</v>
      </c>
      <c r="AU20" t="s">
        <v>26</v>
      </c>
      <c r="AV20">
        <v>5</v>
      </c>
      <c r="AW20">
        <v>5</v>
      </c>
      <c r="AX20">
        <v>5.5</v>
      </c>
      <c r="AY20">
        <v>6.5</v>
      </c>
      <c r="AZ20">
        <v>6.5</v>
      </c>
      <c r="BA20">
        <v>5.5</v>
      </c>
      <c r="BB20" t="s">
        <v>26</v>
      </c>
      <c r="BC20" t="s">
        <v>26</v>
      </c>
      <c r="BD20">
        <v>5</v>
      </c>
      <c r="BE20">
        <v>7</v>
      </c>
      <c r="BF20">
        <v>8</v>
      </c>
      <c r="BG20">
        <v>6.5</v>
      </c>
      <c r="BH20">
        <v>5.5</v>
      </c>
      <c r="BI20" t="s">
        <v>26</v>
      </c>
      <c r="BJ20" t="s">
        <v>26</v>
      </c>
      <c r="BK20">
        <v>5</v>
      </c>
      <c r="BL20">
        <v>5.5</v>
      </c>
      <c r="BM20">
        <v>6.5</v>
      </c>
      <c r="BN20">
        <v>6.5</v>
      </c>
      <c r="BO20">
        <v>5.5</v>
      </c>
      <c r="BP20">
        <v>6.5</v>
      </c>
      <c r="BQ20">
        <v>5.5</v>
      </c>
      <c r="BR20">
        <v>5</v>
      </c>
      <c r="BS20">
        <v>6.5</v>
      </c>
      <c r="BT20">
        <v>5.5</v>
      </c>
      <c r="BU20" t="s">
        <v>26</v>
      </c>
      <c r="BV20">
        <v>6.5</v>
      </c>
      <c r="BW20">
        <v>5.5</v>
      </c>
      <c r="BX20" t="s">
        <v>26</v>
      </c>
      <c r="BY20">
        <v>5.5</v>
      </c>
      <c r="BZ20" t="s">
        <v>26</v>
      </c>
      <c r="CA20" t="s">
        <v>26</v>
      </c>
      <c r="CB20">
        <v>5.5</v>
      </c>
      <c r="CI20">
        <v>6.5</v>
      </c>
      <c r="CJ20">
        <v>6</v>
      </c>
      <c r="CL20">
        <f t="shared" si="7"/>
        <v>55</v>
      </c>
      <c r="CM20" s="18">
        <f t="shared" si="8"/>
        <v>6.3181818181818183</v>
      </c>
      <c r="CN20">
        <f t="shared" si="2"/>
        <v>1.1213885273224193</v>
      </c>
      <c r="CO20">
        <v>0</v>
      </c>
      <c r="CP20">
        <f t="shared" si="3"/>
        <v>2</v>
      </c>
      <c r="CQ20">
        <f t="shared" si="4"/>
        <v>2</v>
      </c>
      <c r="CR20">
        <f t="shared" si="5"/>
        <v>6.078125</v>
      </c>
      <c r="CS20">
        <f t="shared" si="6"/>
        <v>32</v>
      </c>
    </row>
    <row r="21" spans="1:97" x14ac:dyDescent="0.35">
      <c r="A21" t="s">
        <v>14</v>
      </c>
      <c r="B21">
        <v>7</v>
      </c>
      <c r="C21" t="s">
        <v>26</v>
      </c>
      <c r="D21">
        <v>8</v>
      </c>
      <c r="E21" t="s">
        <v>26</v>
      </c>
      <c r="F21">
        <v>5.5</v>
      </c>
      <c r="G21">
        <v>7</v>
      </c>
      <c r="H21">
        <v>3.5</v>
      </c>
      <c r="I21">
        <v>5</v>
      </c>
      <c r="J21" t="s">
        <v>26</v>
      </c>
      <c r="K21">
        <v>5.5</v>
      </c>
      <c r="L21">
        <v>5.5</v>
      </c>
      <c r="M21">
        <v>5.5</v>
      </c>
      <c r="N21" t="s">
        <v>26</v>
      </c>
      <c r="O21">
        <v>5.5</v>
      </c>
      <c r="P21">
        <v>5</v>
      </c>
      <c r="Q21">
        <v>5</v>
      </c>
      <c r="R21">
        <v>5.5</v>
      </c>
      <c r="S21">
        <v>3.5</v>
      </c>
      <c r="T21">
        <v>7</v>
      </c>
      <c r="U21" t="s">
        <v>26</v>
      </c>
      <c r="V21">
        <v>5.5</v>
      </c>
      <c r="W21" t="s">
        <v>26</v>
      </c>
      <c r="X21">
        <v>7</v>
      </c>
      <c r="Y21">
        <v>5.5</v>
      </c>
      <c r="Z21" t="s">
        <v>26</v>
      </c>
      <c r="AA21">
        <v>5.5</v>
      </c>
      <c r="AB21">
        <v>5</v>
      </c>
      <c r="AC21">
        <v>5.5</v>
      </c>
      <c r="AD21">
        <v>5</v>
      </c>
      <c r="AE21" t="s">
        <v>26</v>
      </c>
      <c r="AF21" t="s">
        <v>26</v>
      </c>
      <c r="AG21" t="s">
        <v>26</v>
      </c>
      <c r="AH21" t="s">
        <v>26</v>
      </c>
      <c r="AI21">
        <v>5.5</v>
      </c>
      <c r="AJ21" t="s">
        <v>26</v>
      </c>
      <c r="AK21" t="s">
        <v>26</v>
      </c>
      <c r="AL21">
        <v>6.5</v>
      </c>
      <c r="AM21">
        <v>5.5</v>
      </c>
      <c r="AN21">
        <v>5.5</v>
      </c>
      <c r="AO21">
        <v>5.5</v>
      </c>
      <c r="AP21">
        <v>5.5</v>
      </c>
      <c r="AQ21">
        <v>5.5</v>
      </c>
      <c r="AR21">
        <v>5</v>
      </c>
      <c r="AS21">
        <v>6.5</v>
      </c>
      <c r="AT21">
        <v>6.5</v>
      </c>
      <c r="AU21" t="s">
        <v>26</v>
      </c>
      <c r="AV21">
        <v>5.5</v>
      </c>
      <c r="AW21" t="s">
        <v>26</v>
      </c>
      <c r="AX21" t="s">
        <v>26</v>
      </c>
      <c r="AY21">
        <v>5</v>
      </c>
      <c r="AZ21">
        <v>5.5</v>
      </c>
      <c r="BA21" t="s">
        <v>26</v>
      </c>
      <c r="BB21">
        <v>5.5</v>
      </c>
      <c r="BC21">
        <v>7</v>
      </c>
      <c r="BD21">
        <v>7</v>
      </c>
      <c r="BE21">
        <v>7</v>
      </c>
      <c r="BF21">
        <v>5.5</v>
      </c>
      <c r="BG21">
        <v>6.5</v>
      </c>
      <c r="BH21">
        <v>5.5</v>
      </c>
      <c r="BI21">
        <v>5.5</v>
      </c>
      <c r="BJ21" t="s">
        <v>26</v>
      </c>
      <c r="BK21">
        <v>6.5</v>
      </c>
      <c r="BL21">
        <v>5.5</v>
      </c>
      <c r="BM21">
        <v>5.5</v>
      </c>
      <c r="BN21">
        <v>6.5</v>
      </c>
      <c r="BO21">
        <v>5</v>
      </c>
      <c r="BP21">
        <v>5</v>
      </c>
      <c r="BQ21">
        <v>5.5</v>
      </c>
      <c r="BR21">
        <v>5</v>
      </c>
      <c r="BS21" t="s">
        <v>26</v>
      </c>
      <c r="BT21" t="s">
        <v>26</v>
      </c>
      <c r="BU21" t="s">
        <v>26</v>
      </c>
      <c r="BV21" t="s">
        <v>26</v>
      </c>
      <c r="BW21" t="s">
        <v>26</v>
      </c>
      <c r="BX21" t="s">
        <v>26</v>
      </c>
      <c r="BY21" t="s">
        <v>26</v>
      </c>
      <c r="BZ21" t="s">
        <v>26</v>
      </c>
      <c r="CA21" t="s">
        <v>26</v>
      </c>
      <c r="CB21" t="s">
        <v>26</v>
      </c>
      <c r="CF21">
        <v>5.5</v>
      </c>
      <c r="CL21">
        <f t="shared" si="7"/>
        <v>52</v>
      </c>
      <c r="CM21" s="18">
        <f t="shared" si="8"/>
        <v>5.6923076923076925</v>
      </c>
      <c r="CN21">
        <f t="shared" si="2"/>
        <v>0.84687340856573534</v>
      </c>
      <c r="CO21">
        <v>0</v>
      </c>
      <c r="CP21">
        <f t="shared" si="3"/>
        <v>0</v>
      </c>
      <c r="CQ21">
        <f t="shared" si="4"/>
        <v>0</v>
      </c>
      <c r="CR21">
        <f t="shared" si="5"/>
        <v>5.7758620689655169</v>
      </c>
      <c r="CS21">
        <f t="shared" si="6"/>
        <v>29</v>
      </c>
    </row>
    <row r="22" spans="1:97" x14ac:dyDescent="0.35">
      <c r="A22" t="s">
        <v>55</v>
      </c>
      <c r="B22" t="s">
        <v>26</v>
      </c>
      <c r="C22" t="s">
        <v>26</v>
      </c>
      <c r="D22" t="s">
        <v>26</v>
      </c>
      <c r="E22" t="s">
        <v>26</v>
      </c>
      <c r="F22" t="s">
        <v>26</v>
      </c>
      <c r="G22" t="s">
        <v>26</v>
      </c>
      <c r="H22" t="s">
        <v>26</v>
      </c>
      <c r="I22" t="s">
        <v>26</v>
      </c>
      <c r="J22" t="s">
        <v>26</v>
      </c>
      <c r="K22" t="s">
        <v>26</v>
      </c>
      <c r="L22" t="s">
        <v>26</v>
      </c>
      <c r="M22" t="s">
        <v>26</v>
      </c>
      <c r="N22" t="s">
        <v>26</v>
      </c>
      <c r="O22">
        <v>5.5</v>
      </c>
      <c r="P22" t="s">
        <v>26</v>
      </c>
      <c r="Q22">
        <v>3.5</v>
      </c>
      <c r="R22" t="s">
        <v>26</v>
      </c>
      <c r="S22" t="s">
        <v>26</v>
      </c>
      <c r="T22">
        <v>7</v>
      </c>
      <c r="U22">
        <v>7</v>
      </c>
      <c r="V22">
        <v>5.5</v>
      </c>
      <c r="W22">
        <v>5.5</v>
      </c>
      <c r="X22">
        <v>5.5</v>
      </c>
      <c r="Y22">
        <v>8</v>
      </c>
      <c r="Z22">
        <v>5.5</v>
      </c>
      <c r="AA22">
        <v>5.5</v>
      </c>
      <c r="AB22" t="s">
        <v>26</v>
      </c>
      <c r="AC22">
        <v>5.5</v>
      </c>
      <c r="AD22">
        <v>7</v>
      </c>
      <c r="AE22" t="s">
        <v>26</v>
      </c>
      <c r="AF22">
        <v>8.5</v>
      </c>
      <c r="AG22">
        <v>8.5</v>
      </c>
      <c r="AH22" t="s">
        <v>26</v>
      </c>
      <c r="AI22" t="s">
        <v>26</v>
      </c>
      <c r="AJ22" t="s">
        <v>26</v>
      </c>
      <c r="AK22" t="s">
        <v>26</v>
      </c>
      <c r="AL22" t="s">
        <v>26</v>
      </c>
      <c r="AM22" t="s">
        <v>26</v>
      </c>
      <c r="AN22" t="s">
        <v>26</v>
      </c>
      <c r="AO22" t="s">
        <v>26</v>
      </c>
      <c r="AP22" t="s">
        <v>26</v>
      </c>
      <c r="AQ22">
        <v>8.5</v>
      </c>
      <c r="AR22">
        <v>8</v>
      </c>
      <c r="AS22">
        <v>5.5</v>
      </c>
      <c r="AT22">
        <v>5.5</v>
      </c>
      <c r="AU22">
        <v>5.5</v>
      </c>
      <c r="AV22">
        <v>5.5</v>
      </c>
      <c r="AW22">
        <v>5.5</v>
      </c>
      <c r="AX22" t="s">
        <v>26</v>
      </c>
      <c r="AY22" t="s">
        <v>26</v>
      </c>
      <c r="AZ22">
        <v>6.5</v>
      </c>
      <c r="BA22" t="s">
        <v>26</v>
      </c>
      <c r="BB22" t="s">
        <v>26</v>
      </c>
      <c r="BC22">
        <v>5</v>
      </c>
      <c r="BD22" t="s">
        <v>26</v>
      </c>
      <c r="BE22">
        <v>6.5</v>
      </c>
      <c r="BF22">
        <v>6.5</v>
      </c>
      <c r="BG22" t="s">
        <v>26</v>
      </c>
      <c r="BH22">
        <v>6.5</v>
      </c>
      <c r="BI22" t="s">
        <v>26</v>
      </c>
      <c r="BJ22">
        <v>5.5</v>
      </c>
      <c r="BK22" t="s">
        <v>26</v>
      </c>
      <c r="BL22" t="s">
        <v>26</v>
      </c>
      <c r="BM22">
        <v>5.5</v>
      </c>
      <c r="BN22">
        <v>5</v>
      </c>
      <c r="BO22">
        <v>6.5</v>
      </c>
      <c r="BP22" t="s">
        <v>26</v>
      </c>
      <c r="BQ22">
        <v>5.5</v>
      </c>
      <c r="BR22">
        <v>7</v>
      </c>
      <c r="BS22">
        <v>6.5</v>
      </c>
      <c r="BT22">
        <v>6.5</v>
      </c>
      <c r="BU22">
        <v>5.5</v>
      </c>
      <c r="BV22" t="s">
        <v>26</v>
      </c>
      <c r="BW22" t="s">
        <v>26</v>
      </c>
      <c r="BX22">
        <v>5.5</v>
      </c>
      <c r="BY22" t="s">
        <v>26</v>
      </c>
      <c r="BZ22">
        <v>5.5</v>
      </c>
      <c r="CA22">
        <v>6.5</v>
      </c>
      <c r="CB22" t="s">
        <v>26</v>
      </c>
      <c r="CL22">
        <f t="shared" si="7"/>
        <v>38</v>
      </c>
      <c r="CM22" s="18">
        <f t="shared" si="8"/>
        <v>6.1578947368421053</v>
      </c>
      <c r="CN22">
        <f t="shared" si="2"/>
        <v>1.0973263770680928</v>
      </c>
      <c r="CO22">
        <v>0</v>
      </c>
      <c r="CP22">
        <f t="shared" si="3"/>
        <v>0</v>
      </c>
      <c r="CQ22">
        <f t="shared" si="4"/>
        <v>0</v>
      </c>
      <c r="CR22">
        <f t="shared" si="5"/>
        <v>6.2692307692307692</v>
      </c>
      <c r="CS22">
        <f t="shared" si="6"/>
        <v>26</v>
      </c>
    </row>
    <row r="23" spans="1:97" x14ac:dyDescent="0.35">
      <c r="A23" t="s">
        <v>66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 t="s">
        <v>26</v>
      </c>
      <c r="J23" t="s">
        <v>26</v>
      </c>
      <c r="K23" t="s">
        <v>26</v>
      </c>
      <c r="L23" t="s">
        <v>26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 t="s">
        <v>26</v>
      </c>
      <c r="S23" t="s">
        <v>26</v>
      </c>
      <c r="T23" t="s">
        <v>26</v>
      </c>
      <c r="U23" t="s">
        <v>26</v>
      </c>
      <c r="V23">
        <v>5.5</v>
      </c>
      <c r="W23">
        <v>5.5</v>
      </c>
      <c r="X23" t="s">
        <v>26</v>
      </c>
      <c r="Y23">
        <v>5.5</v>
      </c>
      <c r="Z23" t="s">
        <v>26</v>
      </c>
      <c r="AA23" t="s">
        <v>26</v>
      </c>
      <c r="AB23">
        <v>7</v>
      </c>
      <c r="AC23">
        <v>5.5</v>
      </c>
      <c r="AD23" t="s">
        <v>26</v>
      </c>
      <c r="AE23">
        <v>7</v>
      </c>
      <c r="AF23">
        <v>5.5</v>
      </c>
      <c r="AG23" t="s">
        <v>26</v>
      </c>
      <c r="AH23" t="s">
        <v>26</v>
      </c>
      <c r="AI23" t="s">
        <v>26</v>
      </c>
      <c r="AJ23" t="s">
        <v>26</v>
      </c>
      <c r="AK23" t="s">
        <v>26</v>
      </c>
      <c r="AL23" t="s">
        <v>26</v>
      </c>
      <c r="AM23">
        <v>5</v>
      </c>
      <c r="AN23" t="s">
        <v>26</v>
      </c>
      <c r="AO23" t="s">
        <v>26</v>
      </c>
      <c r="AP23">
        <v>5.5</v>
      </c>
      <c r="AQ23">
        <v>5</v>
      </c>
      <c r="AR23">
        <v>5.5</v>
      </c>
      <c r="AS23">
        <v>5</v>
      </c>
      <c r="AT23">
        <v>5</v>
      </c>
      <c r="AU23">
        <v>4</v>
      </c>
      <c r="AV23">
        <v>5.5</v>
      </c>
      <c r="AW23">
        <v>5</v>
      </c>
      <c r="AX23">
        <v>5.5</v>
      </c>
      <c r="AY23">
        <v>5.5</v>
      </c>
      <c r="AZ23">
        <v>5.5</v>
      </c>
      <c r="BA23">
        <v>5</v>
      </c>
      <c r="BB23">
        <v>5</v>
      </c>
      <c r="BC23" t="s">
        <v>26</v>
      </c>
      <c r="BD23" t="s">
        <v>26</v>
      </c>
      <c r="BE23" t="s">
        <v>26</v>
      </c>
      <c r="BF23" t="s">
        <v>26</v>
      </c>
      <c r="BG23" t="s">
        <v>26</v>
      </c>
      <c r="BH23" t="s">
        <v>26</v>
      </c>
      <c r="BI23" t="s">
        <v>26</v>
      </c>
      <c r="BJ23" t="s">
        <v>26</v>
      </c>
      <c r="BK23" t="s">
        <v>26</v>
      </c>
      <c r="BL23" t="s">
        <v>26</v>
      </c>
      <c r="BM23" t="s">
        <v>26</v>
      </c>
      <c r="BN23" t="s">
        <v>26</v>
      </c>
      <c r="BO23" t="s">
        <v>26</v>
      </c>
      <c r="BP23" t="s">
        <v>26</v>
      </c>
      <c r="BQ23" t="s">
        <v>26</v>
      </c>
      <c r="BR23" t="s">
        <v>26</v>
      </c>
      <c r="BS23" t="s">
        <v>26</v>
      </c>
      <c r="BT23">
        <v>6.5</v>
      </c>
      <c r="BU23" t="s">
        <v>26</v>
      </c>
      <c r="BV23" t="s">
        <v>26</v>
      </c>
      <c r="BW23" t="s">
        <v>26</v>
      </c>
      <c r="BX23" t="s">
        <v>26</v>
      </c>
      <c r="BY23" t="s">
        <v>26</v>
      </c>
      <c r="BZ23">
        <v>4</v>
      </c>
      <c r="CA23" t="s">
        <v>26</v>
      </c>
      <c r="CB23" t="s">
        <v>26</v>
      </c>
      <c r="CD23">
        <v>6</v>
      </c>
      <c r="CI23">
        <v>5</v>
      </c>
      <c r="CL23">
        <f t="shared" si="7"/>
        <v>25</v>
      </c>
      <c r="CM23" s="18">
        <f t="shared" si="8"/>
        <v>5.4</v>
      </c>
      <c r="CN23">
        <f t="shared" si="2"/>
        <v>0.71728150235677346</v>
      </c>
      <c r="CO23">
        <v>0</v>
      </c>
      <c r="CP23">
        <f t="shared" si="3"/>
        <v>1</v>
      </c>
      <c r="CQ23">
        <f t="shared" si="4"/>
        <v>1</v>
      </c>
      <c r="CR23">
        <f t="shared" si="5"/>
        <v>5.2777777777777777</v>
      </c>
      <c r="CS23">
        <f t="shared" si="6"/>
        <v>18</v>
      </c>
    </row>
    <row r="24" spans="1:97" x14ac:dyDescent="0.35">
      <c r="A24" t="s">
        <v>48</v>
      </c>
      <c r="B24" t="s">
        <v>26</v>
      </c>
      <c r="C24" t="s">
        <v>26</v>
      </c>
      <c r="D24" t="s">
        <v>26</v>
      </c>
      <c r="E24" t="s">
        <v>26</v>
      </c>
      <c r="F24" t="s">
        <v>26</v>
      </c>
      <c r="G24" t="s">
        <v>26</v>
      </c>
      <c r="H24" t="s">
        <v>26</v>
      </c>
      <c r="I24">
        <v>7</v>
      </c>
      <c r="J24" t="s">
        <v>26</v>
      </c>
      <c r="K24">
        <v>7</v>
      </c>
      <c r="L24">
        <v>8</v>
      </c>
      <c r="M24" t="s">
        <v>26</v>
      </c>
      <c r="N24" t="s">
        <v>26</v>
      </c>
      <c r="O24" t="s">
        <v>26</v>
      </c>
      <c r="P24" t="s">
        <v>26</v>
      </c>
      <c r="Q24" t="s">
        <v>26</v>
      </c>
      <c r="R24">
        <v>7</v>
      </c>
      <c r="S24" t="s">
        <v>26</v>
      </c>
      <c r="T24" t="s">
        <v>26</v>
      </c>
      <c r="U24">
        <v>7</v>
      </c>
      <c r="V24" t="s">
        <v>26</v>
      </c>
      <c r="W24" t="s">
        <v>26</v>
      </c>
      <c r="X24" t="s">
        <v>26</v>
      </c>
      <c r="Y24" t="s">
        <v>26</v>
      </c>
      <c r="Z24" t="s">
        <v>26</v>
      </c>
      <c r="AA24" t="s">
        <v>26</v>
      </c>
      <c r="AB24" t="s">
        <v>26</v>
      </c>
      <c r="AC24" t="s">
        <v>26</v>
      </c>
      <c r="AD24">
        <v>5.5</v>
      </c>
      <c r="AE24" t="s">
        <v>26</v>
      </c>
      <c r="AF24" t="s">
        <v>26</v>
      </c>
      <c r="AG24" t="s">
        <v>26</v>
      </c>
      <c r="AH24" t="s">
        <v>26</v>
      </c>
      <c r="AI24" t="s">
        <v>26</v>
      </c>
      <c r="AJ24" t="s">
        <v>26</v>
      </c>
      <c r="AK24" t="s">
        <v>26</v>
      </c>
      <c r="AL24" t="s">
        <v>26</v>
      </c>
      <c r="AM24" t="s">
        <v>26</v>
      </c>
      <c r="AN24" t="s">
        <v>26</v>
      </c>
      <c r="AO24" t="s">
        <v>26</v>
      </c>
      <c r="AP24" t="s">
        <v>26</v>
      </c>
      <c r="AQ24" t="s">
        <v>26</v>
      </c>
      <c r="AR24" t="s">
        <v>26</v>
      </c>
      <c r="AS24">
        <v>5.5</v>
      </c>
      <c r="AT24">
        <v>5.5</v>
      </c>
      <c r="AU24" t="s">
        <v>26</v>
      </c>
      <c r="AV24" t="s">
        <v>26</v>
      </c>
      <c r="AW24" t="s">
        <v>26</v>
      </c>
      <c r="AX24">
        <v>7</v>
      </c>
      <c r="AY24">
        <v>5</v>
      </c>
      <c r="AZ24" t="s">
        <v>26</v>
      </c>
      <c r="BA24" t="s">
        <v>26</v>
      </c>
      <c r="BB24">
        <v>5.5</v>
      </c>
      <c r="BC24" t="s">
        <v>26</v>
      </c>
      <c r="BD24">
        <v>6.5</v>
      </c>
      <c r="BE24" t="s">
        <v>26</v>
      </c>
      <c r="BF24" t="s">
        <v>26</v>
      </c>
      <c r="BG24" t="s">
        <v>26</v>
      </c>
      <c r="BH24" t="s">
        <v>26</v>
      </c>
      <c r="BI24">
        <v>5</v>
      </c>
      <c r="BJ24">
        <v>6.5</v>
      </c>
      <c r="BK24" t="s">
        <v>26</v>
      </c>
      <c r="BL24" t="s">
        <v>26</v>
      </c>
      <c r="BM24" t="s">
        <v>26</v>
      </c>
      <c r="BN24">
        <v>5.5</v>
      </c>
      <c r="BO24" t="s">
        <v>26</v>
      </c>
      <c r="BP24" t="s">
        <v>26</v>
      </c>
      <c r="BQ24" t="s">
        <v>26</v>
      </c>
      <c r="BR24" t="s">
        <v>26</v>
      </c>
      <c r="BS24" t="s">
        <v>26</v>
      </c>
      <c r="BT24">
        <v>5.5</v>
      </c>
      <c r="BU24">
        <v>8</v>
      </c>
      <c r="BV24">
        <v>5.5</v>
      </c>
      <c r="BW24" t="s">
        <v>26</v>
      </c>
      <c r="BX24" t="s">
        <v>26</v>
      </c>
      <c r="BY24" t="s">
        <v>26</v>
      </c>
      <c r="BZ24">
        <v>5.5</v>
      </c>
      <c r="CA24" t="s">
        <v>26</v>
      </c>
      <c r="CB24">
        <v>6.5</v>
      </c>
      <c r="CE24">
        <v>6</v>
      </c>
      <c r="CF24">
        <v>7</v>
      </c>
      <c r="CG24">
        <v>7</v>
      </c>
      <c r="CH24">
        <v>6</v>
      </c>
      <c r="CI24">
        <v>7.5</v>
      </c>
      <c r="CJ24">
        <v>7</v>
      </c>
      <c r="CL24">
        <f>COUNT(B24:CJ24)</f>
        <v>26</v>
      </c>
      <c r="CM24" s="18">
        <f>AVERAGE(B24:CJ24)</f>
        <v>6.3461538461538458</v>
      </c>
      <c r="CN24">
        <f t="shared" si="2"/>
        <v>0.90960483309014595</v>
      </c>
      <c r="CO24">
        <v>1</v>
      </c>
      <c r="CP24">
        <f t="shared" si="3"/>
        <v>4</v>
      </c>
      <c r="CQ24">
        <f t="shared" si="4"/>
        <v>0</v>
      </c>
      <c r="CR24">
        <f t="shared" si="5"/>
        <v>5.9285714285714288</v>
      </c>
      <c r="CS24">
        <f t="shared" si="6"/>
        <v>14</v>
      </c>
    </row>
    <row r="25" spans="1:97" x14ac:dyDescent="0.35">
      <c r="A25" t="s">
        <v>3</v>
      </c>
      <c r="B25">
        <v>8</v>
      </c>
      <c r="C25">
        <v>5.5</v>
      </c>
      <c r="D25">
        <v>8</v>
      </c>
      <c r="E25">
        <v>3</v>
      </c>
      <c r="F25">
        <v>5.5</v>
      </c>
      <c r="G25">
        <v>5</v>
      </c>
      <c r="H25">
        <v>3.5</v>
      </c>
      <c r="I25">
        <v>5</v>
      </c>
      <c r="J25">
        <v>5</v>
      </c>
      <c r="K25" t="s">
        <v>26</v>
      </c>
      <c r="L25" t="s">
        <v>26</v>
      </c>
      <c r="M25" t="s">
        <v>26</v>
      </c>
      <c r="N25" t="s">
        <v>26</v>
      </c>
      <c r="O25">
        <v>7</v>
      </c>
      <c r="P25">
        <v>5.5</v>
      </c>
      <c r="Q25">
        <v>5.5</v>
      </c>
      <c r="R25">
        <v>7</v>
      </c>
      <c r="S25" t="s">
        <v>26</v>
      </c>
      <c r="T25" t="s">
        <v>26</v>
      </c>
      <c r="U25" t="s">
        <v>26</v>
      </c>
      <c r="V25" t="s">
        <v>26</v>
      </c>
      <c r="W25" t="s">
        <v>26</v>
      </c>
      <c r="X25" t="s">
        <v>26</v>
      </c>
      <c r="Y25">
        <v>5.5</v>
      </c>
      <c r="Z25" t="s">
        <v>26</v>
      </c>
      <c r="AA25" t="s">
        <v>26</v>
      </c>
      <c r="AB25" t="s">
        <v>26</v>
      </c>
      <c r="AC25" t="s">
        <v>26</v>
      </c>
      <c r="AD25" t="s">
        <v>26</v>
      </c>
      <c r="AE25">
        <v>8</v>
      </c>
      <c r="AF25" t="s">
        <v>26</v>
      </c>
      <c r="AG25" t="s">
        <v>26</v>
      </c>
      <c r="AH25" t="s">
        <v>26</v>
      </c>
      <c r="AI25">
        <v>5.5</v>
      </c>
      <c r="AJ25" t="s">
        <v>26</v>
      </c>
      <c r="AK25" t="s">
        <v>26</v>
      </c>
      <c r="AL25">
        <v>6.5</v>
      </c>
      <c r="AM25" t="s">
        <v>26</v>
      </c>
      <c r="AN25" t="s">
        <v>26</v>
      </c>
      <c r="AO25" t="s">
        <v>26</v>
      </c>
      <c r="AP25" t="s">
        <v>26</v>
      </c>
      <c r="AQ25" t="s">
        <v>26</v>
      </c>
      <c r="AR25" t="s">
        <v>26</v>
      </c>
      <c r="AS25" t="s">
        <v>26</v>
      </c>
      <c r="AT25" t="s">
        <v>26</v>
      </c>
      <c r="AU25">
        <v>5.5</v>
      </c>
      <c r="AV25" t="s">
        <v>26</v>
      </c>
      <c r="AW25" t="s">
        <v>26</v>
      </c>
      <c r="AX25" t="s">
        <v>26</v>
      </c>
      <c r="AY25" t="s">
        <v>26</v>
      </c>
      <c r="AZ25" t="s">
        <v>26</v>
      </c>
      <c r="BA25">
        <v>5.5</v>
      </c>
      <c r="BB25" t="s">
        <v>26</v>
      </c>
      <c r="BC25" t="s">
        <v>26</v>
      </c>
      <c r="BD25" t="s">
        <v>26</v>
      </c>
      <c r="BE25" t="s">
        <v>26</v>
      </c>
      <c r="BF25" t="s">
        <v>26</v>
      </c>
      <c r="BG25" t="s">
        <v>26</v>
      </c>
      <c r="BH25" t="s">
        <v>26</v>
      </c>
      <c r="BI25" t="s">
        <v>26</v>
      </c>
      <c r="BJ25" t="s">
        <v>26</v>
      </c>
      <c r="BK25" t="s">
        <v>26</v>
      </c>
      <c r="BL25" t="s">
        <v>26</v>
      </c>
      <c r="BM25" t="s">
        <v>26</v>
      </c>
      <c r="BN25" t="s">
        <v>26</v>
      </c>
      <c r="BO25" t="s">
        <v>26</v>
      </c>
      <c r="BP25" t="s">
        <v>26</v>
      </c>
      <c r="BQ25" t="s">
        <v>26</v>
      </c>
      <c r="BR25" t="s">
        <v>26</v>
      </c>
      <c r="BS25" t="s">
        <v>26</v>
      </c>
      <c r="BT25" t="s">
        <v>26</v>
      </c>
      <c r="BU25" t="s">
        <v>26</v>
      </c>
      <c r="BV25" t="s">
        <v>26</v>
      </c>
      <c r="BW25" t="s">
        <v>26</v>
      </c>
      <c r="BX25" t="s">
        <v>26</v>
      </c>
      <c r="BY25" t="s">
        <v>26</v>
      </c>
      <c r="BZ25" t="s">
        <v>26</v>
      </c>
      <c r="CA25" t="s">
        <v>26</v>
      </c>
      <c r="CB25" t="s">
        <v>26</v>
      </c>
      <c r="CL25">
        <f t="shared" si="7"/>
        <v>19</v>
      </c>
      <c r="CM25" s="18">
        <f t="shared" si="8"/>
        <v>5.7894736842105265</v>
      </c>
      <c r="CN25">
        <f t="shared" si="2"/>
        <v>1.3674366679797902</v>
      </c>
      <c r="CO25">
        <v>0</v>
      </c>
      <c r="CP25">
        <f t="shared" si="3"/>
        <v>0</v>
      </c>
      <c r="CQ25">
        <f t="shared" si="4"/>
        <v>0</v>
      </c>
      <c r="CR25">
        <f t="shared" si="5"/>
        <v>6.2</v>
      </c>
      <c r="CS25">
        <f t="shared" si="6"/>
        <v>5</v>
      </c>
    </row>
    <row r="26" spans="1:97" x14ac:dyDescent="0.35">
      <c r="A26" t="s">
        <v>346</v>
      </c>
      <c r="B26" t="s">
        <v>26</v>
      </c>
      <c r="C26" t="s">
        <v>26</v>
      </c>
      <c r="D26" t="s">
        <v>26</v>
      </c>
      <c r="E26" t="s">
        <v>26</v>
      </c>
      <c r="F26" t="s">
        <v>26</v>
      </c>
      <c r="G26" t="s">
        <v>26</v>
      </c>
      <c r="H26" t="s">
        <v>26</v>
      </c>
      <c r="I26" t="s">
        <v>26</v>
      </c>
      <c r="J26" t="s">
        <v>26</v>
      </c>
      <c r="K26" t="s">
        <v>26</v>
      </c>
      <c r="L26" t="s">
        <v>26</v>
      </c>
      <c r="M26" t="s">
        <v>26</v>
      </c>
      <c r="N26" t="s">
        <v>26</v>
      </c>
      <c r="O26" t="s">
        <v>26</v>
      </c>
      <c r="P26" t="s">
        <v>26</v>
      </c>
      <c r="Q26" t="s">
        <v>26</v>
      </c>
      <c r="R26" t="s">
        <v>26</v>
      </c>
      <c r="S26" t="s">
        <v>26</v>
      </c>
      <c r="T26" t="s">
        <v>26</v>
      </c>
      <c r="U26" t="s">
        <v>26</v>
      </c>
      <c r="V26" t="s">
        <v>26</v>
      </c>
      <c r="W26" t="s">
        <v>26</v>
      </c>
      <c r="X26" t="s">
        <v>26</v>
      </c>
      <c r="Y26" t="s">
        <v>26</v>
      </c>
      <c r="Z26" t="s">
        <v>26</v>
      </c>
      <c r="AA26" t="s">
        <v>26</v>
      </c>
      <c r="AB26" t="s">
        <v>26</v>
      </c>
      <c r="AC26" t="s">
        <v>26</v>
      </c>
      <c r="AD26" t="s">
        <v>26</v>
      </c>
      <c r="AE26" t="s">
        <v>26</v>
      </c>
      <c r="AF26" t="s">
        <v>26</v>
      </c>
      <c r="AG26" t="s">
        <v>26</v>
      </c>
      <c r="AH26" t="s">
        <v>26</v>
      </c>
      <c r="AI26" t="s">
        <v>26</v>
      </c>
      <c r="AJ26" t="s">
        <v>26</v>
      </c>
      <c r="AK26" t="s">
        <v>26</v>
      </c>
      <c r="AL26" t="s">
        <v>26</v>
      </c>
      <c r="AM26" t="s">
        <v>26</v>
      </c>
      <c r="AN26">
        <v>6.5</v>
      </c>
      <c r="AO26">
        <v>5.5</v>
      </c>
      <c r="AP26" t="s">
        <v>26</v>
      </c>
      <c r="AQ26">
        <v>7</v>
      </c>
      <c r="AR26" t="s">
        <v>26</v>
      </c>
      <c r="AS26">
        <v>5.5</v>
      </c>
      <c r="AT26">
        <v>5.5</v>
      </c>
      <c r="AU26">
        <v>7</v>
      </c>
      <c r="AV26" t="s">
        <v>26</v>
      </c>
      <c r="AW26">
        <v>5.5</v>
      </c>
      <c r="AX26">
        <v>5</v>
      </c>
      <c r="AY26">
        <v>7</v>
      </c>
      <c r="AZ26">
        <v>6.5</v>
      </c>
      <c r="BA26">
        <v>5.5</v>
      </c>
      <c r="BB26" t="s">
        <v>26</v>
      </c>
      <c r="BC26">
        <v>5</v>
      </c>
      <c r="BD26" t="s">
        <v>26</v>
      </c>
      <c r="BE26">
        <v>5</v>
      </c>
      <c r="BF26">
        <v>6.5</v>
      </c>
      <c r="BG26">
        <v>5.5</v>
      </c>
      <c r="BH26" t="s">
        <v>26</v>
      </c>
      <c r="BI26" t="s">
        <v>26</v>
      </c>
      <c r="BJ26" t="s">
        <v>26</v>
      </c>
      <c r="BK26" t="s">
        <v>26</v>
      </c>
      <c r="BL26" t="s">
        <v>26</v>
      </c>
      <c r="BM26" t="s">
        <v>26</v>
      </c>
      <c r="BN26" t="s">
        <v>26</v>
      </c>
      <c r="BO26" t="s">
        <v>26</v>
      </c>
      <c r="BP26" t="s">
        <v>26</v>
      </c>
      <c r="BQ26" t="s">
        <v>26</v>
      </c>
      <c r="BR26" t="s">
        <v>26</v>
      </c>
      <c r="BS26" t="s">
        <v>26</v>
      </c>
      <c r="BT26" t="s">
        <v>26</v>
      </c>
      <c r="BU26" t="s">
        <v>26</v>
      </c>
      <c r="BV26">
        <v>5.5</v>
      </c>
      <c r="BW26">
        <v>6.5</v>
      </c>
      <c r="BX26" t="s">
        <v>26</v>
      </c>
      <c r="BY26">
        <v>6.5</v>
      </c>
      <c r="BZ26" t="s">
        <v>26</v>
      </c>
      <c r="CA26" t="s">
        <v>26</v>
      </c>
      <c r="CB26" t="s">
        <v>26</v>
      </c>
      <c r="CL26">
        <f t="shared" si="7"/>
        <v>18</v>
      </c>
      <c r="CM26" s="18">
        <f t="shared" si="8"/>
        <v>5.9444444444444446</v>
      </c>
      <c r="CN26">
        <f t="shared" si="2"/>
        <v>0.72535769855270305</v>
      </c>
      <c r="CO26">
        <v>0</v>
      </c>
      <c r="CP26">
        <f t="shared" si="3"/>
        <v>0</v>
      </c>
      <c r="CQ26">
        <f t="shared" si="4"/>
        <v>0</v>
      </c>
      <c r="CR26">
        <f t="shared" si="5"/>
        <v>5.9444444444444446</v>
      </c>
      <c r="CS26">
        <f t="shared" si="6"/>
        <v>18</v>
      </c>
    </row>
    <row r="27" spans="1:97" x14ac:dyDescent="0.35">
      <c r="A27" t="s">
        <v>8</v>
      </c>
      <c r="B27">
        <v>5.5</v>
      </c>
      <c r="C27" t="s">
        <v>26</v>
      </c>
      <c r="D27">
        <v>3</v>
      </c>
      <c r="E27" t="s">
        <v>26</v>
      </c>
      <c r="F27" t="s">
        <v>26</v>
      </c>
      <c r="G27">
        <v>5</v>
      </c>
      <c r="H27">
        <v>3</v>
      </c>
      <c r="I27">
        <v>3.5</v>
      </c>
      <c r="J27">
        <v>7</v>
      </c>
      <c r="K27">
        <v>7</v>
      </c>
      <c r="L27" t="s">
        <v>26</v>
      </c>
      <c r="M27" t="s">
        <v>26</v>
      </c>
      <c r="N27" t="s">
        <v>26</v>
      </c>
      <c r="O27">
        <v>5</v>
      </c>
      <c r="P27" t="s">
        <v>26</v>
      </c>
      <c r="Q27" t="s">
        <v>26</v>
      </c>
      <c r="R27" t="s">
        <v>26</v>
      </c>
      <c r="S27" t="s">
        <v>26</v>
      </c>
      <c r="T27" t="s">
        <v>26</v>
      </c>
      <c r="U27">
        <v>5.5</v>
      </c>
      <c r="V27" t="s">
        <v>26</v>
      </c>
      <c r="W27" t="s">
        <v>26</v>
      </c>
      <c r="X27" t="s">
        <v>26</v>
      </c>
      <c r="Y27" t="s">
        <v>26</v>
      </c>
      <c r="Z27" t="s">
        <v>26</v>
      </c>
      <c r="AA27">
        <v>7</v>
      </c>
      <c r="AB27" t="s">
        <v>26</v>
      </c>
      <c r="AC27">
        <v>7</v>
      </c>
      <c r="AD27" t="s">
        <v>26</v>
      </c>
      <c r="AE27" t="s">
        <v>26</v>
      </c>
      <c r="AF27" t="s">
        <v>26</v>
      </c>
      <c r="AG27" t="s">
        <v>26</v>
      </c>
      <c r="AH27" t="s">
        <v>26</v>
      </c>
      <c r="AI27">
        <v>5.5</v>
      </c>
      <c r="AJ27">
        <v>5.5</v>
      </c>
      <c r="AK27" t="s">
        <v>26</v>
      </c>
      <c r="AL27" t="s">
        <v>26</v>
      </c>
      <c r="AM27" t="s">
        <v>26</v>
      </c>
      <c r="AN27">
        <v>5.5</v>
      </c>
      <c r="AO27" t="s">
        <v>26</v>
      </c>
      <c r="AP27">
        <v>6.5</v>
      </c>
      <c r="AQ27">
        <v>4</v>
      </c>
      <c r="AR27" t="s">
        <v>26</v>
      </c>
      <c r="AS27" t="s">
        <v>26</v>
      </c>
      <c r="AT27" t="s">
        <v>26</v>
      </c>
      <c r="AU27" t="s">
        <v>26</v>
      </c>
      <c r="AV27">
        <v>5</v>
      </c>
      <c r="AW27" t="s">
        <v>26</v>
      </c>
      <c r="AX27" t="s">
        <v>26</v>
      </c>
      <c r="AY27" t="s">
        <v>26</v>
      </c>
      <c r="AZ27" t="s">
        <v>26</v>
      </c>
      <c r="BA27" t="s">
        <v>26</v>
      </c>
      <c r="BB27" t="s">
        <v>26</v>
      </c>
      <c r="BC27" t="s">
        <v>26</v>
      </c>
      <c r="BD27" t="s">
        <v>26</v>
      </c>
      <c r="BE27" t="s">
        <v>26</v>
      </c>
      <c r="BF27" t="s">
        <v>26</v>
      </c>
      <c r="BG27" t="s">
        <v>26</v>
      </c>
      <c r="BH27" t="s">
        <v>26</v>
      </c>
      <c r="BI27" t="s">
        <v>26</v>
      </c>
      <c r="BJ27" t="s">
        <v>26</v>
      </c>
      <c r="BK27" t="s">
        <v>26</v>
      </c>
      <c r="BL27" t="s">
        <v>26</v>
      </c>
      <c r="BM27" t="s">
        <v>26</v>
      </c>
      <c r="BN27" t="s">
        <v>26</v>
      </c>
      <c r="BO27" t="s">
        <v>26</v>
      </c>
      <c r="BP27" t="s">
        <v>26</v>
      </c>
      <c r="BQ27" t="s">
        <v>26</v>
      </c>
      <c r="BR27" t="s">
        <v>26</v>
      </c>
      <c r="BS27" t="s">
        <v>26</v>
      </c>
      <c r="BT27" t="s">
        <v>26</v>
      </c>
      <c r="BU27" t="s">
        <v>26</v>
      </c>
      <c r="BV27" t="s">
        <v>26</v>
      </c>
      <c r="BW27" t="s">
        <v>26</v>
      </c>
      <c r="BX27" t="s">
        <v>26</v>
      </c>
      <c r="BY27" t="s">
        <v>26</v>
      </c>
      <c r="BZ27" t="s">
        <v>26</v>
      </c>
      <c r="CA27" t="s">
        <v>26</v>
      </c>
      <c r="CB27" t="s">
        <v>26</v>
      </c>
      <c r="CL27">
        <f t="shared" si="7"/>
        <v>17</v>
      </c>
      <c r="CM27" s="18">
        <f t="shared" si="8"/>
        <v>5.3235294117647056</v>
      </c>
      <c r="CN27">
        <f t="shared" si="2"/>
        <v>1.3456083251473603</v>
      </c>
      <c r="CO27">
        <v>0</v>
      </c>
      <c r="CP27">
        <f t="shared" si="3"/>
        <v>0</v>
      </c>
      <c r="CQ27">
        <f t="shared" si="4"/>
        <v>0</v>
      </c>
      <c r="CR27">
        <f t="shared" si="5"/>
        <v>5.333333333333333</v>
      </c>
      <c r="CS27">
        <f t="shared" si="6"/>
        <v>6</v>
      </c>
    </row>
    <row r="28" spans="1:97" x14ac:dyDescent="0.35">
      <c r="A28" t="s">
        <v>68</v>
      </c>
      <c r="B28" t="s">
        <v>26</v>
      </c>
      <c r="C28" t="s">
        <v>26</v>
      </c>
      <c r="D28" t="s">
        <v>26</v>
      </c>
      <c r="E28" t="s">
        <v>26</v>
      </c>
      <c r="F28" t="s">
        <v>26</v>
      </c>
      <c r="G28" t="s">
        <v>26</v>
      </c>
      <c r="H28" t="s">
        <v>26</v>
      </c>
      <c r="I28" t="s">
        <v>26</v>
      </c>
      <c r="J28" t="s">
        <v>26</v>
      </c>
      <c r="K28" t="s">
        <v>26</v>
      </c>
      <c r="L28" t="s">
        <v>26</v>
      </c>
      <c r="M28" t="s">
        <v>26</v>
      </c>
      <c r="N28" t="s">
        <v>26</v>
      </c>
      <c r="O28" t="s">
        <v>26</v>
      </c>
      <c r="P28" t="s">
        <v>26</v>
      </c>
      <c r="Q28" t="s">
        <v>26</v>
      </c>
      <c r="R28" t="s">
        <v>26</v>
      </c>
      <c r="S28" t="s">
        <v>26</v>
      </c>
      <c r="T28" t="s">
        <v>26</v>
      </c>
      <c r="U28" t="s">
        <v>26</v>
      </c>
      <c r="V28" t="s">
        <v>26</v>
      </c>
      <c r="W28" t="s">
        <v>26</v>
      </c>
      <c r="X28">
        <v>5.5</v>
      </c>
      <c r="Y28" t="s">
        <v>26</v>
      </c>
      <c r="Z28">
        <v>5</v>
      </c>
      <c r="AA28">
        <v>3</v>
      </c>
      <c r="AB28">
        <v>1.5</v>
      </c>
      <c r="AC28" t="s">
        <v>26</v>
      </c>
      <c r="AD28" t="s">
        <v>26</v>
      </c>
      <c r="AE28" t="s">
        <v>26</v>
      </c>
      <c r="AF28" t="s">
        <v>26</v>
      </c>
      <c r="AG28">
        <v>7</v>
      </c>
      <c r="AH28">
        <v>5.5</v>
      </c>
      <c r="AI28" t="s">
        <v>26</v>
      </c>
      <c r="AJ28">
        <v>5</v>
      </c>
      <c r="AK28">
        <v>5.5</v>
      </c>
      <c r="AL28" t="s">
        <v>26</v>
      </c>
      <c r="AM28" t="s">
        <v>26</v>
      </c>
      <c r="AN28" t="s">
        <v>26</v>
      </c>
      <c r="AO28">
        <v>4</v>
      </c>
      <c r="AP28">
        <v>6.5</v>
      </c>
      <c r="AQ28" t="s">
        <v>26</v>
      </c>
      <c r="AR28">
        <v>3.5</v>
      </c>
      <c r="AS28" t="s">
        <v>26</v>
      </c>
      <c r="AT28" t="s">
        <v>26</v>
      </c>
      <c r="AU28" t="s">
        <v>26</v>
      </c>
      <c r="AV28" t="s">
        <v>26</v>
      </c>
      <c r="AW28">
        <v>3.5</v>
      </c>
      <c r="AX28" t="s">
        <v>26</v>
      </c>
      <c r="AY28" t="s">
        <v>26</v>
      </c>
      <c r="AZ28" t="s">
        <v>26</v>
      </c>
      <c r="BA28">
        <v>2.5</v>
      </c>
      <c r="BB28" t="s">
        <v>26</v>
      </c>
      <c r="BC28" t="s">
        <v>26</v>
      </c>
      <c r="BD28" t="s">
        <v>26</v>
      </c>
      <c r="BE28" t="s">
        <v>26</v>
      </c>
      <c r="BF28" t="s">
        <v>26</v>
      </c>
      <c r="BG28" t="s">
        <v>26</v>
      </c>
      <c r="BH28" t="s">
        <v>26</v>
      </c>
      <c r="BI28" t="s">
        <v>26</v>
      </c>
      <c r="BJ28">
        <v>6.5</v>
      </c>
      <c r="BK28">
        <v>4</v>
      </c>
      <c r="BL28" t="s">
        <v>26</v>
      </c>
      <c r="BM28" t="s">
        <v>26</v>
      </c>
      <c r="BN28" t="s">
        <v>26</v>
      </c>
      <c r="BO28" t="s">
        <v>26</v>
      </c>
      <c r="BP28" t="s">
        <v>26</v>
      </c>
      <c r="BQ28" t="s">
        <v>26</v>
      </c>
      <c r="BR28" t="s">
        <v>26</v>
      </c>
      <c r="BS28" t="s">
        <v>26</v>
      </c>
      <c r="BT28">
        <v>4</v>
      </c>
      <c r="BU28" t="s">
        <v>26</v>
      </c>
      <c r="BV28" t="s">
        <v>26</v>
      </c>
      <c r="BW28" t="s">
        <v>26</v>
      </c>
      <c r="BX28" t="s">
        <v>26</v>
      </c>
      <c r="BY28" t="s">
        <v>26</v>
      </c>
      <c r="BZ28" t="s">
        <v>26</v>
      </c>
      <c r="CA28" t="s">
        <v>26</v>
      </c>
      <c r="CB28" t="s">
        <v>26</v>
      </c>
      <c r="CL28">
        <f t="shared" si="7"/>
        <v>16</v>
      </c>
      <c r="CM28" s="18">
        <f t="shared" si="8"/>
        <v>4.53125</v>
      </c>
      <c r="CN28">
        <f t="shared" si="2"/>
        <v>1.5434674167816653</v>
      </c>
      <c r="CO28">
        <v>0</v>
      </c>
      <c r="CP28">
        <f t="shared" si="3"/>
        <v>0</v>
      </c>
      <c r="CQ28">
        <f t="shared" si="4"/>
        <v>0</v>
      </c>
      <c r="CR28">
        <f t="shared" si="5"/>
        <v>4.791666666666667</v>
      </c>
      <c r="CS28">
        <f t="shared" si="6"/>
        <v>12</v>
      </c>
    </row>
    <row r="29" spans="1:97" x14ac:dyDescent="0.35">
      <c r="A29" t="s">
        <v>22</v>
      </c>
      <c r="B29" t="s">
        <v>26</v>
      </c>
      <c r="C29" t="s">
        <v>26</v>
      </c>
      <c r="D29">
        <v>7</v>
      </c>
      <c r="E29">
        <v>7</v>
      </c>
      <c r="F29">
        <v>5</v>
      </c>
      <c r="G29" t="s">
        <v>26</v>
      </c>
      <c r="H29" t="s">
        <v>26</v>
      </c>
      <c r="I29" t="s">
        <v>26</v>
      </c>
      <c r="J29" t="s">
        <v>26</v>
      </c>
      <c r="K29">
        <v>7</v>
      </c>
      <c r="L29">
        <v>7</v>
      </c>
      <c r="M29" t="s">
        <v>26</v>
      </c>
      <c r="N29">
        <v>8</v>
      </c>
      <c r="O29" t="s">
        <v>26</v>
      </c>
      <c r="P29" t="s">
        <v>26</v>
      </c>
      <c r="Q29" t="s">
        <v>26</v>
      </c>
      <c r="R29" t="s">
        <v>26</v>
      </c>
      <c r="S29">
        <v>7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E29" t="s">
        <v>26</v>
      </c>
      <c r="AF29" t="s">
        <v>26</v>
      </c>
      <c r="AG29" t="s">
        <v>26</v>
      </c>
      <c r="AH29" t="s">
        <v>26</v>
      </c>
      <c r="AI29" t="s">
        <v>26</v>
      </c>
      <c r="AJ29" t="s">
        <v>26</v>
      </c>
      <c r="AK29" t="s">
        <v>26</v>
      </c>
      <c r="AL29" t="s">
        <v>26</v>
      </c>
      <c r="AM29" t="s">
        <v>26</v>
      </c>
      <c r="AN29" t="s">
        <v>26</v>
      </c>
      <c r="AO29" t="s">
        <v>26</v>
      </c>
      <c r="AP29" t="s">
        <v>26</v>
      </c>
      <c r="AQ29" t="s">
        <v>26</v>
      </c>
      <c r="AR29">
        <v>6.5</v>
      </c>
      <c r="AS29" t="s">
        <v>26</v>
      </c>
      <c r="AT29" t="s">
        <v>26</v>
      </c>
      <c r="AU29">
        <v>6.5</v>
      </c>
      <c r="AV29" t="s">
        <v>26</v>
      </c>
      <c r="AW29">
        <v>5</v>
      </c>
      <c r="AX29" t="s">
        <v>26</v>
      </c>
      <c r="AY29" t="s">
        <v>26</v>
      </c>
      <c r="AZ29" t="s">
        <v>26</v>
      </c>
      <c r="BA29" t="s">
        <v>26</v>
      </c>
      <c r="BB29">
        <v>6.5</v>
      </c>
      <c r="BC29" t="s">
        <v>26</v>
      </c>
      <c r="BD29" t="s">
        <v>26</v>
      </c>
      <c r="BE29" t="s">
        <v>26</v>
      </c>
      <c r="BF29" t="s">
        <v>26</v>
      </c>
      <c r="BG29" t="s">
        <v>26</v>
      </c>
      <c r="BH29" t="s">
        <v>26</v>
      </c>
      <c r="BI29" t="s">
        <v>26</v>
      </c>
      <c r="BJ29" t="s">
        <v>26</v>
      </c>
      <c r="BK29">
        <v>7</v>
      </c>
      <c r="BL29" t="s">
        <v>26</v>
      </c>
      <c r="BM29" t="s">
        <v>26</v>
      </c>
      <c r="BN29" t="s">
        <v>26</v>
      </c>
      <c r="BO29">
        <v>6.5</v>
      </c>
      <c r="BP29" t="s">
        <v>26</v>
      </c>
      <c r="BQ29" t="s">
        <v>26</v>
      </c>
      <c r="BR29" t="s">
        <v>26</v>
      </c>
      <c r="BS29" t="s">
        <v>26</v>
      </c>
      <c r="BT29">
        <v>6.5</v>
      </c>
      <c r="BU29">
        <v>7</v>
      </c>
      <c r="BV29" t="s">
        <v>26</v>
      </c>
      <c r="BW29" t="s">
        <v>26</v>
      </c>
      <c r="BX29">
        <v>7</v>
      </c>
      <c r="BY29" t="s">
        <v>26</v>
      </c>
      <c r="BZ29" t="s">
        <v>26</v>
      </c>
      <c r="CA29" t="s">
        <v>26</v>
      </c>
      <c r="CB29" t="s">
        <v>26</v>
      </c>
      <c r="CL29">
        <f t="shared" si="7"/>
        <v>16</v>
      </c>
      <c r="CM29" s="18">
        <f t="shared" si="8"/>
        <v>6.65625</v>
      </c>
      <c r="CN29">
        <f t="shared" si="2"/>
        <v>0.74651970279870483</v>
      </c>
      <c r="CO29">
        <v>0</v>
      </c>
      <c r="CP29">
        <f t="shared" si="3"/>
        <v>0</v>
      </c>
      <c r="CQ29">
        <f t="shared" si="4"/>
        <v>0</v>
      </c>
      <c r="CR29">
        <f t="shared" si="5"/>
        <v>6.5</v>
      </c>
      <c r="CS29">
        <f t="shared" si="6"/>
        <v>9</v>
      </c>
    </row>
    <row r="30" spans="1:97" x14ac:dyDescent="0.35">
      <c r="A30" t="s">
        <v>7</v>
      </c>
      <c r="B30">
        <v>5.5</v>
      </c>
      <c r="C30">
        <v>0</v>
      </c>
      <c r="D30">
        <v>3.5</v>
      </c>
      <c r="E30">
        <v>3</v>
      </c>
      <c r="F30">
        <v>8</v>
      </c>
      <c r="G30">
        <v>5</v>
      </c>
      <c r="H30">
        <v>5.5</v>
      </c>
      <c r="I30">
        <v>3.5</v>
      </c>
      <c r="J30">
        <v>1.5</v>
      </c>
      <c r="K30">
        <v>5</v>
      </c>
      <c r="L30">
        <v>1</v>
      </c>
      <c r="M30">
        <v>0</v>
      </c>
      <c r="N30" t="s">
        <v>26</v>
      </c>
      <c r="O30" t="s">
        <v>26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 t="s">
        <v>26</v>
      </c>
      <c r="V30" t="s">
        <v>26</v>
      </c>
      <c r="W30" t="s">
        <v>26</v>
      </c>
      <c r="X30" t="s">
        <v>26</v>
      </c>
      <c r="Y30" t="s">
        <v>26</v>
      </c>
      <c r="Z30" t="s">
        <v>26</v>
      </c>
      <c r="AA30" t="s">
        <v>26</v>
      </c>
      <c r="AB30" t="s">
        <v>26</v>
      </c>
      <c r="AC30" t="s">
        <v>26</v>
      </c>
      <c r="AD30">
        <v>5.5</v>
      </c>
      <c r="AE30" t="s">
        <v>26</v>
      </c>
      <c r="AF30" t="s">
        <v>26</v>
      </c>
      <c r="AG30" t="s">
        <v>26</v>
      </c>
      <c r="AH30" t="s">
        <v>26</v>
      </c>
      <c r="AI30" t="s">
        <v>26</v>
      </c>
      <c r="AJ30" t="s">
        <v>26</v>
      </c>
      <c r="AK30" t="s">
        <v>26</v>
      </c>
      <c r="AL30" t="s">
        <v>26</v>
      </c>
      <c r="AM30" t="s">
        <v>26</v>
      </c>
      <c r="AN30" t="s">
        <v>26</v>
      </c>
      <c r="AO30" t="s">
        <v>26</v>
      </c>
      <c r="AP30" t="s">
        <v>26</v>
      </c>
      <c r="AQ30" t="s">
        <v>26</v>
      </c>
      <c r="AR30" t="s">
        <v>26</v>
      </c>
      <c r="AS30" t="s">
        <v>26</v>
      </c>
      <c r="AT30" t="s">
        <v>26</v>
      </c>
      <c r="AU30" t="s">
        <v>26</v>
      </c>
      <c r="AV30" t="s">
        <v>26</v>
      </c>
      <c r="AW30" t="s">
        <v>26</v>
      </c>
      <c r="AX30" t="s">
        <v>26</v>
      </c>
      <c r="AY30" t="s">
        <v>26</v>
      </c>
      <c r="AZ30" t="s">
        <v>26</v>
      </c>
      <c r="BA30" t="s">
        <v>26</v>
      </c>
      <c r="BB30" t="s">
        <v>26</v>
      </c>
      <c r="BC30" t="s">
        <v>26</v>
      </c>
      <c r="BD30" t="s">
        <v>26</v>
      </c>
      <c r="BE30" t="s">
        <v>26</v>
      </c>
      <c r="BF30" t="s">
        <v>26</v>
      </c>
      <c r="BG30" t="s">
        <v>26</v>
      </c>
      <c r="BH30" t="s">
        <v>26</v>
      </c>
      <c r="BI30" t="s">
        <v>26</v>
      </c>
      <c r="BJ30" t="s">
        <v>26</v>
      </c>
      <c r="BK30" t="s">
        <v>26</v>
      </c>
      <c r="BL30" t="s">
        <v>26</v>
      </c>
      <c r="BM30" t="s">
        <v>26</v>
      </c>
      <c r="BN30" t="s">
        <v>26</v>
      </c>
      <c r="BO30" t="s">
        <v>26</v>
      </c>
      <c r="BP30" t="s">
        <v>26</v>
      </c>
      <c r="BQ30" t="s">
        <v>26</v>
      </c>
      <c r="BR30" t="s">
        <v>26</v>
      </c>
      <c r="BS30" t="s">
        <v>26</v>
      </c>
      <c r="BT30" t="s">
        <v>26</v>
      </c>
      <c r="BU30" t="s">
        <v>26</v>
      </c>
      <c r="BV30" t="s">
        <v>26</v>
      </c>
      <c r="BW30" t="s">
        <v>26</v>
      </c>
      <c r="BX30" t="s">
        <v>26</v>
      </c>
      <c r="BY30" t="s">
        <v>26</v>
      </c>
      <c r="BZ30" t="s">
        <v>26</v>
      </c>
      <c r="CA30">
        <v>5.5</v>
      </c>
      <c r="CB30">
        <v>5.5</v>
      </c>
      <c r="CL30">
        <f t="shared" si="7"/>
        <v>15</v>
      </c>
      <c r="CM30" s="18">
        <f t="shared" si="8"/>
        <v>3.8666666666666667</v>
      </c>
      <c r="CN30">
        <f t="shared" si="2"/>
        <v>2.3563490726929555</v>
      </c>
      <c r="CO30">
        <v>0</v>
      </c>
      <c r="CP30">
        <f t="shared" si="3"/>
        <v>0</v>
      </c>
      <c r="CQ30">
        <f t="shared" si="4"/>
        <v>0</v>
      </c>
      <c r="CR30">
        <f t="shared" si="5"/>
        <v>5.5</v>
      </c>
      <c r="CS30">
        <f t="shared" si="6"/>
        <v>2</v>
      </c>
    </row>
    <row r="31" spans="1:97" x14ac:dyDescent="0.35">
      <c r="A31" t="s">
        <v>63</v>
      </c>
      <c r="B31" t="s">
        <v>26</v>
      </c>
      <c r="C31" t="s">
        <v>26</v>
      </c>
      <c r="D31" t="s">
        <v>26</v>
      </c>
      <c r="E31" t="s">
        <v>26</v>
      </c>
      <c r="F31" t="s">
        <v>26</v>
      </c>
      <c r="G31" t="s">
        <v>26</v>
      </c>
      <c r="H31" t="s">
        <v>26</v>
      </c>
      <c r="I31" t="s">
        <v>26</v>
      </c>
      <c r="J31" t="s">
        <v>26</v>
      </c>
      <c r="K31" t="s">
        <v>26</v>
      </c>
      <c r="L31" t="s">
        <v>26</v>
      </c>
      <c r="M31" t="s">
        <v>26</v>
      </c>
      <c r="N31" t="s">
        <v>26</v>
      </c>
      <c r="O31" t="s">
        <v>26</v>
      </c>
      <c r="P31" t="s">
        <v>26</v>
      </c>
      <c r="Q31" t="s">
        <v>26</v>
      </c>
      <c r="R31" t="s">
        <v>26</v>
      </c>
      <c r="S31">
        <v>3.5</v>
      </c>
      <c r="T31" t="s">
        <v>26</v>
      </c>
      <c r="U31">
        <v>3.5</v>
      </c>
      <c r="V31" t="s">
        <v>26</v>
      </c>
      <c r="W31">
        <v>5</v>
      </c>
      <c r="X31" t="s">
        <v>26</v>
      </c>
      <c r="Y31" t="s">
        <v>26</v>
      </c>
      <c r="Z31" t="s">
        <v>26</v>
      </c>
      <c r="AA31" t="s">
        <v>26</v>
      </c>
      <c r="AB31" t="s">
        <v>26</v>
      </c>
      <c r="AC31" t="s">
        <v>26</v>
      </c>
      <c r="AD31" t="s">
        <v>26</v>
      </c>
      <c r="AE31" t="s">
        <v>26</v>
      </c>
      <c r="AF31" t="s">
        <v>26</v>
      </c>
      <c r="AG31" t="s">
        <v>26</v>
      </c>
      <c r="AH31" t="s">
        <v>26</v>
      </c>
      <c r="AI31" t="s">
        <v>26</v>
      </c>
      <c r="AJ31" t="s">
        <v>26</v>
      </c>
      <c r="AK31">
        <v>3.5</v>
      </c>
      <c r="AL31" t="s">
        <v>26</v>
      </c>
      <c r="AM31" t="s">
        <v>26</v>
      </c>
      <c r="AN31" t="s">
        <v>26</v>
      </c>
      <c r="AO31" t="s">
        <v>26</v>
      </c>
      <c r="AP31" t="s">
        <v>26</v>
      </c>
      <c r="AQ31" t="s">
        <v>26</v>
      </c>
      <c r="AR31" t="s">
        <v>26</v>
      </c>
      <c r="AS31" t="s">
        <v>26</v>
      </c>
      <c r="AT31" t="s">
        <v>26</v>
      </c>
      <c r="AU31" t="s">
        <v>26</v>
      </c>
      <c r="AV31" t="s">
        <v>26</v>
      </c>
      <c r="AW31" t="s">
        <v>26</v>
      </c>
      <c r="AX31" t="s">
        <v>26</v>
      </c>
      <c r="AY31">
        <v>5</v>
      </c>
      <c r="AZ31" t="s">
        <v>26</v>
      </c>
      <c r="BA31" t="s">
        <v>26</v>
      </c>
      <c r="BB31" t="s">
        <v>26</v>
      </c>
      <c r="BC31" t="s">
        <v>26</v>
      </c>
      <c r="BD31" t="s">
        <v>26</v>
      </c>
      <c r="BE31" t="s">
        <v>26</v>
      </c>
      <c r="BF31" t="s">
        <v>26</v>
      </c>
      <c r="BG31" t="s">
        <v>26</v>
      </c>
      <c r="BH31" t="s">
        <v>26</v>
      </c>
      <c r="BI31">
        <v>5</v>
      </c>
      <c r="BJ31">
        <v>6.5</v>
      </c>
      <c r="BK31" t="s">
        <v>26</v>
      </c>
      <c r="BL31">
        <v>5</v>
      </c>
      <c r="BM31" t="s">
        <v>26</v>
      </c>
      <c r="BN31">
        <v>5</v>
      </c>
      <c r="BO31" t="s">
        <v>26</v>
      </c>
      <c r="BP31">
        <v>5</v>
      </c>
      <c r="BQ31" t="s">
        <v>26</v>
      </c>
      <c r="BR31" t="s">
        <v>26</v>
      </c>
      <c r="BS31" t="s">
        <v>26</v>
      </c>
      <c r="BT31" t="s">
        <v>26</v>
      </c>
      <c r="BU31" t="s">
        <v>26</v>
      </c>
      <c r="BV31">
        <v>5.5</v>
      </c>
      <c r="BW31" t="s">
        <v>26</v>
      </c>
      <c r="BX31" t="s">
        <v>26</v>
      </c>
      <c r="BY31">
        <v>5.5</v>
      </c>
      <c r="BZ31" t="s">
        <v>26</v>
      </c>
      <c r="CA31" t="s">
        <v>26</v>
      </c>
      <c r="CB31" t="s">
        <v>26</v>
      </c>
      <c r="CF31">
        <v>5.5</v>
      </c>
      <c r="CI31">
        <v>4</v>
      </c>
      <c r="CL31">
        <f t="shared" si="7"/>
        <v>14</v>
      </c>
      <c r="CM31" s="18">
        <f t="shared" si="8"/>
        <v>4.8214285714285712</v>
      </c>
      <c r="CN31">
        <f t="shared" si="2"/>
        <v>0.89335151148745728</v>
      </c>
      <c r="CO31">
        <v>0</v>
      </c>
      <c r="CP31">
        <f t="shared" si="3"/>
        <v>1</v>
      </c>
      <c r="CQ31">
        <f t="shared" si="4"/>
        <v>1</v>
      </c>
      <c r="CR31">
        <f t="shared" si="5"/>
        <v>5.1111111111111107</v>
      </c>
      <c r="CS31">
        <f t="shared" si="6"/>
        <v>9</v>
      </c>
    </row>
    <row r="32" spans="1:97" x14ac:dyDescent="0.35">
      <c r="A32" t="s">
        <v>12</v>
      </c>
      <c r="B32">
        <v>9.5</v>
      </c>
      <c r="C32" t="s">
        <v>26</v>
      </c>
      <c r="D32">
        <v>8</v>
      </c>
      <c r="E32">
        <v>8</v>
      </c>
      <c r="F32" t="s">
        <v>26</v>
      </c>
      <c r="G32" t="s">
        <v>26</v>
      </c>
      <c r="H32">
        <v>5.5</v>
      </c>
      <c r="I32">
        <v>8</v>
      </c>
      <c r="J32" t="s">
        <v>26</v>
      </c>
      <c r="K32">
        <v>5.5</v>
      </c>
      <c r="L32">
        <v>8</v>
      </c>
      <c r="M32">
        <v>7</v>
      </c>
      <c r="N32">
        <v>5.5</v>
      </c>
      <c r="O32" t="s">
        <v>26</v>
      </c>
      <c r="P32" t="s">
        <v>26</v>
      </c>
      <c r="Q32" t="s">
        <v>26</v>
      </c>
      <c r="R32">
        <v>10</v>
      </c>
      <c r="S32" t="s">
        <v>26</v>
      </c>
      <c r="T32" t="s">
        <v>26</v>
      </c>
      <c r="U32" t="s">
        <v>26</v>
      </c>
      <c r="V32" t="s">
        <v>26</v>
      </c>
      <c r="W32" t="s">
        <v>26</v>
      </c>
      <c r="X32" t="s">
        <v>26</v>
      </c>
      <c r="Y32" t="s">
        <v>26</v>
      </c>
      <c r="Z32" t="s">
        <v>26</v>
      </c>
      <c r="AA32" t="s">
        <v>26</v>
      </c>
      <c r="AB32" t="s">
        <v>26</v>
      </c>
      <c r="AC32" t="s">
        <v>26</v>
      </c>
      <c r="AD32" t="s">
        <v>26</v>
      </c>
      <c r="AE32" t="s">
        <v>26</v>
      </c>
      <c r="AF32" t="s">
        <v>26</v>
      </c>
      <c r="AG32">
        <v>8</v>
      </c>
      <c r="AH32" t="s">
        <v>26</v>
      </c>
      <c r="AI32" t="s">
        <v>26</v>
      </c>
      <c r="AJ32" t="s">
        <v>26</v>
      </c>
      <c r="AK32" t="s">
        <v>26</v>
      </c>
      <c r="AL32" t="s">
        <v>26</v>
      </c>
      <c r="AM32" t="s">
        <v>26</v>
      </c>
      <c r="AN32">
        <v>7</v>
      </c>
      <c r="AO32" t="s">
        <v>26</v>
      </c>
      <c r="AP32" t="s">
        <v>26</v>
      </c>
      <c r="AQ32" t="s">
        <v>26</v>
      </c>
      <c r="AR32" t="s">
        <v>26</v>
      </c>
      <c r="AS32" t="s">
        <v>26</v>
      </c>
      <c r="AT32" t="s">
        <v>26</v>
      </c>
      <c r="AU32" t="s">
        <v>26</v>
      </c>
      <c r="AV32" t="s">
        <v>26</v>
      </c>
      <c r="AW32" t="s">
        <v>26</v>
      </c>
      <c r="AX32" t="s">
        <v>26</v>
      </c>
      <c r="AY32" t="s">
        <v>26</v>
      </c>
      <c r="AZ32" t="s">
        <v>26</v>
      </c>
      <c r="BA32" t="s">
        <v>26</v>
      </c>
      <c r="BB32">
        <v>5.5</v>
      </c>
      <c r="BC32" t="s">
        <v>26</v>
      </c>
      <c r="BD32" t="s">
        <v>26</v>
      </c>
      <c r="BE32" t="s">
        <v>26</v>
      </c>
      <c r="BF32" t="s">
        <v>26</v>
      </c>
      <c r="BG32" t="s">
        <v>26</v>
      </c>
      <c r="BH32" t="s">
        <v>26</v>
      </c>
      <c r="BI32" t="s">
        <v>26</v>
      </c>
      <c r="BJ32" t="s">
        <v>26</v>
      </c>
      <c r="BK32" t="s">
        <v>26</v>
      </c>
      <c r="BL32" t="s">
        <v>26</v>
      </c>
      <c r="BM32" t="s">
        <v>26</v>
      </c>
      <c r="BN32" t="s">
        <v>26</v>
      </c>
      <c r="BO32" t="s">
        <v>26</v>
      </c>
      <c r="BP32" t="s">
        <v>26</v>
      </c>
      <c r="BQ32" t="s">
        <v>26</v>
      </c>
      <c r="BR32" t="s">
        <v>26</v>
      </c>
      <c r="BS32" t="s">
        <v>26</v>
      </c>
      <c r="BT32" t="s">
        <v>26</v>
      </c>
      <c r="BU32" t="s">
        <v>26</v>
      </c>
      <c r="BV32" t="s">
        <v>26</v>
      </c>
      <c r="BW32" t="s">
        <v>26</v>
      </c>
      <c r="BX32" t="s">
        <v>26</v>
      </c>
      <c r="BY32" t="s">
        <v>26</v>
      </c>
      <c r="BZ32" t="s">
        <v>26</v>
      </c>
      <c r="CA32" t="s">
        <v>26</v>
      </c>
      <c r="CB32" t="s">
        <v>26</v>
      </c>
      <c r="CL32">
        <f t="shared" si="7"/>
        <v>13</v>
      </c>
      <c r="CM32" s="18">
        <f t="shared" si="8"/>
        <v>7.3461538461538458</v>
      </c>
      <c r="CN32">
        <f t="shared" si="2"/>
        <v>1.5191090506255012</v>
      </c>
      <c r="CO32">
        <v>0</v>
      </c>
      <c r="CP32">
        <f t="shared" si="3"/>
        <v>0</v>
      </c>
      <c r="CQ32">
        <f t="shared" si="4"/>
        <v>0</v>
      </c>
      <c r="CR32">
        <f t="shared" si="5"/>
        <v>6.833333333333333</v>
      </c>
      <c r="CS32">
        <f t="shared" si="6"/>
        <v>3</v>
      </c>
    </row>
    <row r="33" spans="1:97" x14ac:dyDescent="0.35">
      <c r="A33" t="s">
        <v>17</v>
      </c>
      <c r="B33" t="s">
        <v>26</v>
      </c>
      <c r="C33">
        <v>5</v>
      </c>
      <c r="D33" t="s">
        <v>26</v>
      </c>
      <c r="E33" t="s">
        <v>26</v>
      </c>
      <c r="F33" t="s">
        <v>26</v>
      </c>
      <c r="G33" t="s">
        <v>26</v>
      </c>
      <c r="H33" t="s">
        <v>26</v>
      </c>
      <c r="I33" t="s">
        <v>26</v>
      </c>
      <c r="J33" t="s">
        <v>26</v>
      </c>
      <c r="K33" t="s">
        <v>26</v>
      </c>
      <c r="L33" t="s">
        <v>26</v>
      </c>
      <c r="M33" t="s">
        <v>26</v>
      </c>
      <c r="N33" t="s">
        <v>26</v>
      </c>
      <c r="O33" t="s">
        <v>26</v>
      </c>
      <c r="P33" t="s">
        <v>26</v>
      </c>
      <c r="Q33" t="s">
        <v>26</v>
      </c>
      <c r="R33">
        <v>3.5</v>
      </c>
      <c r="S33" t="s">
        <v>26</v>
      </c>
      <c r="T33" t="s">
        <v>26</v>
      </c>
      <c r="U33" t="s">
        <v>26</v>
      </c>
      <c r="V33" t="s">
        <v>26</v>
      </c>
      <c r="W33" t="s">
        <v>26</v>
      </c>
      <c r="X33" t="s">
        <v>26</v>
      </c>
      <c r="Y33">
        <v>5</v>
      </c>
      <c r="Z33">
        <v>5</v>
      </c>
      <c r="AA33" t="s">
        <v>26</v>
      </c>
      <c r="AB33">
        <v>5</v>
      </c>
      <c r="AC33">
        <v>5</v>
      </c>
      <c r="AD33">
        <v>3</v>
      </c>
      <c r="AE33" t="s">
        <v>26</v>
      </c>
      <c r="AF33" t="s">
        <v>26</v>
      </c>
      <c r="AG33" t="s">
        <v>26</v>
      </c>
      <c r="AH33">
        <v>4</v>
      </c>
      <c r="AI33" t="s">
        <v>26</v>
      </c>
      <c r="AJ33" t="s">
        <v>26</v>
      </c>
      <c r="AK33" t="s">
        <v>26</v>
      </c>
      <c r="AL33" t="s">
        <v>26</v>
      </c>
      <c r="AM33" t="s">
        <v>26</v>
      </c>
      <c r="AN33" t="s">
        <v>26</v>
      </c>
      <c r="AO33" t="s">
        <v>26</v>
      </c>
      <c r="AP33" t="s">
        <v>26</v>
      </c>
      <c r="AQ33" t="s">
        <v>26</v>
      </c>
      <c r="AR33" t="s">
        <v>26</v>
      </c>
      <c r="AS33" t="s">
        <v>26</v>
      </c>
      <c r="AT33" t="s">
        <v>26</v>
      </c>
      <c r="AU33" t="s">
        <v>26</v>
      </c>
      <c r="AV33" t="s">
        <v>26</v>
      </c>
      <c r="AW33" t="s">
        <v>26</v>
      </c>
      <c r="AX33" t="s">
        <v>26</v>
      </c>
      <c r="AY33" t="s">
        <v>26</v>
      </c>
      <c r="AZ33" t="s">
        <v>26</v>
      </c>
      <c r="BA33" t="s">
        <v>26</v>
      </c>
      <c r="BB33" t="s">
        <v>26</v>
      </c>
      <c r="BC33" t="s">
        <v>26</v>
      </c>
      <c r="BD33" t="s">
        <v>26</v>
      </c>
      <c r="BE33">
        <v>5.5</v>
      </c>
      <c r="BF33">
        <v>5</v>
      </c>
      <c r="BG33" t="s">
        <v>26</v>
      </c>
      <c r="BH33" t="s">
        <v>26</v>
      </c>
      <c r="BI33" t="s">
        <v>26</v>
      </c>
      <c r="BJ33" t="s">
        <v>26</v>
      </c>
      <c r="BK33" t="s">
        <v>26</v>
      </c>
      <c r="BL33" t="s">
        <v>26</v>
      </c>
      <c r="BM33" t="s">
        <v>26</v>
      </c>
      <c r="BN33" t="s">
        <v>26</v>
      </c>
      <c r="BO33" t="s">
        <v>26</v>
      </c>
      <c r="BP33" t="s">
        <v>26</v>
      </c>
      <c r="BQ33" t="s">
        <v>26</v>
      </c>
      <c r="BR33" t="s">
        <v>26</v>
      </c>
      <c r="BS33" t="s">
        <v>26</v>
      </c>
      <c r="BT33">
        <v>5.5</v>
      </c>
      <c r="BU33" t="s">
        <v>26</v>
      </c>
      <c r="BV33" t="s">
        <v>26</v>
      </c>
      <c r="BW33" t="s">
        <v>26</v>
      </c>
      <c r="BX33" t="s">
        <v>26</v>
      </c>
      <c r="BY33" t="s">
        <v>26</v>
      </c>
      <c r="BZ33" t="s">
        <v>26</v>
      </c>
      <c r="CA33" t="s">
        <v>26</v>
      </c>
      <c r="CB33" t="s">
        <v>26</v>
      </c>
      <c r="CL33">
        <f t="shared" si="7"/>
        <v>11</v>
      </c>
      <c r="CM33" s="18">
        <f t="shared" si="8"/>
        <v>4.6818181818181817</v>
      </c>
      <c r="CN33">
        <f t="shared" si="2"/>
        <v>0.81463879335344846</v>
      </c>
      <c r="CO33">
        <v>0</v>
      </c>
      <c r="CP33">
        <f t="shared" si="3"/>
        <v>0</v>
      </c>
      <c r="CQ33">
        <f t="shared" si="4"/>
        <v>0</v>
      </c>
      <c r="CR33">
        <f t="shared" si="5"/>
        <v>5</v>
      </c>
      <c r="CS33">
        <f t="shared" si="6"/>
        <v>4</v>
      </c>
    </row>
    <row r="34" spans="1:97" x14ac:dyDescent="0.35">
      <c r="A34" t="s">
        <v>45</v>
      </c>
      <c r="B34" t="s">
        <v>26</v>
      </c>
      <c r="C34" t="s">
        <v>26</v>
      </c>
      <c r="D34" t="s">
        <v>26</v>
      </c>
      <c r="E34" t="s">
        <v>26</v>
      </c>
      <c r="F34" t="s">
        <v>26</v>
      </c>
      <c r="G34">
        <v>8</v>
      </c>
      <c r="H34">
        <v>8</v>
      </c>
      <c r="I34" t="s">
        <v>26</v>
      </c>
      <c r="J34">
        <v>9.5</v>
      </c>
      <c r="K34">
        <v>9.5</v>
      </c>
      <c r="L34">
        <v>8</v>
      </c>
      <c r="M34">
        <v>8</v>
      </c>
      <c r="N34">
        <v>8</v>
      </c>
      <c r="O34">
        <v>10</v>
      </c>
      <c r="P34">
        <v>9.5</v>
      </c>
      <c r="Q34" t="s">
        <v>26</v>
      </c>
      <c r="R34" t="s">
        <v>26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 t="s">
        <v>26</v>
      </c>
      <c r="Z34" t="s">
        <v>26</v>
      </c>
      <c r="AA34" t="s">
        <v>26</v>
      </c>
      <c r="AB34" t="s">
        <v>26</v>
      </c>
      <c r="AC34" t="s">
        <v>26</v>
      </c>
      <c r="AD34" t="s">
        <v>26</v>
      </c>
      <c r="AE34" t="s">
        <v>26</v>
      </c>
      <c r="AF34" t="s">
        <v>26</v>
      </c>
      <c r="AG34" t="s">
        <v>26</v>
      </c>
      <c r="AH34" t="s">
        <v>26</v>
      </c>
      <c r="AI34" t="s">
        <v>26</v>
      </c>
      <c r="AJ34" t="s">
        <v>26</v>
      </c>
      <c r="AK34" t="s">
        <v>26</v>
      </c>
      <c r="AL34" t="s">
        <v>26</v>
      </c>
      <c r="AM34" t="s">
        <v>26</v>
      </c>
      <c r="AN34" t="s">
        <v>26</v>
      </c>
      <c r="AO34" t="s">
        <v>26</v>
      </c>
      <c r="AP34" t="s">
        <v>26</v>
      </c>
      <c r="AQ34" t="s">
        <v>26</v>
      </c>
      <c r="AR34" t="s">
        <v>26</v>
      </c>
      <c r="AS34" t="s">
        <v>26</v>
      </c>
      <c r="AT34" t="s">
        <v>26</v>
      </c>
      <c r="AU34" t="s">
        <v>26</v>
      </c>
      <c r="AV34" t="s">
        <v>26</v>
      </c>
      <c r="AW34" t="s">
        <v>26</v>
      </c>
      <c r="AX34" t="s">
        <v>26</v>
      </c>
      <c r="AY34" t="s">
        <v>26</v>
      </c>
      <c r="AZ34" t="s">
        <v>26</v>
      </c>
      <c r="BA34" t="s">
        <v>26</v>
      </c>
      <c r="BB34" t="s">
        <v>26</v>
      </c>
      <c r="BC34" t="s">
        <v>26</v>
      </c>
      <c r="BD34" t="s">
        <v>26</v>
      </c>
      <c r="BE34" t="s">
        <v>26</v>
      </c>
      <c r="BF34" t="s">
        <v>26</v>
      </c>
      <c r="BG34" t="s">
        <v>26</v>
      </c>
      <c r="BH34" t="s">
        <v>26</v>
      </c>
      <c r="BI34" t="s">
        <v>26</v>
      </c>
      <c r="BJ34" t="s">
        <v>26</v>
      </c>
      <c r="BK34" t="s">
        <v>26</v>
      </c>
      <c r="BL34" t="s">
        <v>26</v>
      </c>
      <c r="BM34" t="s">
        <v>26</v>
      </c>
      <c r="BN34" t="s">
        <v>26</v>
      </c>
      <c r="BO34" t="s">
        <v>26</v>
      </c>
      <c r="BP34" t="s">
        <v>26</v>
      </c>
      <c r="BQ34" t="s">
        <v>26</v>
      </c>
      <c r="BR34" t="s">
        <v>26</v>
      </c>
      <c r="BS34" t="s">
        <v>26</v>
      </c>
      <c r="BT34" t="s">
        <v>26</v>
      </c>
      <c r="BU34" t="s">
        <v>26</v>
      </c>
      <c r="BV34" t="s">
        <v>26</v>
      </c>
      <c r="BW34" t="s">
        <v>26</v>
      </c>
      <c r="BX34" t="s">
        <v>26</v>
      </c>
      <c r="BY34" t="s">
        <v>26</v>
      </c>
      <c r="BZ34" t="s">
        <v>26</v>
      </c>
      <c r="CA34" t="s">
        <v>26</v>
      </c>
      <c r="CB34" t="s">
        <v>26</v>
      </c>
      <c r="CC34">
        <v>6</v>
      </c>
      <c r="CL34">
        <f t="shared" si="7"/>
        <v>10</v>
      </c>
      <c r="CM34" s="18">
        <f t="shared" si="8"/>
        <v>8.4499999999999993</v>
      </c>
      <c r="CN34">
        <f t="shared" si="2"/>
        <v>1.1890705987824657</v>
      </c>
      <c r="CO34">
        <v>0</v>
      </c>
      <c r="CP34">
        <f t="shared" si="3"/>
        <v>0</v>
      </c>
      <c r="CQ34">
        <f t="shared" si="4"/>
        <v>0</v>
      </c>
      <c r="CR34" t="e">
        <f t="shared" si="5"/>
        <v>#DIV/0!</v>
      </c>
      <c r="CS34">
        <f t="shared" si="6"/>
        <v>0</v>
      </c>
    </row>
    <row r="35" spans="1:97" x14ac:dyDescent="0.35">
      <c r="A35" t="s">
        <v>343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 t="s">
        <v>26</v>
      </c>
      <c r="H35" t="s">
        <v>26</v>
      </c>
      <c r="I35" t="s">
        <v>26</v>
      </c>
      <c r="J35">
        <v>1</v>
      </c>
      <c r="K35" t="s">
        <v>26</v>
      </c>
      <c r="L35" t="s">
        <v>26</v>
      </c>
      <c r="M35">
        <v>3.5</v>
      </c>
      <c r="N35" t="s">
        <v>26</v>
      </c>
      <c r="O35" t="s">
        <v>26</v>
      </c>
      <c r="P35" t="s">
        <v>26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E35" t="s">
        <v>26</v>
      </c>
      <c r="AF35" t="s">
        <v>26</v>
      </c>
      <c r="AG35" t="s">
        <v>26</v>
      </c>
      <c r="AH35" t="s">
        <v>26</v>
      </c>
      <c r="AI35" t="s">
        <v>26</v>
      </c>
      <c r="AJ35" t="s">
        <v>26</v>
      </c>
      <c r="AK35" t="s">
        <v>26</v>
      </c>
      <c r="AL35" t="s">
        <v>26</v>
      </c>
      <c r="AM35" t="s">
        <v>26</v>
      </c>
      <c r="AN35">
        <v>2</v>
      </c>
      <c r="AO35" t="s">
        <v>26</v>
      </c>
      <c r="AP35" t="s">
        <v>26</v>
      </c>
      <c r="AQ35" t="s">
        <v>26</v>
      </c>
      <c r="AR35" t="s">
        <v>26</v>
      </c>
      <c r="AS35" t="s">
        <v>26</v>
      </c>
      <c r="AT35" t="s">
        <v>26</v>
      </c>
      <c r="AU35" t="s">
        <v>26</v>
      </c>
      <c r="AV35" t="s">
        <v>26</v>
      </c>
      <c r="AW35" t="s">
        <v>26</v>
      </c>
      <c r="AX35" t="s">
        <v>26</v>
      </c>
      <c r="AY35" t="s">
        <v>26</v>
      </c>
      <c r="AZ35" t="s">
        <v>26</v>
      </c>
      <c r="BA35" t="s">
        <v>26</v>
      </c>
      <c r="BB35" t="s">
        <v>26</v>
      </c>
      <c r="BC35" t="s">
        <v>26</v>
      </c>
      <c r="BD35" t="s">
        <v>26</v>
      </c>
      <c r="BE35" t="s">
        <v>26</v>
      </c>
      <c r="BF35" t="s">
        <v>26</v>
      </c>
      <c r="BG35">
        <v>5.5</v>
      </c>
      <c r="BH35">
        <v>5</v>
      </c>
      <c r="BI35">
        <v>5</v>
      </c>
      <c r="BJ35" t="s">
        <v>26</v>
      </c>
      <c r="BK35" t="s">
        <v>26</v>
      </c>
      <c r="BL35" t="s">
        <v>26</v>
      </c>
      <c r="BM35">
        <v>5.5</v>
      </c>
      <c r="BN35">
        <v>5.5</v>
      </c>
      <c r="BO35" t="s">
        <v>26</v>
      </c>
      <c r="BP35" t="s">
        <v>26</v>
      </c>
      <c r="BQ35" t="s">
        <v>26</v>
      </c>
      <c r="BR35" t="s">
        <v>26</v>
      </c>
      <c r="BS35" t="s">
        <v>26</v>
      </c>
      <c r="BT35" t="s">
        <v>26</v>
      </c>
      <c r="BU35" t="s">
        <v>26</v>
      </c>
      <c r="BV35" t="s">
        <v>26</v>
      </c>
      <c r="BW35" t="s">
        <v>26</v>
      </c>
      <c r="BX35" t="s">
        <v>26</v>
      </c>
      <c r="BY35" t="s">
        <v>26</v>
      </c>
      <c r="BZ35" t="s">
        <v>26</v>
      </c>
      <c r="CA35" t="s">
        <v>26</v>
      </c>
      <c r="CB35" t="s">
        <v>26</v>
      </c>
      <c r="CL35">
        <f t="shared" si="7"/>
        <v>8</v>
      </c>
      <c r="CM35" s="18">
        <f t="shared" si="8"/>
        <v>4.125</v>
      </c>
      <c r="CN35">
        <f t="shared" si="2"/>
        <v>1.7677669529663689</v>
      </c>
      <c r="CO35">
        <v>0</v>
      </c>
      <c r="CP35">
        <f t="shared" si="3"/>
        <v>0</v>
      </c>
      <c r="CQ35">
        <f t="shared" si="4"/>
        <v>0</v>
      </c>
      <c r="CR35">
        <f t="shared" si="5"/>
        <v>4.75</v>
      </c>
      <c r="CS35">
        <f t="shared" si="6"/>
        <v>6</v>
      </c>
    </row>
    <row r="36" spans="1:97" x14ac:dyDescent="0.35">
      <c r="A36" t="s">
        <v>340</v>
      </c>
      <c r="B36" t="s">
        <v>26</v>
      </c>
      <c r="C36" t="s">
        <v>26</v>
      </c>
      <c r="D36" t="s">
        <v>26</v>
      </c>
      <c r="E36" t="s">
        <v>26</v>
      </c>
      <c r="F36" t="s">
        <v>26</v>
      </c>
      <c r="G36" t="s">
        <v>26</v>
      </c>
      <c r="H36" t="s">
        <v>26</v>
      </c>
      <c r="I36" t="s">
        <v>26</v>
      </c>
      <c r="J36" t="s">
        <v>26</v>
      </c>
      <c r="K36" t="s">
        <v>26</v>
      </c>
      <c r="L36" t="s">
        <v>26</v>
      </c>
      <c r="M36" t="s">
        <v>26</v>
      </c>
      <c r="N36" t="s">
        <v>26</v>
      </c>
      <c r="O36" t="s">
        <v>26</v>
      </c>
      <c r="P36" t="s">
        <v>26</v>
      </c>
      <c r="Q36" t="s">
        <v>26</v>
      </c>
      <c r="R36" t="s">
        <v>26</v>
      </c>
      <c r="S36" t="s">
        <v>26</v>
      </c>
      <c r="T36" t="s">
        <v>26</v>
      </c>
      <c r="U36" t="s">
        <v>26</v>
      </c>
      <c r="V36" t="s">
        <v>26</v>
      </c>
      <c r="W36" t="s">
        <v>26</v>
      </c>
      <c r="X36" t="s">
        <v>26</v>
      </c>
      <c r="Y36" t="s">
        <v>26</v>
      </c>
      <c r="Z36" t="s">
        <v>26</v>
      </c>
      <c r="AA36" t="s">
        <v>26</v>
      </c>
      <c r="AB36" t="s">
        <v>26</v>
      </c>
      <c r="AC36" t="s">
        <v>26</v>
      </c>
      <c r="AD36" t="s">
        <v>26</v>
      </c>
      <c r="AE36" t="s">
        <v>26</v>
      </c>
      <c r="AF36" t="s">
        <v>26</v>
      </c>
      <c r="AG36" t="s">
        <v>26</v>
      </c>
      <c r="AH36" t="s">
        <v>26</v>
      </c>
      <c r="AI36" t="s">
        <v>26</v>
      </c>
      <c r="AJ36">
        <v>5.5</v>
      </c>
      <c r="AK36" t="s">
        <v>26</v>
      </c>
      <c r="AL36" t="s">
        <v>26</v>
      </c>
      <c r="AM36" t="s">
        <v>26</v>
      </c>
      <c r="AN36">
        <v>6.5</v>
      </c>
      <c r="AO36">
        <v>5</v>
      </c>
      <c r="AP36">
        <v>5.5</v>
      </c>
      <c r="AQ36">
        <v>6.5</v>
      </c>
      <c r="AR36">
        <v>5.5</v>
      </c>
      <c r="AS36">
        <v>5.5</v>
      </c>
      <c r="AT36" t="s">
        <v>26</v>
      </c>
      <c r="AU36" t="s">
        <v>26</v>
      </c>
      <c r="AV36" t="s">
        <v>26</v>
      </c>
      <c r="AW36" t="s">
        <v>26</v>
      </c>
      <c r="AX36" t="s">
        <v>26</v>
      </c>
      <c r="AY36" t="s">
        <v>26</v>
      </c>
      <c r="AZ36" t="s">
        <v>26</v>
      </c>
      <c r="BA36" t="s">
        <v>26</v>
      </c>
      <c r="BB36" t="s">
        <v>26</v>
      </c>
      <c r="BC36" t="s">
        <v>26</v>
      </c>
      <c r="BD36" t="s">
        <v>26</v>
      </c>
      <c r="BE36" t="s">
        <v>26</v>
      </c>
      <c r="BF36" t="s">
        <v>26</v>
      </c>
      <c r="BG36" t="s">
        <v>26</v>
      </c>
      <c r="BH36" t="s">
        <v>26</v>
      </c>
      <c r="BI36" t="s">
        <v>26</v>
      </c>
      <c r="BJ36" t="s">
        <v>26</v>
      </c>
      <c r="BK36" t="s">
        <v>26</v>
      </c>
      <c r="BL36" t="s">
        <v>26</v>
      </c>
      <c r="BM36" t="s">
        <v>26</v>
      </c>
      <c r="BN36" t="s">
        <v>26</v>
      </c>
      <c r="BO36" t="s">
        <v>26</v>
      </c>
      <c r="BP36" t="s">
        <v>26</v>
      </c>
      <c r="BQ36" t="s">
        <v>26</v>
      </c>
      <c r="BR36" t="s">
        <v>26</v>
      </c>
      <c r="BS36" t="s">
        <v>26</v>
      </c>
      <c r="BT36" t="s">
        <v>26</v>
      </c>
      <c r="BU36" t="s">
        <v>26</v>
      </c>
      <c r="BV36" t="s">
        <v>26</v>
      </c>
      <c r="BW36" t="s">
        <v>26</v>
      </c>
      <c r="BX36" t="s">
        <v>26</v>
      </c>
      <c r="BY36" t="s">
        <v>26</v>
      </c>
      <c r="BZ36" t="s">
        <v>26</v>
      </c>
      <c r="CA36" t="s">
        <v>26</v>
      </c>
      <c r="CB36" t="s">
        <v>26</v>
      </c>
      <c r="CL36">
        <f t="shared" si="7"/>
        <v>7</v>
      </c>
      <c r="CM36" s="18">
        <f t="shared" si="8"/>
        <v>5.7142857142857144</v>
      </c>
      <c r="CN36">
        <f t="shared" si="2"/>
        <v>0.56694670951384085</v>
      </c>
      <c r="CO36">
        <v>0</v>
      </c>
      <c r="CP36">
        <f t="shared" si="3"/>
        <v>0</v>
      </c>
      <c r="CQ36">
        <f t="shared" si="4"/>
        <v>0</v>
      </c>
      <c r="CR36">
        <f t="shared" si="5"/>
        <v>5.7142857142857144</v>
      </c>
      <c r="CS36">
        <f t="shared" si="6"/>
        <v>7</v>
      </c>
    </row>
    <row r="37" spans="1:97" x14ac:dyDescent="0.35">
      <c r="A37" t="s">
        <v>376</v>
      </c>
      <c r="B37" t="s">
        <v>26</v>
      </c>
      <c r="C37" t="s">
        <v>26</v>
      </c>
      <c r="D37" t="s">
        <v>26</v>
      </c>
      <c r="E37" t="s">
        <v>26</v>
      </c>
      <c r="F37" t="s">
        <v>26</v>
      </c>
      <c r="G37" t="s">
        <v>26</v>
      </c>
      <c r="H37" t="s">
        <v>26</v>
      </c>
      <c r="I37" t="s">
        <v>26</v>
      </c>
      <c r="J37" t="s">
        <v>26</v>
      </c>
      <c r="K37" t="s">
        <v>26</v>
      </c>
      <c r="L37" t="s">
        <v>26</v>
      </c>
      <c r="M37" t="s">
        <v>26</v>
      </c>
      <c r="N37" t="s">
        <v>26</v>
      </c>
      <c r="O37" t="s">
        <v>26</v>
      </c>
      <c r="P37" t="s">
        <v>26</v>
      </c>
      <c r="Q37" t="s">
        <v>26</v>
      </c>
      <c r="R37" t="s">
        <v>26</v>
      </c>
      <c r="S37" t="s">
        <v>26</v>
      </c>
      <c r="T37" t="s">
        <v>26</v>
      </c>
      <c r="U37" t="s">
        <v>26</v>
      </c>
      <c r="V37" t="s">
        <v>26</v>
      </c>
      <c r="W37" t="s">
        <v>26</v>
      </c>
      <c r="X37" t="s">
        <v>26</v>
      </c>
      <c r="Y37" t="s">
        <v>26</v>
      </c>
      <c r="Z37" t="s">
        <v>26</v>
      </c>
      <c r="AA37" t="s">
        <v>26</v>
      </c>
      <c r="AB37" t="s">
        <v>26</v>
      </c>
      <c r="AC37" t="s">
        <v>26</v>
      </c>
      <c r="AD37" t="s">
        <v>26</v>
      </c>
      <c r="AE37" t="s">
        <v>26</v>
      </c>
      <c r="AF37" t="s">
        <v>26</v>
      </c>
      <c r="AG37" t="s">
        <v>26</v>
      </c>
      <c r="AH37" t="s">
        <v>26</v>
      </c>
      <c r="AI37" t="s">
        <v>26</v>
      </c>
      <c r="AJ37" t="s">
        <v>26</v>
      </c>
      <c r="AK37" t="s">
        <v>26</v>
      </c>
      <c r="AL37" t="s">
        <v>26</v>
      </c>
      <c r="AM37" t="s">
        <v>26</v>
      </c>
      <c r="AN37" t="s">
        <v>26</v>
      </c>
      <c r="AO37" t="s">
        <v>26</v>
      </c>
      <c r="AP37" t="s">
        <v>26</v>
      </c>
      <c r="AQ37" t="s">
        <v>26</v>
      </c>
      <c r="AR37" t="s">
        <v>26</v>
      </c>
      <c r="AS37" t="s">
        <v>26</v>
      </c>
      <c r="AT37" t="s">
        <v>26</v>
      </c>
      <c r="AU37" t="s">
        <v>26</v>
      </c>
      <c r="AV37" t="s">
        <v>26</v>
      </c>
      <c r="AW37" t="s">
        <v>26</v>
      </c>
      <c r="AX37" t="s">
        <v>26</v>
      </c>
      <c r="AY37" t="s">
        <v>26</v>
      </c>
      <c r="AZ37" t="s">
        <v>26</v>
      </c>
      <c r="BA37" t="s">
        <v>26</v>
      </c>
      <c r="BB37" t="s">
        <v>26</v>
      </c>
      <c r="BC37" t="s">
        <v>26</v>
      </c>
      <c r="BD37" t="s">
        <v>26</v>
      </c>
      <c r="BE37" t="s">
        <v>26</v>
      </c>
      <c r="BF37" t="s">
        <v>26</v>
      </c>
      <c r="BG37" t="s">
        <v>26</v>
      </c>
      <c r="BH37" t="s">
        <v>26</v>
      </c>
      <c r="BI37" t="s">
        <v>26</v>
      </c>
      <c r="BJ37" t="s">
        <v>26</v>
      </c>
      <c r="BK37" t="s">
        <v>26</v>
      </c>
      <c r="BL37" t="s">
        <v>26</v>
      </c>
      <c r="BM37" t="s">
        <v>26</v>
      </c>
      <c r="BN37">
        <v>6.5</v>
      </c>
      <c r="BO37">
        <v>5.5</v>
      </c>
      <c r="BP37">
        <v>5.5</v>
      </c>
      <c r="BQ37">
        <v>5.5</v>
      </c>
      <c r="BR37" t="s">
        <v>26</v>
      </c>
      <c r="BS37">
        <v>5.5</v>
      </c>
      <c r="BT37" t="s">
        <v>26</v>
      </c>
      <c r="BU37" t="s">
        <v>26</v>
      </c>
      <c r="BV37">
        <v>6.5</v>
      </c>
      <c r="BW37">
        <v>5.5</v>
      </c>
      <c r="BX37" t="s">
        <v>26</v>
      </c>
      <c r="BY37" t="s">
        <v>26</v>
      </c>
      <c r="BZ37" t="s">
        <v>26</v>
      </c>
      <c r="CA37" t="s">
        <v>26</v>
      </c>
      <c r="CB37" t="s">
        <v>26</v>
      </c>
      <c r="CL37">
        <f t="shared" si="7"/>
        <v>7</v>
      </c>
      <c r="CM37" s="18">
        <f t="shared" si="8"/>
        <v>5.7857142857142856</v>
      </c>
      <c r="CN37">
        <f t="shared" si="2"/>
        <v>0.4879500364742666</v>
      </c>
      <c r="CO37">
        <v>0</v>
      </c>
      <c r="CP37">
        <f t="shared" si="3"/>
        <v>0</v>
      </c>
      <c r="CQ37">
        <f t="shared" si="4"/>
        <v>0</v>
      </c>
      <c r="CR37">
        <f t="shared" si="5"/>
        <v>5.7857142857142856</v>
      </c>
      <c r="CS37">
        <f t="shared" si="6"/>
        <v>7</v>
      </c>
    </row>
    <row r="38" spans="1:97" x14ac:dyDescent="0.35">
      <c r="A38" t="s">
        <v>81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 t="s">
        <v>26</v>
      </c>
      <c r="H38" t="s">
        <v>26</v>
      </c>
      <c r="I38" t="s">
        <v>26</v>
      </c>
      <c r="J38" t="s">
        <v>26</v>
      </c>
      <c r="K38" t="s">
        <v>26</v>
      </c>
      <c r="L38" t="s">
        <v>26</v>
      </c>
      <c r="M38" t="s">
        <v>26</v>
      </c>
      <c r="N38" t="s">
        <v>26</v>
      </c>
      <c r="O38" t="s">
        <v>26</v>
      </c>
      <c r="P38" t="s">
        <v>26</v>
      </c>
      <c r="Q38" t="s">
        <v>26</v>
      </c>
      <c r="R38" t="s">
        <v>26</v>
      </c>
      <c r="S38" t="s">
        <v>26</v>
      </c>
      <c r="T38" t="s">
        <v>26</v>
      </c>
      <c r="U38" t="s">
        <v>26</v>
      </c>
      <c r="V38" t="s">
        <v>26</v>
      </c>
      <c r="W38" t="s">
        <v>26</v>
      </c>
      <c r="X38" t="s">
        <v>26</v>
      </c>
      <c r="Y38" t="s">
        <v>26</v>
      </c>
      <c r="Z38">
        <v>7</v>
      </c>
      <c r="AA38" t="s">
        <v>26</v>
      </c>
      <c r="AB38" t="s">
        <v>26</v>
      </c>
      <c r="AC38" t="s">
        <v>26</v>
      </c>
      <c r="AD38">
        <v>8</v>
      </c>
      <c r="AE38" t="s">
        <v>26</v>
      </c>
      <c r="AF38" t="s">
        <v>26</v>
      </c>
      <c r="AG38" t="s">
        <v>26</v>
      </c>
      <c r="AH38" t="s">
        <v>26</v>
      </c>
      <c r="AI38" t="s">
        <v>26</v>
      </c>
      <c r="AJ38" t="s">
        <v>26</v>
      </c>
      <c r="AK38" t="s">
        <v>26</v>
      </c>
      <c r="AL38" t="s">
        <v>26</v>
      </c>
      <c r="AM38" t="s">
        <v>26</v>
      </c>
      <c r="AN38" t="s">
        <v>26</v>
      </c>
      <c r="AO38" t="s">
        <v>26</v>
      </c>
      <c r="AP38" t="s">
        <v>26</v>
      </c>
      <c r="AQ38" t="s">
        <v>26</v>
      </c>
      <c r="AR38" t="s">
        <v>26</v>
      </c>
      <c r="AS38">
        <v>5.5</v>
      </c>
      <c r="AT38" t="s">
        <v>26</v>
      </c>
      <c r="AU38" t="s">
        <v>26</v>
      </c>
      <c r="AV38" t="s">
        <v>26</v>
      </c>
      <c r="AW38" t="s">
        <v>26</v>
      </c>
      <c r="AX38" t="s">
        <v>26</v>
      </c>
      <c r="AY38" t="s">
        <v>26</v>
      </c>
      <c r="AZ38" t="s">
        <v>26</v>
      </c>
      <c r="BA38" t="s">
        <v>26</v>
      </c>
      <c r="BB38" t="s">
        <v>26</v>
      </c>
      <c r="BC38" t="s">
        <v>26</v>
      </c>
      <c r="BD38" t="s">
        <v>26</v>
      </c>
      <c r="BE38" t="s">
        <v>26</v>
      </c>
      <c r="BF38" t="s">
        <v>26</v>
      </c>
      <c r="BG38" t="s">
        <v>26</v>
      </c>
      <c r="BH38" t="s">
        <v>26</v>
      </c>
      <c r="BI38" t="s">
        <v>26</v>
      </c>
      <c r="BJ38" t="s">
        <v>26</v>
      </c>
      <c r="BK38" t="s">
        <v>26</v>
      </c>
      <c r="BL38" t="s">
        <v>26</v>
      </c>
      <c r="BM38" t="s">
        <v>26</v>
      </c>
      <c r="BN38" t="s">
        <v>26</v>
      </c>
      <c r="BO38" t="s">
        <v>26</v>
      </c>
      <c r="BP38" t="s">
        <v>26</v>
      </c>
      <c r="BQ38" t="s">
        <v>26</v>
      </c>
      <c r="BR38" t="s">
        <v>26</v>
      </c>
      <c r="BS38" t="s">
        <v>26</v>
      </c>
      <c r="BT38" t="s">
        <v>26</v>
      </c>
      <c r="BU38" t="s">
        <v>26</v>
      </c>
      <c r="BV38" t="s">
        <v>26</v>
      </c>
      <c r="BW38" t="s">
        <v>26</v>
      </c>
      <c r="BX38" t="s">
        <v>26</v>
      </c>
      <c r="BY38" t="s">
        <v>26</v>
      </c>
      <c r="BZ38">
        <v>6.5</v>
      </c>
      <c r="CA38" t="s">
        <v>26</v>
      </c>
      <c r="CB38" t="s">
        <v>26</v>
      </c>
      <c r="CE38">
        <v>6.5</v>
      </c>
      <c r="CG38">
        <v>6.5</v>
      </c>
      <c r="CH38">
        <v>6</v>
      </c>
      <c r="CI38">
        <v>6</v>
      </c>
      <c r="CJ38">
        <v>6</v>
      </c>
      <c r="CL38">
        <f>COUNT(B38:CJ38)</f>
        <v>9</v>
      </c>
      <c r="CM38" s="18">
        <f>AVERAGE(B38:CJ38)</f>
        <v>6.4444444444444446</v>
      </c>
      <c r="CN38">
        <f t="shared" si="2"/>
        <v>0.90829510622924903</v>
      </c>
      <c r="CO38">
        <v>1</v>
      </c>
      <c r="CP38">
        <f t="shared" si="3"/>
        <v>4</v>
      </c>
      <c r="CQ38">
        <f t="shared" si="4"/>
        <v>0</v>
      </c>
      <c r="CR38">
        <f t="shared" si="5"/>
        <v>6</v>
      </c>
      <c r="CS38">
        <f t="shared" si="6"/>
        <v>2</v>
      </c>
    </row>
    <row r="39" spans="1:97" x14ac:dyDescent="0.35">
      <c r="A39" t="s">
        <v>378</v>
      </c>
      <c r="B39" t="s">
        <v>26</v>
      </c>
      <c r="C39" t="s">
        <v>26</v>
      </c>
      <c r="D39" t="s">
        <v>26</v>
      </c>
      <c r="E39" t="s">
        <v>26</v>
      </c>
      <c r="F39" t="s">
        <v>26</v>
      </c>
      <c r="G39" t="s">
        <v>26</v>
      </c>
      <c r="H39" t="s">
        <v>26</v>
      </c>
      <c r="I39" t="s">
        <v>26</v>
      </c>
      <c r="J39" t="s">
        <v>26</v>
      </c>
      <c r="K39" t="s">
        <v>26</v>
      </c>
      <c r="L39" t="s">
        <v>26</v>
      </c>
      <c r="M39" t="s">
        <v>26</v>
      </c>
      <c r="N39" t="s">
        <v>26</v>
      </c>
      <c r="O39" t="s">
        <v>26</v>
      </c>
      <c r="P39" t="s">
        <v>26</v>
      </c>
      <c r="Q39" t="s">
        <v>26</v>
      </c>
      <c r="R39" t="s">
        <v>26</v>
      </c>
      <c r="S39" t="s">
        <v>26</v>
      </c>
      <c r="T39" t="s">
        <v>26</v>
      </c>
      <c r="U39" t="s">
        <v>26</v>
      </c>
      <c r="V39" t="s">
        <v>26</v>
      </c>
      <c r="W39" t="s">
        <v>26</v>
      </c>
      <c r="X39" t="s">
        <v>26</v>
      </c>
      <c r="Y39" t="s">
        <v>26</v>
      </c>
      <c r="Z39" t="s">
        <v>26</v>
      </c>
      <c r="AA39" t="s">
        <v>26</v>
      </c>
      <c r="AB39" t="s">
        <v>26</v>
      </c>
      <c r="AC39" t="s">
        <v>26</v>
      </c>
      <c r="AD39" t="s">
        <v>26</v>
      </c>
      <c r="AE39" t="s">
        <v>26</v>
      </c>
      <c r="AF39" t="s">
        <v>26</v>
      </c>
      <c r="AG39" t="s">
        <v>26</v>
      </c>
      <c r="AH39" t="s">
        <v>26</v>
      </c>
      <c r="AI39" t="s">
        <v>26</v>
      </c>
      <c r="AJ39" t="s">
        <v>26</v>
      </c>
      <c r="AK39" t="s">
        <v>26</v>
      </c>
      <c r="AL39" t="s">
        <v>26</v>
      </c>
      <c r="AM39" t="s">
        <v>26</v>
      </c>
      <c r="AN39" t="s">
        <v>26</v>
      </c>
      <c r="AO39" t="s">
        <v>26</v>
      </c>
      <c r="AP39" t="s">
        <v>26</v>
      </c>
      <c r="AQ39" t="s">
        <v>26</v>
      </c>
      <c r="AR39" t="s">
        <v>26</v>
      </c>
      <c r="AS39" t="s">
        <v>26</v>
      </c>
      <c r="AT39" t="s">
        <v>26</v>
      </c>
      <c r="AU39" t="s">
        <v>26</v>
      </c>
      <c r="AV39" t="s">
        <v>26</v>
      </c>
      <c r="AW39" t="s">
        <v>26</v>
      </c>
      <c r="AX39" t="s">
        <v>26</v>
      </c>
      <c r="AY39" t="s">
        <v>26</v>
      </c>
      <c r="AZ39" t="s">
        <v>26</v>
      </c>
      <c r="BA39" t="s">
        <v>26</v>
      </c>
      <c r="BB39" t="s">
        <v>26</v>
      </c>
      <c r="BC39" t="s">
        <v>26</v>
      </c>
      <c r="BD39" t="s">
        <v>26</v>
      </c>
      <c r="BE39" t="s">
        <v>26</v>
      </c>
      <c r="BF39" t="s">
        <v>26</v>
      </c>
      <c r="BG39" t="s">
        <v>26</v>
      </c>
      <c r="BH39" t="s">
        <v>26</v>
      </c>
      <c r="BI39" t="s">
        <v>26</v>
      </c>
      <c r="BJ39" t="s">
        <v>26</v>
      </c>
      <c r="BK39" t="s">
        <v>26</v>
      </c>
      <c r="BL39" t="s">
        <v>26</v>
      </c>
      <c r="BM39" t="s">
        <v>26</v>
      </c>
      <c r="BN39" t="s">
        <v>26</v>
      </c>
      <c r="BO39" t="s">
        <v>26</v>
      </c>
      <c r="BP39" t="s">
        <v>26</v>
      </c>
      <c r="BQ39" t="s">
        <v>26</v>
      </c>
      <c r="BR39" t="s">
        <v>26</v>
      </c>
      <c r="BS39" t="s">
        <v>26</v>
      </c>
      <c r="BT39" t="s">
        <v>26</v>
      </c>
      <c r="BU39" t="s">
        <v>26</v>
      </c>
      <c r="BV39" t="s">
        <v>26</v>
      </c>
      <c r="BW39">
        <v>5.5</v>
      </c>
      <c r="BX39" t="s">
        <v>26</v>
      </c>
      <c r="BY39">
        <v>5</v>
      </c>
      <c r="BZ39">
        <v>5</v>
      </c>
      <c r="CA39" t="s">
        <v>26</v>
      </c>
      <c r="CB39" t="s">
        <v>26</v>
      </c>
      <c r="CE39">
        <v>5.5</v>
      </c>
      <c r="CG39">
        <v>4.5</v>
      </c>
      <c r="CH39">
        <v>5.5</v>
      </c>
      <c r="CL39">
        <f t="shared" si="7"/>
        <v>6</v>
      </c>
      <c r="CM39" s="18">
        <f t="shared" si="8"/>
        <v>5.166666666666667</v>
      </c>
      <c r="CN39">
        <f t="shared" si="2"/>
        <v>0.28867513459481287</v>
      </c>
      <c r="CO39">
        <v>0</v>
      </c>
      <c r="CP39">
        <f t="shared" si="3"/>
        <v>2</v>
      </c>
      <c r="CQ39">
        <f t="shared" si="4"/>
        <v>2</v>
      </c>
      <c r="CR39">
        <f t="shared" si="5"/>
        <v>5.166666666666667</v>
      </c>
      <c r="CS39">
        <f t="shared" si="6"/>
        <v>3</v>
      </c>
    </row>
    <row r="40" spans="1:97" x14ac:dyDescent="0.35">
      <c r="A40" t="s">
        <v>24</v>
      </c>
      <c r="B40" t="s">
        <v>26</v>
      </c>
      <c r="C40" t="s">
        <v>26</v>
      </c>
      <c r="D40" t="s">
        <v>26</v>
      </c>
      <c r="E40">
        <v>8</v>
      </c>
      <c r="F40" t="s">
        <v>26</v>
      </c>
      <c r="G40" t="s">
        <v>26</v>
      </c>
      <c r="H40" t="s">
        <v>26</v>
      </c>
      <c r="I40" t="s">
        <v>26</v>
      </c>
      <c r="J40">
        <v>9.5</v>
      </c>
      <c r="K40" t="s">
        <v>26</v>
      </c>
      <c r="L40">
        <v>8</v>
      </c>
      <c r="M40" t="s">
        <v>26</v>
      </c>
      <c r="N40">
        <v>7</v>
      </c>
      <c r="O40" t="s">
        <v>26</v>
      </c>
      <c r="P40" t="s">
        <v>26</v>
      </c>
      <c r="Q40" t="s">
        <v>26</v>
      </c>
      <c r="R40" t="s">
        <v>26</v>
      </c>
      <c r="S40" t="s">
        <v>26</v>
      </c>
      <c r="T40" t="s">
        <v>26</v>
      </c>
      <c r="U40" t="s">
        <v>26</v>
      </c>
      <c r="V40" t="s">
        <v>26</v>
      </c>
      <c r="W40" t="s">
        <v>26</v>
      </c>
      <c r="X40" t="s">
        <v>26</v>
      </c>
      <c r="Y40" t="s">
        <v>26</v>
      </c>
      <c r="Z40" t="s">
        <v>26</v>
      </c>
      <c r="AA40" t="s">
        <v>26</v>
      </c>
      <c r="AB40" t="s">
        <v>26</v>
      </c>
      <c r="AC40" t="s">
        <v>26</v>
      </c>
      <c r="AD40" t="s">
        <v>26</v>
      </c>
      <c r="AE40" t="s">
        <v>26</v>
      </c>
      <c r="AF40" t="s">
        <v>26</v>
      </c>
      <c r="AG40" t="s">
        <v>26</v>
      </c>
      <c r="AH40" t="s">
        <v>26</v>
      </c>
      <c r="AI40" t="s">
        <v>26</v>
      </c>
      <c r="AJ40" t="s">
        <v>26</v>
      </c>
      <c r="AK40" t="s">
        <v>26</v>
      </c>
      <c r="AL40" t="s">
        <v>26</v>
      </c>
      <c r="AM40" t="s">
        <v>26</v>
      </c>
      <c r="AN40" t="s">
        <v>26</v>
      </c>
      <c r="AO40" t="s">
        <v>26</v>
      </c>
      <c r="AP40" t="s">
        <v>26</v>
      </c>
      <c r="AQ40" t="s">
        <v>26</v>
      </c>
      <c r="AR40" t="s">
        <v>26</v>
      </c>
      <c r="AS40" t="s">
        <v>26</v>
      </c>
      <c r="AT40" t="s">
        <v>26</v>
      </c>
      <c r="AU40" t="s">
        <v>26</v>
      </c>
      <c r="AV40" t="s">
        <v>26</v>
      </c>
      <c r="AW40" t="s">
        <v>26</v>
      </c>
      <c r="AX40" t="s">
        <v>26</v>
      </c>
      <c r="AY40" t="s">
        <v>26</v>
      </c>
      <c r="AZ40" t="s">
        <v>26</v>
      </c>
      <c r="BA40" t="s">
        <v>26</v>
      </c>
      <c r="BB40" t="s">
        <v>26</v>
      </c>
      <c r="BC40" t="s">
        <v>26</v>
      </c>
      <c r="BD40" t="s">
        <v>26</v>
      </c>
      <c r="BE40" t="s">
        <v>26</v>
      </c>
      <c r="BF40" t="s">
        <v>26</v>
      </c>
      <c r="BG40" t="s">
        <v>26</v>
      </c>
      <c r="BH40" t="s">
        <v>26</v>
      </c>
      <c r="BI40" t="s">
        <v>26</v>
      </c>
      <c r="BJ40" t="s">
        <v>26</v>
      </c>
      <c r="BK40" t="s">
        <v>26</v>
      </c>
      <c r="BL40" t="s">
        <v>26</v>
      </c>
      <c r="BM40" t="s">
        <v>26</v>
      </c>
      <c r="BN40" t="s">
        <v>26</v>
      </c>
      <c r="BO40" t="s">
        <v>26</v>
      </c>
      <c r="BP40" t="s">
        <v>26</v>
      </c>
      <c r="BQ40" t="s">
        <v>26</v>
      </c>
      <c r="BR40" t="s">
        <v>26</v>
      </c>
      <c r="BS40" t="s">
        <v>26</v>
      </c>
      <c r="BT40" t="s">
        <v>26</v>
      </c>
      <c r="BU40" t="s">
        <v>26</v>
      </c>
      <c r="BV40" t="s">
        <v>26</v>
      </c>
      <c r="BW40" t="s">
        <v>26</v>
      </c>
      <c r="BX40" t="s">
        <v>26</v>
      </c>
      <c r="BY40" t="s">
        <v>26</v>
      </c>
      <c r="BZ40" t="s">
        <v>26</v>
      </c>
      <c r="CA40" t="s">
        <v>26</v>
      </c>
      <c r="CB40" t="s">
        <v>26</v>
      </c>
      <c r="CH40">
        <v>6.5</v>
      </c>
      <c r="CL40">
        <f t="shared" si="7"/>
        <v>5</v>
      </c>
      <c r="CM40" s="18">
        <f t="shared" si="8"/>
        <v>7.8</v>
      </c>
      <c r="CN40">
        <f t="shared" si="2"/>
        <v>1.0307764064044151</v>
      </c>
      <c r="CO40">
        <v>0</v>
      </c>
      <c r="CP40">
        <f t="shared" si="3"/>
        <v>1</v>
      </c>
      <c r="CQ40">
        <f t="shared" si="4"/>
        <v>1</v>
      </c>
      <c r="CR40" t="e">
        <f t="shared" si="5"/>
        <v>#DIV/0!</v>
      </c>
      <c r="CS40">
        <f t="shared" si="6"/>
        <v>0</v>
      </c>
    </row>
    <row r="41" spans="1:97" x14ac:dyDescent="0.35">
      <c r="A41" t="s">
        <v>61</v>
      </c>
      <c r="B41" t="s">
        <v>26</v>
      </c>
      <c r="C41" t="s">
        <v>26</v>
      </c>
      <c r="D41" t="s">
        <v>26</v>
      </c>
      <c r="E41" t="s">
        <v>26</v>
      </c>
      <c r="F41" t="s">
        <v>26</v>
      </c>
      <c r="G41" t="s">
        <v>26</v>
      </c>
      <c r="H41" t="s">
        <v>26</v>
      </c>
      <c r="I41" t="s">
        <v>26</v>
      </c>
      <c r="J41" t="s">
        <v>26</v>
      </c>
      <c r="K41" t="s">
        <v>26</v>
      </c>
      <c r="L41" t="s">
        <v>26</v>
      </c>
      <c r="M41" t="s">
        <v>26</v>
      </c>
      <c r="N41" t="s">
        <v>26</v>
      </c>
      <c r="O41" t="s">
        <v>26</v>
      </c>
      <c r="P41" t="s">
        <v>26</v>
      </c>
      <c r="Q41" t="s">
        <v>26</v>
      </c>
      <c r="R41">
        <v>7</v>
      </c>
      <c r="S41">
        <v>5</v>
      </c>
      <c r="T41">
        <v>5</v>
      </c>
      <c r="U41" t="s">
        <v>26</v>
      </c>
      <c r="V41" t="s">
        <v>26</v>
      </c>
      <c r="W41">
        <v>5.5</v>
      </c>
      <c r="X41" t="s">
        <v>26</v>
      </c>
      <c r="Y41" t="s">
        <v>26</v>
      </c>
      <c r="Z41" t="s">
        <v>26</v>
      </c>
      <c r="AA41" t="s">
        <v>26</v>
      </c>
      <c r="AB41" t="s">
        <v>26</v>
      </c>
      <c r="AC41" t="s">
        <v>26</v>
      </c>
      <c r="AD41" t="s">
        <v>26</v>
      </c>
      <c r="AE41" t="s">
        <v>26</v>
      </c>
      <c r="AF41" t="s">
        <v>26</v>
      </c>
      <c r="AG41" t="s">
        <v>26</v>
      </c>
      <c r="AH41" t="s">
        <v>26</v>
      </c>
      <c r="AI41" t="s">
        <v>26</v>
      </c>
      <c r="AJ41" t="s">
        <v>26</v>
      </c>
      <c r="AK41" t="s">
        <v>26</v>
      </c>
      <c r="AL41" t="s">
        <v>26</v>
      </c>
      <c r="AM41" t="s">
        <v>26</v>
      </c>
      <c r="AN41" t="s">
        <v>26</v>
      </c>
      <c r="AO41" t="s">
        <v>26</v>
      </c>
      <c r="AP41" t="s">
        <v>26</v>
      </c>
      <c r="AQ41" t="s">
        <v>26</v>
      </c>
      <c r="AR41" t="s">
        <v>26</v>
      </c>
      <c r="AS41" t="s">
        <v>26</v>
      </c>
      <c r="AT41" t="s">
        <v>26</v>
      </c>
      <c r="AU41" t="s">
        <v>26</v>
      </c>
      <c r="AV41" t="s">
        <v>26</v>
      </c>
      <c r="AW41" t="s">
        <v>26</v>
      </c>
      <c r="AX41" t="s">
        <v>26</v>
      </c>
      <c r="AY41" t="s">
        <v>26</v>
      </c>
      <c r="AZ41" t="s">
        <v>26</v>
      </c>
      <c r="BA41" t="s">
        <v>26</v>
      </c>
      <c r="BB41" t="s">
        <v>26</v>
      </c>
      <c r="BC41" t="s">
        <v>26</v>
      </c>
      <c r="BD41" t="s">
        <v>26</v>
      </c>
      <c r="BE41" t="s">
        <v>26</v>
      </c>
      <c r="BF41" t="s">
        <v>26</v>
      </c>
      <c r="BG41" t="s">
        <v>26</v>
      </c>
      <c r="BH41" t="s">
        <v>26</v>
      </c>
      <c r="BI41" t="s">
        <v>26</v>
      </c>
      <c r="BJ41" t="s">
        <v>26</v>
      </c>
      <c r="BK41" t="s">
        <v>26</v>
      </c>
      <c r="BL41" t="s">
        <v>26</v>
      </c>
      <c r="BM41" t="s">
        <v>26</v>
      </c>
      <c r="BN41" t="s">
        <v>26</v>
      </c>
      <c r="BO41" t="s">
        <v>26</v>
      </c>
      <c r="BP41" t="s">
        <v>26</v>
      </c>
      <c r="BQ41" t="s">
        <v>26</v>
      </c>
      <c r="BR41" t="s">
        <v>26</v>
      </c>
      <c r="BS41" t="s">
        <v>26</v>
      </c>
      <c r="BT41" t="s">
        <v>26</v>
      </c>
      <c r="BU41" t="s">
        <v>26</v>
      </c>
      <c r="BV41" t="s">
        <v>26</v>
      </c>
      <c r="BW41" t="s">
        <v>26</v>
      </c>
      <c r="BX41" t="s">
        <v>26</v>
      </c>
      <c r="BY41" t="s">
        <v>26</v>
      </c>
      <c r="BZ41" t="s">
        <v>26</v>
      </c>
      <c r="CA41" t="s">
        <v>26</v>
      </c>
      <c r="CB41" t="s">
        <v>26</v>
      </c>
      <c r="CL41">
        <f t="shared" si="7"/>
        <v>4</v>
      </c>
      <c r="CM41" s="18">
        <f t="shared" si="8"/>
        <v>5.625</v>
      </c>
      <c r="CN41">
        <f t="shared" si="2"/>
        <v>0.9464847243000456</v>
      </c>
      <c r="CO41">
        <v>0</v>
      </c>
      <c r="CP41">
        <f t="shared" si="3"/>
        <v>0</v>
      </c>
      <c r="CQ41">
        <f t="shared" si="4"/>
        <v>0</v>
      </c>
      <c r="CR41" t="e">
        <f t="shared" si="5"/>
        <v>#DIV/0!</v>
      </c>
      <c r="CS41">
        <f t="shared" si="6"/>
        <v>0</v>
      </c>
    </row>
    <row r="42" spans="1:97" x14ac:dyDescent="0.35">
      <c r="A42" t="s">
        <v>54</v>
      </c>
      <c r="B42" t="s">
        <v>26</v>
      </c>
      <c r="C42" t="s">
        <v>26</v>
      </c>
      <c r="D42" t="s">
        <v>26</v>
      </c>
      <c r="E42" t="s">
        <v>26</v>
      </c>
      <c r="F42" t="s">
        <v>26</v>
      </c>
      <c r="G42" t="s">
        <v>26</v>
      </c>
      <c r="H42" t="s">
        <v>26</v>
      </c>
      <c r="I42" t="s">
        <v>26</v>
      </c>
      <c r="J42" t="s">
        <v>26</v>
      </c>
      <c r="K42" t="s">
        <v>26</v>
      </c>
      <c r="L42" t="s">
        <v>26</v>
      </c>
      <c r="M42">
        <v>5.5</v>
      </c>
      <c r="N42" t="s">
        <v>26</v>
      </c>
      <c r="O42" t="s">
        <v>26</v>
      </c>
      <c r="P42" t="s">
        <v>26</v>
      </c>
      <c r="Q42" t="s">
        <v>26</v>
      </c>
      <c r="R42" t="s">
        <v>26</v>
      </c>
      <c r="S42" t="s">
        <v>26</v>
      </c>
      <c r="T42" t="s">
        <v>26</v>
      </c>
      <c r="U42" t="s">
        <v>26</v>
      </c>
      <c r="V42">
        <v>7</v>
      </c>
      <c r="W42">
        <v>8</v>
      </c>
      <c r="X42" t="s">
        <v>26</v>
      </c>
      <c r="Y42" t="s">
        <v>26</v>
      </c>
      <c r="Z42" t="s">
        <v>26</v>
      </c>
      <c r="AA42" t="s">
        <v>26</v>
      </c>
      <c r="AB42" t="s">
        <v>26</v>
      </c>
      <c r="AC42" t="s">
        <v>26</v>
      </c>
      <c r="AD42" t="s">
        <v>26</v>
      </c>
      <c r="AE42" t="s">
        <v>26</v>
      </c>
      <c r="AF42" t="s">
        <v>26</v>
      </c>
      <c r="AG42" t="s">
        <v>26</v>
      </c>
      <c r="AH42" t="s">
        <v>26</v>
      </c>
      <c r="AI42" t="s">
        <v>26</v>
      </c>
      <c r="AJ42" t="s">
        <v>26</v>
      </c>
      <c r="AK42" t="s">
        <v>26</v>
      </c>
      <c r="AL42" t="s">
        <v>26</v>
      </c>
      <c r="AM42" t="s">
        <v>26</v>
      </c>
      <c r="AN42" t="s">
        <v>26</v>
      </c>
      <c r="AO42">
        <v>6.5</v>
      </c>
      <c r="AP42" t="s">
        <v>26</v>
      </c>
      <c r="AQ42" t="s">
        <v>26</v>
      </c>
      <c r="AR42" t="s">
        <v>26</v>
      </c>
      <c r="AS42" t="s">
        <v>26</v>
      </c>
      <c r="AT42" t="s">
        <v>26</v>
      </c>
      <c r="AU42" t="s">
        <v>26</v>
      </c>
      <c r="AV42" t="s">
        <v>26</v>
      </c>
      <c r="AW42" t="s">
        <v>26</v>
      </c>
      <c r="AX42" t="s">
        <v>26</v>
      </c>
      <c r="AY42" t="s">
        <v>26</v>
      </c>
      <c r="AZ42" t="s">
        <v>26</v>
      </c>
      <c r="BA42" t="s">
        <v>26</v>
      </c>
      <c r="BB42" t="s">
        <v>26</v>
      </c>
      <c r="BC42" t="s">
        <v>26</v>
      </c>
      <c r="BD42" t="s">
        <v>26</v>
      </c>
      <c r="BE42" t="s">
        <v>26</v>
      </c>
      <c r="BF42" t="s">
        <v>26</v>
      </c>
      <c r="BG42" t="s">
        <v>26</v>
      </c>
      <c r="BH42" t="s">
        <v>26</v>
      </c>
      <c r="BI42" t="s">
        <v>26</v>
      </c>
      <c r="BJ42" t="s">
        <v>26</v>
      </c>
      <c r="BK42" t="s">
        <v>26</v>
      </c>
      <c r="BL42" t="s">
        <v>26</v>
      </c>
      <c r="BM42" t="s">
        <v>26</v>
      </c>
      <c r="BN42" t="s">
        <v>26</v>
      </c>
      <c r="BO42" t="s">
        <v>26</v>
      </c>
      <c r="BP42" t="s">
        <v>26</v>
      </c>
      <c r="BQ42" t="s">
        <v>26</v>
      </c>
      <c r="BR42" t="s">
        <v>26</v>
      </c>
      <c r="BS42" t="s">
        <v>26</v>
      </c>
      <c r="BT42" t="s">
        <v>26</v>
      </c>
      <c r="BU42" t="s">
        <v>26</v>
      </c>
      <c r="BV42" t="s">
        <v>26</v>
      </c>
      <c r="BW42" t="s">
        <v>26</v>
      </c>
      <c r="BX42" t="s">
        <v>26</v>
      </c>
      <c r="BY42" t="s">
        <v>26</v>
      </c>
      <c r="BZ42" t="s">
        <v>26</v>
      </c>
      <c r="CA42" t="s">
        <v>26</v>
      </c>
      <c r="CB42" t="s">
        <v>26</v>
      </c>
      <c r="CL42">
        <f t="shared" si="7"/>
        <v>4</v>
      </c>
      <c r="CM42" s="18">
        <f t="shared" si="8"/>
        <v>6.75</v>
      </c>
      <c r="CN42">
        <f t="shared" si="2"/>
        <v>1.0408329997330663</v>
      </c>
      <c r="CO42">
        <v>0</v>
      </c>
      <c r="CP42">
        <f t="shared" si="3"/>
        <v>0</v>
      </c>
      <c r="CQ42">
        <f t="shared" si="4"/>
        <v>0</v>
      </c>
      <c r="CR42">
        <f t="shared" si="5"/>
        <v>6.5</v>
      </c>
      <c r="CS42">
        <f t="shared" si="6"/>
        <v>1</v>
      </c>
    </row>
    <row r="43" spans="1:97" x14ac:dyDescent="0.35">
      <c r="A43" t="s">
        <v>21</v>
      </c>
      <c r="B43" t="s">
        <v>26</v>
      </c>
      <c r="C43" t="s">
        <v>26</v>
      </c>
      <c r="D43">
        <v>1.5</v>
      </c>
      <c r="E43" t="s">
        <v>26</v>
      </c>
      <c r="F43" t="s">
        <v>26</v>
      </c>
      <c r="G43">
        <v>0</v>
      </c>
      <c r="H43" t="s">
        <v>26</v>
      </c>
      <c r="I43" t="s">
        <v>26</v>
      </c>
      <c r="J43" t="s">
        <v>26</v>
      </c>
      <c r="K43" t="s">
        <v>26</v>
      </c>
      <c r="L43" t="s">
        <v>26</v>
      </c>
      <c r="M43" t="s">
        <v>26</v>
      </c>
      <c r="N43" t="s">
        <v>26</v>
      </c>
      <c r="O43" t="s">
        <v>26</v>
      </c>
      <c r="P43" t="s">
        <v>26</v>
      </c>
      <c r="Q43" t="s">
        <v>26</v>
      </c>
      <c r="R43" t="s">
        <v>26</v>
      </c>
      <c r="S43" t="s">
        <v>26</v>
      </c>
      <c r="T43" t="s">
        <v>26</v>
      </c>
      <c r="U43" t="s">
        <v>26</v>
      </c>
      <c r="V43" t="s">
        <v>26</v>
      </c>
      <c r="W43" t="s">
        <v>26</v>
      </c>
      <c r="X43" t="s">
        <v>26</v>
      </c>
      <c r="Y43" t="s">
        <v>26</v>
      </c>
      <c r="Z43" t="s">
        <v>26</v>
      </c>
      <c r="AA43" t="s">
        <v>26</v>
      </c>
      <c r="AB43" t="s">
        <v>26</v>
      </c>
      <c r="AC43" t="s">
        <v>26</v>
      </c>
      <c r="AD43" t="s">
        <v>26</v>
      </c>
      <c r="AE43">
        <v>0</v>
      </c>
      <c r="AF43" t="s">
        <v>26</v>
      </c>
      <c r="AG43" t="s">
        <v>26</v>
      </c>
      <c r="AH43" t="s">
        <v>26</v>
      </c>
      <c r="AI43" t="s">
        <v>26</v>
      </c>
      <c r="AJ43" t="s">
        <v>26</v>
      </c>
      <c r="AK43" t="s">
        <v>26</v>
      </c>
      <c r="AL43" t="s">
        <v>26</v>
      </c>
      <c r="AM43" t="s">
        <v>26</v>
      </c>
      <c r="AN43" t="s">
        <v>26</v>
      </c>
      <c r="AO43" t="s">
        <v>26</v>
      </c>
      <c r="AP43" t="s">
        <v>26</v>
      </c>
      <c r="AQ43" t="s">
        <v>26</v>
      </c>
      <c r="AR43" t="s">
        <v>26</v>
      </c>
      <c r="AS43" t="s">
        <v>26</v>
      </c>
      <c r="AT43" t="s">
        <v>26</v>
      </c>
      <c r="AU43">
        <v>4</v>
      </c>
      <c r="AV43" t="s">
        <v>26</v>
      </c>
      <c r="AW43" t="s">
        <v>26</v>
      </c>
      <c r="AX43" t="s">
        <v>26</v>
      </c>
      <c r="AY43" t="s">
        <v>26</v>
      </c>
      <c r="AZ43" t="s">
        <v>26</v>
      </c>
      <c r="BA43" t="s">
        <v>26</v>
      </c>
      <c r="BB43" t="s">
        <v>26</v>
      </c>
      <c r="BC43" t="s">
        <v>26</v>
      </c>
      <c r="BD43" t="s">
        <v>26</v>
      </c>
      <c r="BE43" t="s">
        <v>26</v>
      </c>
      <c r="BF43" t="s">
        <v>26</v>
      </c>
      <c r="BG43" t="s">
        <v>26</v>
      </c>
      <c r="BH43" t="s">
        <v>26</v>
      </c>
      <c r="BI43" t="s">
        <v>26</v>
      </c>
      <c r="BJ43" t="s">
        <v>26</v>
      </c>
      <c r="BK43" t="s">
        <v>26</v>
      </c>
      <c r="BL43" t="s">
        <v>26</v>
      </c>
      <c r="BM43" t="s">
        <v>26</v>
      </c>
      <c r="BN43" t="s">
        <v>26</v>
      </c>
      <c r="BO43" t="s">
        <v>26</v>
      </c>
      <c r="BP43" t="s">
        <v>26</v>
      </c>
      <c r="BQ43" t="s">
        <v>26</v>
      </c>
      <c r="BR43" t="s">
        <v>26</v>
      </c>
      <c r="BS43" t="s">
        <v>26</v>
      </c>
      <c r="BT43" t="s">
        <v>26</v>
      </c>
      <c r="BU43" t="s">
        <v>26</v>
      </c>
      <c r="BV43" t="s">
        <v>26</v>
      </c>
      <c r="BW43" t="s">
        <v>26</v>
      </c>
      <c r="BX43" t="s">
        <v>26</v>
      </c>
      <c r="BY43" t="s">
        <v>26</v>
      </c>
      <c r="BZ43" t="s">
        <v>26</v>
      </c>
      <c r="CA43" t="s">
        <v>26</v>
      </c>
      <c r="CB43" t="s">
        <v>26</v>
      </c>
      <c r="CL43">
        <f t="shared" si="7"/>
        <v>4</v>
      </c>
      <c r="CM43" s="18">
        <f t="shared" si="8"/>
        <v>1.375</v>
      </c>
      <c r="CN43">
        <f t="shared" si="2"/>
        <v>1.8874586088176875</v>
      </c>
      <c r="CO43">
        <v>0</v>
      </c>
      <c r="CP43">
        <f t="shared" si="3"/>
        <v>0</v>
      </c>
      <c r="CQ43">
        <f t="shared" si="4"/>
        <v>0</v>
      </c>
      <c r="CR43">
        <f t="shared" si="5"/>
        <v>2</v>
      </c>
      <c r="CS43">
        <f t="shared" si="6"/>
        <v>2</v>
      </c>
    </row>
    <row r="44" spans="1:97" x14ac:dyDescent="0.35">
      <c r="A44" t="s">
        <v>344</v>
      </c>
      <c r="B44" t="s">
        <v>26</v>
      </c>
      <c r="C44" t="s">
        <v>26</v>
      </c>
      <c r="D44" t="s">
        <v>26</v>
      </c>
      <c r="E44" t="s">
        <v>26</v>
      </c>
      <c r="F44" t="s">
        <v>26</v>
      </c>
      <c r="G44" t="s">
        <v>26</v>
      </c>
      <c r="H44" t="s">
        <v>26</v>
      </c>
      <c r="I44" t="s">
        <v>26</v>
      </c>
      <c r="J44" t="s">
        <v>26</v>
      </c>
      <c r="K44" t="s">
        <v>26</v>
      </c>
      <c r="L44" t="s">
        <v>26</v>
      </c>
      <c r="M44" t="s">
        <v>26</v>
      </c>
      <c r="N44" t="s">
        <v>26</v>
      </c>
      <c r="O44" t="s">
        <v>26</v>
      </c>
      <c r="P44" t="s">
        <v>26</v>
      </c>
      <c r="Q44" t="s">
        <v>26</v>
      </c>
      <c r="R44" t="s">
        <v>26</v>
      </c>
      <c r="S44" t="s">
        <v>26</v>
      </c>
      <c r="T44" t="s">
        <v>26</v>
      </c>
      <c r="U44" t="s">
        <v>26</v>
      </c>
      <c r="V44" t="s">
        <v>26</v>
      </c>
      <c r="W44" t="s">
        <v>26</v>
      </c>
      <c r="X44" t="s">
        <v>26</v>
      </c>
      <c r="Y44" t="s">
        <v>26</v>
      </c>
      <c r="Z44" t="s">
        <v>26</v>
      </c>
      <c r="AA44" t="s">
        <v>26</v>
      </c>
      <c r="AB44" t="s">
        <v>26</v>
      </c>
      <c r="AC44" t="s">
        <v>26</v>
      </c>
      <c r="AD44" t="s">
        <v>26</v>
      </c>
      <c r="AE44" t="s">
        <v>26</v>
      </c>
      <c r="AF44" t="s">
        <v>26</v>
      </c>
      <c r="AG44" t="s">
        <v>26</v>
      </c>
      <c r="AH44" t="s">
        <v>26</v>
      </c>
      <c r="AI44" t="s">
        <v>26</v>
      </c>
      <c r="AJ44">
        <v>5</v>
      </c>
      <c r="AK44" t="s">
        <v>26</v>
      </c>
      <c r="AL44" t="s">
        <v>26</v>
      </c>
      <c r="AM44" t="s">
        <v>26</v>
      </c>
      <c r="AN44" t="s">
        <v>26</v>
      </c>
      <c r="AO44" t="s">
        <v>26</v>
      </c>
      <c r="AP44" t="s">
        <v>26</v>
      </c>
      <c r="AQ44">
        <v>3.5</v>
      </c>
      <c r="AR44">
        <v>3.5</v>
      </c>
      <c r="AS44" t="s">
        <v>26</v>
      </c>
      <c r="AT44" t="s">
        <v>26</v>
      </c>
      <c r="AU44" t="s">
        <v>26</v>
      </c>
      <c r="AV44" t="s">
        <v>26</v>
      </c>
      <c r="AW44" t="s">
        <v>26</v>
      </c>
      <c r="AX44" t="s">
        <v>26</v>
      </c>
      <c r="AY44">
        <v>6.5</v>
      </c>
      <c r="AZ44" t="s">
        <v>26</v>
      </c>
      <c r="BA44" t="s">
        <v>26</v>
      </c>
      <c r="BB44" t="s">
        <v>26</v>
      </c>
      <c r="BC44" t="s">
        <v>26</v>
      </c>
      <c r="BD44" t="s">
        <v>26</v>
      </c>
      <c r="BE44" t="s">
        <v>26</v>
      </c>
      <c r="BF44" t="s">
        <v>26</v>
      </c>
      <c r="BG44" t="s">
        <v>26</v>
      </c>
      <c r="BH44" t="s">
        <v>26</v>
      </c>
      <c r="BI44" t="s">
        <v>26</v>
      </c>
      <c r="BJ44" t="s">
        <v>26</v>
      </c>
      <c r="BK44" t="s">
        <v>26</v>
      </c>
      <c r="BL44" t="s">
        <v>26</v>
      </c>
      <c r="BM44" t="s">
        <v>26</v>
      </c>
      <c r="BN44" t="s">
        <v>26</v>
      </c>
      <c r="BO44" t="s">
        <v>26</v>
      </c>
      <c r="BP44" t="s">
        <v>26</v>
      </c>
      <c r="BQ44" t="s">
        <v>26</v>
      </c>
      <c r="BR44" t="s">
        <v>26</v>
      </c>
      <c r="BS44" t="s">
        <v>26</v>
      </c>
      <c r="BT44" t="s">
        <v>26</v>
      </c>
      <c r="BU44" t="s">
        <v>26</v>
      </c>
      <c r="BV44" t="s">
        <v>26</v>
      </c>
      <c r="BW44" t="s">
        <v>26</v>
      </c>
      <c r="BX44" t="s">
        <v>26</v>
      </c>
      <c r="BY44" t="s">
        <v>26</v>
      </c>
      <c r="BZ44" t="s">
        <v>26</v>
      </c>
      <c r="CA44" t="s">
        <v>26</v>
      </c>
      <c r="CB44" t="s">
        <v>26</v>
      </c>
      <c r="CL44">
        <f t="shared" si="7"/>
        <v>4</v>
      </c>
      <c r="CM44" s="18">
        <f t="shared" si="8"/>
        <v>4.625</v>
      </c>
      <c r="CN44">
        <f t="shared" si="2"/>
        <v>1.4361406616345072</v>
      </c>
      <c r="CO44">
        <v>0</v>
      </c>
      <c r="CP44">
        <f t="shared" si="3"/>
        <v>0</v>
      </c>
      <c r="CQ44">
        <f t="shared" si="4"/>
        <v>0</v>
      </c>
      <c r="CR44">
        <f t="shared" si="5"/>
        <v>4.625</v>
      </c>
      <c r="CS44">
        <f t="shared" si="6"/>
        <v>4</v>
      </c>
    </row>
    <row r="45" spans="1:97" x14ac:dyDescent="0.35">
      <c r="A45" t="s">
        <v>361</v>
      </c>
      <c r="B45" t="s">
        <v>26</v>
      </c>
      <c r="C45" t="s">
        <v>26</v>
      </c>
      <c r="D45" t="s">
        <v>26</v>
      </c>
      <c r="E45" t="s">
        <v>26</v>
      </c>
      <c r="F45" t="s">
        <v>26</v>
      </c>
      <c r="G45" t="s">
        <v>26</v>
      </c>
      <c r="H45" t="s">
        <v>26</v>
      </c>
      <c r="I45" t="s">
        <v>26</v>
      </c>
      <c r="J45" t="s">
        <v>26</v>
      </c>
      <c r="K45" t="s">
        <v>26</v>
      </c>
      <c r="L45" t="s">
        <v>26</v>
      </c>
      <c r="M45" t="s">
        <v>26</v>
      </c>
      <c r="N45" t="s">
        <v>26</v>
      </c>
      <c r="O45" t="s">
        <v>26</v>
      </c>
      <c r="P45" t="s">
        <v>26</v>
      </c>
      <c r="Q45" t="s">
        <v>26</v>
      </c>
      <c r="R45" t="s">
        <v>26</v>
      </c>
      <c r="S45" t="s">
        <v>26</v>
      </c>
      <c r="T45" t="s">
        <v>26</v>
      </c>
      <c r="U45" t="s">
        <v>26</v>
      </c>
      <c r="V45" t="s">
        <v>26</v>
      </c>
      <c r="W45" t="s">
        <v>26</v>
      </c>
      <c r="X45" t="s">
        <v>26</v>
      </c>
      <c r="Y45" t="s">
        <v>26</v>
      </c>
      <c r="Z45" t="s">
        <v>26</v>
      </c>
      <c r="AA45" t="s">
        <v>26</v>
      </c>
      <c r="AB45" t="s">
        <v>26</v>
      </c>
      <c r="AC45" t="s">
        <v>26</v>
      </c>
      <c r="AD45" t="s">
        <v>26</v>
      </c>
      <c r="AE45" t="s">
        <v>26</v>
      </c>
      <c r="AF45" t="s">
        <v>26</v>
      </c>
      <c r="AG45" t="s">
        <v>26</v>
      </c>
      <c r="AH45" t="s">
        <v>26</v>
      </c>
      <c r="AI45" t="s">
        <v>26</v>
      </c>
      <c r="AJ45" t="s">
        <v>26</v>
      </c>
      <c r="AK45" t="s">
        <v>26</v>
      </c>
      <c r="AL45" t="s">
        <v>26</v>
      </c>
      <c r="AM45" t="s">
        <v>26</v>
      </c>
      <c r="AN45" t="s">
        <v>26</v>
      </c>
      <c r="AO45" t="s">
        <v>26</v>
      </c>
      <c r="AP45" t="s">
        <v>26</v>
      </c>
      <c r="AQ45" t="s">
        <v>26</v>
      </c>
      <c r="AR45" t="s">
        <v>26</v>
      </c>
      <c r="AS45" t="s">
        <v>26</v>
      </c>
      <c r="AT45" t="s">
        <v>26</v>
      </c>
      <c r="AU45" t="s">
        <v>26</v>
      </c>
      <c r="AV45" t="s">
        <v>26</v>
      </c>
      <c r="AW45">
        <v>5.5</v>
      </c>
      <c r="AX45" t="s">
        <v>26</v>
      </c>
      <c r="AY45" t="s">
        <v>26</v>
      </c>
      <c r="AZ45" t="s">
        <v>26</v>
      </c>
      <c r="BA45" t="s">
        <v>26</v>
      </c>
      <c r="BB45" t="s">
        <v>26</v>
      </c>
      <c r="BC45" t="s">
        <v>26</v>
      </c>
      <c r="BD45" t="s">
        <v>26</v>
      </c>
      <c r="BE45" t="s">
        <v>26</v>
      </c>
      <c r="BF45">
        <v>5.5</v>
      </c>
      <c r="BG45" t="s">
        <v>26</v>
      </c>
      <c r="BH45" t="s">
        <v>26</v>
      </c>
      <c r="BI45" t="s">
        <v>26</v>
      </c>
      <c r="BJ45" t="s">
        <v>26</v>
      </c>
      <c r="BK45" t="s">
        <v>26</v>
      </c>
      <c r="BL45" t="s">
        <v>26</v>
      </c>
      <c r="BM45" t="s">
        <v>26</v>
      </c>
      <c r="BN45">
        <v>7</v>
      </c>
      <c r="BO45" t="s">
        <v>26</v>
      </c>
      <c r="BP45" t="s">
        <v>26</v>
      </c>
      <c r="BQ45" t="s">
        <v>26</v>
      </c>
      <c r="BR45" t="s">
        <v>26</v>
      </c>
      <c r="BS45" t="s">
        <v>26</v>
      </c>
      <c r="BT45" t="s">
        <v>26</v>
      </c>
      <c r="BU45" t="s">
        <v>26</v>
      </c>
      <c r="BV45" t="s">
        <v>26</v>
      </c>
      <c r="BW45" t="s">
        <v>26</v>
      </c>
      <c r="BX45" t="s">
        <v>26</v>
      </c>
      <c r="BY45">
        <v>7</v>
      </c>
      <c r="BZ45" t="s">
        <v>26</v>
      </c>
      <c r="CA45" t="s">
        <v>26</v>
      </c>
      <c r="CB45" t="s">
        <v>26</v>
      </c>
      <c r="CL45">
        <f t="shared" si="7"/>
        <v>4</v>
      </c>
      <c r="CM45" s="18">
        <f t="shared" si="8"/>
        <v>6.25</v>
      </c>
      <c r="CN45">
        <f t="shared" si="2"/>
        <v>0.8660254037844386</v>
      </c>
      <c r="CO45">
        <v>0</v>
      </c>
      <c r="CP45">
        <f t="shared" si="3"/>
        <v>0</v>
      </c>
      <c r="CQ45">
        <f t="shared" si="4"/>
        <v>0</v>
      </c>
      <c r="CR45">
        <f t="shared" si="5"/>
        <v>6.25</v>
      </c>
      <c r="CS45">
        <f t="shared" si="6"/>
        <v>4</v>
      </c>
    </row>
    <row r="46" spans="1:97" x14ac:dyDescent="0.35">
      <c r="A46" t="s">
        <v>43</v>
      </c>
      <c r="B46" t="s">
        <v>26</v>
      </c>
      <c r="C46">
        <v>0</v>
      </c>
      <c r="D46" t="s">
        <v>26</v>
      </c>
      <c r="E46" t="s">
        <v>26</v>
      </c>
      <c r="F46" t="s">
        <v>26</v>
      </c>
      <c r="G46" t="s">
        <v>26</v>
      </c>
      <c r="H46" t="s">
        <v>26</v>
      </c>
      <c r="I46" t="s">
        <v>26</v>
      </c>
      <c r="J46" t="s">
        <v>26</v>
      </c>
      <c r="K46" t="s">
        <v>26</v>
      </c>
      <c r="L46" t="s">
        <v>26</v>
      </c>
      <c r="M46" t="s">
        <v>26</v>
      </c>
      <c r="N46" t="s">
        <v>26</v>
      </c>
      <c r="O46" t="s">
        <v>26</v>
      </c>
      <c r="P46" t="s">
        <v>26</v>
      </c>
      <c r="Q46" t="s">
        <v>26</v>
      </c>
      <c r="R46">
        <v>1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 t="s">
        <v>26</v>
      </c>
      <c r="AE46" t="s">
        <v>26</v>
      </c>
      <c r="AF46" t="s">
        <v>26</v>
      </c>
      <c r="AG46" t="s">
        <v>26</v>
      </c>
      <c r="AH46" t="s">
        <v>26</v>
      </c>
      <c r="AI46" t="s">
        <v>26</v>
      </c>
      <c r="AJ46" t="s">
        <v>26</v>
      </c>
      <c r="AK46" t="s">
        <v>26</v>
      </c>
      <c r="AL46" t="s">
        <v>26</v>
      </c>
      <c r="AM46" t="s">
        <v>26</v>
      </c>
      <c r="AN46" t="s">
        <v>26</v>
      </c>
      <c r="AO46" t="s">
        <v>26</v>
      </c>
      <c r="AP46" t="s">
        <v>26</v>
      </c>
      <c r="AQ46" t="s">
        <v>26</v>
      </c>
      <c r="AR46" t="s">
        <v>26</v>
      </c>
      <c r="AS46" t="s">
        <v>26</v>
      </c>
      <c r="AT46" t="s">
        <v>26</v>
      </c>
      <c r="AU46" t="s">
        <v>26</v>
      </c>
      <c r="AV46" t="s">
        <v>26</v>
      </c>
      <c r="AW46" t="s">
        <v>26</v>
      </c>
      <c r="AX46" t="s">
        <v>26</v>
      </c>
      <c r="AY46" t="s">
        <v>26</v>
      </c>
      <c r="AZ46" t="s">
        <v>26</v>
      </c>
      <c r="BA46" t="s">
        <v>26</v>
      </c>
      <c r="BB46" t="s">
        <v>26</v>
      </c>
      <c r="BC46" t="s">
        <v>26</v>
      </c>
      <c r="BD46" t="s">
        <v>26</v>
      </c>
      <c r="BE46" t="s">
        <v>26</v>
      </c>
      <c r="BF46" t="s">
        <v>26</v>
      </c>
      <c r="BG46" t="s">
        <v>26</v>
      </c>
      <c r="BH46" t="s">
        <v>26</v>
      </c>
      <c r="BI46" t="s">
        <v>26</v>
      </c>
      <c r="BJ46">
        <v>5.5</v>
      </c>
      <c r="BK46" t="s">
        <v>26</v>
      </c>
      <c r="BL46" t="s">
        <v>26</v>
      </c>
      <c r="BM46" t="s">
        <v>26</v>
      </c>
      <c r="BN46" t="s">
        <v>26</v>
      </c>
      <c r="BO46" t="s">
        <v>26</v>
      </c>
      <c r="BP46" t="s">
        <v>26</v>
      </c>
      <c r="BQ46" t="s">
        <v>26</v>
      </c>
      <c r="BR46" t="s">
        <v>26</v>
      </c>
      <c r="BS46" t="s">
        <v>26</v>
      </c>
      <c r="BT46">
        <v>5</v>
      </c>
      <c r="BU46" t="s">
        <v>26</v>
      </c>
      <c r="BV46" t="s">
        <v>26</v>
      </c>
      <c r="BW46" t="s">
        <v>26</v>
      </c>
      <c r="BX46" t="s">
        <v>26</v>
      </c>
      <c r="BY46" t="s">
        <v>26</v>
      </c>
      <c r="BZ46" t="s">
        <v>26</v>
      </c>
      <c r="CA46" t="s">
        <v>26</v>
      </c>
      <c r="CB46" t="s">
        <v>26</v>
      </c>
      <c r="CL46">
        <f t="shared" si="7"/>
        <v>4</v>
      </c>
      <c r="CM46" s="18">
        <f t="shared" si="8"/>
        <v>2.875</v>
      </c>
      <c r="CN46">
        <f t="shared" si="2"/>
        <v>2.7801378862687129</v>
      </c>
      <c r="CO46">
        <v>0</v>
      </c>
      <c r="CP46">
        <f t="shared" si="3"/>
        <v>0</v>
      </c>
      <c r="CQ46">
        <f t="shared" si="4"/>
        <v>0</v>
      </c>
      <c r="CR46">
        <f t="shared" si="5"/>
        <v>5.25</v>
      </c>
      <c r="CS46">
        <f t="shared" si="6"/>
        <v>2</v>
      </c>
    </row>
    <row r="47" spans="1:97" x14ac:dyDescent="0.35">
      <c r="A47" t="s">
        <v>60</v>
      </c>
      <c r="B47" t="s">
        <v>26</v>
      </c>
      <c r="C47" t="s">
        <v>26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 t="s">
        <v>26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>
        <v>3.5</v>
      </c>
      <c r="S47" t="s">
        <v>26</v>
      </c>
      <c r="T47">
        <v>3</v>
      </c>
      <c r="U47">
        <v>3</v>
      </c>
      <c r="V47" t="s">
        <v>26</v>
      </c>
      <c r="W47" t="s">
        <v>26</v>
      </c>
      <c r="X47" t="s">
        <v>26</v>
      </c>
      <c r="Y47" t="s">
        <v>26</v>
      </c>
      <c r="Z47" t="s">
        <v>26</v>
      </c>
      <c r="AA47" t="s">
        <v>26</v>
      </c>
      <c r="AB47" t="s">
        <v>26</v>
      </c>
      <c r="AC47" t="s">
        <v>26</v>
      </c>
      <c r="AD47" t="s">
        <v>26</v>
      </c>
      <c r="AE47" t="s">
        <v>26</v>
      </c>
      <c r="AF47" t="s">
        <v>26</v>
      </c>
      <c r="AG47" t="s">
        <v>26</v>
      </c>
      <c r="AH47" t="s">
        <v>26</v>
      </c>
      <c r="AI47" t="s">
        <v>26</v>
      </c>
      <c r="AJ47" t="s">
        <v>26</v>
      </c>
      <c r="AK47" t="s">
        <v>26</v>
      </c>
      <c r="AL47" t="s">
        <v>26</v>
      </c>
      <c r="AM47" t="s">
        <v>26</v>
      </c>
      <c r="AN47" t="s">
        <v>26</v>
      </c>
      <c r="AO47" t="s">
        <v>26</v>
      </c>
      <c r="AP47" t="s">
        <v>26</v>
      </c>
      <c r="AQ47" t="s">
        <v>26</v>
      </c>
      <c r="AR47" t="s">
        <v>26</v>
      </c>
      <c r="AS47" t="s">
        <v>26</v>
      </c>
      <c r="AT47" t="s">
        <v>26</v>
      </c>
      <c r="AU47" t="s">
        <v>26</v>
      </c>
      <c r="AV47" t="s">
        <v>26</v>
      </c>
      <c r="AW47" t="s">
        <v>26</v>
      </c>
      <c r="AX47" t="s">
        <v>26</v>
      </c>
      <c r="AY47" t="s">
        <v>26</v>
      </c>
      <c r="AZ47" t="s">
        <v>26</v>
      </c>
      <c r="BA47" t="s">
        <v>26</v>
      </c>
      <c r="BB47" t="s">
        <v>26</v>
      </c>
      <c r="BC47" t="s">
        <v>26</v>
      </c>
      <c r="BD47" t="s">
        <v>26</v>
      </c>
      <c r="BE47" t="s">
        <v>26</v>
      </c>
      <c r="BF47" t="s">
        <v>26</v>
      </c>
      <c r="BG47" t="s">
        <v>26</v>
      </c>
      <c r="BH47" t="s">
        <v>26</v>
      </c>
      <c r="BI47" t="s">
        <v>26</v>
      </c>
      <c r="BJ47" t="s">
        <v>26</v>
      </c>
      <c r="BK47" t="s">
        <v>26</v>
      </c>
      <c r="BL47" t="s">
        <v>26</v>
      </c>
      <c r="BM47" t="s">
        <v>26</v>
      </c>
      <c r="BN47" t="s">
        <v>26</v>
      </c>
      <c r="BO47" t="s">
        <v>26</v>
      </c>
      <c r="BP47" t="s">
        <v>26</v>
      </c>
      <c r="BQ47" t="s">
        <v>26</v>
      </c>
      <c r="BR47" t="s">
        <v>26</v>
      </c>
      <c r="BS47" t="s">
        <v>26</v>
      </c>
      <c r="BT47" t="s">
        <v>26</v>
      </c>
      <c r="BU47" t="s">
        <v>26</v>
      </c>
      <c r="BV47" t="s">
        <v>26</v>
      </c>
      <c r="BW47" t="s">
        <v>26</v>
      </c>
      <c r="BX47" t="s">
        <v>26</v>
      </c>
      <c r="BY47">
        <v>4</v>
      </c>
      <c r="BZ47" t="s">
        <v>26</v>
      </c>
      <c r="CA47" t="s">
        <v>26</v>
      </c>
      <c r="CB47" t="s">
        <v>26</v>
      </c>
      <c r="CL47">
        <f t="shared" si="7"/>
        <v>4</v>
      </c>
      <c r="CM47" s="18">
        <f t="shared" si="8"/>
        <v>3.375</v>
      </c>
      <c r="CN47">
        <f t="shared" si="2"/>
        <v>0.47871355387816905</v>
      </c>
      <c r="CO47">
        <v>0</v>
      </c>
      <c r="CP47">
        <f t="shared" si="3"/>
        <v>0</v>
      </c>
      <c r="CQ47">
        <f t="shared" si="4"/>
        <v>0</v>
      </c>
      <c r="CR47">
        <f t="shared" si="5"/>
        <v>4</v>
      </c>
      <c r="CS47">
        <f t="shared" si="6"/>
        <v>1</v>
      </c>
    </row>
    <row r="48" spans="1:97" x14ac:dyDescent="0.35">
      <c r="A48" t="s">
        <v>18</v>
      </c>
      <c r="B48" t="s">
        <v>26</v>
      </c>
      <c r="C48">
        <v>3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>
        <v>5.5</v>
      </c>
      <c r="R48">
        <v>5.5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 t="s">
        <v>26</v>
      </c>
      <c r="AA48" t="s">
        <v>26</v>
      </c>
      <c r="AB48" t="s">
        <v>26</v>
      </c>
      <c r="AC48" t="s">
        <v>26</v>
      </c>
      <c r="AD48" t="s">
        <v>26</v>
      </c>
      <c r="AE48" t="s">
        <v>26</v>
      </c>
      <c r="AF48" t="s">
        <v>26</v>
      </c>
      <c r="AG48" t="s">
        <v>26</v>
      </c>
      <c r="AH48" t="s">
        <v>26</v>
      </c>
      <c r="AI48" t="s">
        <v>26</v>
      </c>
      <c r="AJ48" t="s">
        <v>26</v>
      </c>
      <c r="AK48" t="s">
        <v>26</v>
      </c>
      <c r="AL48" t="s">
        <v>26</v>
      </c>
      <c r="AM48" t="s">
        <v>26</v>
      </c>
      <c r="AN48" t="s">
        <v>26</v>
      </c>
      <c r="AO48" t="s">
        <v>26</v>
      </c>
      <c r="AP48" t="s">
        <v>26</v>
      </c>
      <c r="AQ48" t="s">
        <v>26</v>
      </c>
      <c r="AR48" t="s">
        <v>26</v>
      </c>
      <c r="AS48" t="s">
        <v>26</v>
      </c>
      <c r="AT48" t="s">
        <v>26</v>
      </c>
      <c r="AU48" t="s">
        <v>26</v>
      </c>
      <c r="AV48" t="s">
        <v>26</v>
      </c>
      <c r="AW48" t="s">
        <v>26</v>
      </c>
      <c r="AX48" t="s">
        <v>26</v>
      </c>
      <c r="AY48" t="s">
        <v>26</v>
      </c>
      <c r="AZ48" t="s">
        <v>26</v>
      </c>
      <c r="BA48" t="s">
        <v>26</v>
      </c>
      <c r="BB48" t="s">
        <v>26</v>
      </c>
      <c r="BC48" t="s">
        <v>26</v>
      </c>
      <c r="BD48" t="s">
        <v>26</v>
      </c>
      <c r="BE48" t="s">
        <v>26</v>
      </c>
      <c r="BF48" t="s">
        <v>26</v>
      </c>
      <c r="BG48" t="s">
        <v>26</v>
      </c>
      <c r="BH48" t="s">
        <v>26</v>
      </c>
      <c r="BI48" t="s">
        <v>26</v>
      </c>
      <c r="BJ48" t="s">
        <v>26</v>
      </c>
      <c r="BK48" t="s">
        <v>26</v>
      </c>
      <c r="BL48" t="s">
        <v>26</v>
      </c>
      <c r="BM48" t="s">
        <v>26</v>
      </c>
      <c r="BN48" t="s">
        <v>26</v>
      </c>
      <c r="BO48" t="s">
        <v>26</v>
      </c>
      <c r="BP48" t="s">
        <v>26</v>
      </c>
      <c r="BQ48" t="s">
        <v>26</v>
      </c>
      <c r="BR48" t="s">
        <v>26</v>
      </c>
      <c r="BS48" t="s">
        <v>26</v>
      </c>
      <c r="BT48" t="s">
        <v>26</v>
      </c>
      <c r="BU48" t="s">
        <v>26</v>
      </c>
      <c r="BV48" t="s">
        <v>26</v>
      </c>
      <c r="BW48" t="s">
        <v>26</v>
      </c>
      <c r="BX48" t="s">
        <v>26</v>
      </c>
      <c r="BY48" t="s">
        <v>26</v>
      </c>
      <c r="BZ48" t="s">
        <v>26</v>
      </c>
      <c r="CA48" t="s">
        <v>26</v>
      </c>
      <c r="CB48" t="s">
        <v>26</v>
      </c>
      <c r="CL48">
        <f t="shared" si="7"/>
        <v>3</v>
      </c>
      <c r="CM48" s="18">
        <f t="shared" si="8"/>
        <v>4.666666666666667</v>
      </c>
      <c r="CN48">
        <f t="shared" si="2"/>
        <v>1.4433756729740652</v>
      </c>
      <c r="CO48">
        <v>0</v>
      </c>
      <c r="CP48">
        <f t="shared" si="3"/>
        <v>0</v>
      </c>
      <c r="CQ48">
        <f t="shared" si="4"/>
        <v>0</v>
      </c>
      <c r="CR48" t="e">
        <f t="shared" si="5"/>
        <v>#DIV/0!</v>
      </c>
      <c r="CS48">
        <f t="shared" si="6"/>
        <v>0</v>
      </c>
    </row>
    <row r="49" spans="1:97" x14ac:dyDescent="0.35">
      <c r="A49" t="s">
        <v>85</v>
      </c>
      <c r="B49" t="s">
        <v>26</v>
      </c>
      <c r="C49" t="s">
        <v>26</v>
      </c>
      <c r="D49" t="s">
        <v>26</v>
      </c>
      <c r="E49" t="s">
        <v>26</v>
      </c>
      <c r="F49" t="s">
        <v>26</v>
      </c>
      <c r="G49" t="s">
        <v>26</v>
      </c>
      <c r="H49" t="s">
        <v>26</v>
      </c>
      <c r="I49" t="s">
        <v>26</v>
      </c>
      <c r="J49" t="s">
        <v>26</v>
      </c>
      <c r="K49" t="s">
        <v>26</v>
      </c>
      <c r="L49" t="s">
        <v>26</v>
      </c>
      <c r="M49" t="s">
        <v>26</v>
      </c>
      <c r="N49" t="s">
        <v>26</v>
      </c>
      <c r="O49" t="s">
        <v>26</v>
      </c>
      <c r="P49" t="s">
        <v>26</v>
      </c>
      <c r="Q49" t="s">
        <v>26</v>
      </c>
      <c r="R49" t="s">
        <v>26</v>
      </c>
      <c r="S49" t="s">
        <v>26</v>
      </c>
      <c r="T49" t="s">
        <v>26</v>
      </c>
      <c r="U49" t="s">
        <v>26</v>
      </c>
      <c r="V49" t="s">
        <v>26</v>
      </c>
      <c r="W49" t="s">
        <v>26</v>
      </c>
      <c r="X49" t="s">
        <v>26</v>
      </c>
      <c r="Y49" t="s">
        <v>26</v>
      </c>
      <c r="Z49" t="s">
        <v>26</v>
      </c>
      <c r="AA49" t="s">
        <v>26</v>
      </c>
      <c r="AB49" t="s">
        <v>26</v>
      </c>
      <c r="AC49" t="s">
        <v>26</v>
      </c>
      <c r="AD49">
        <v>7</v>
      </c>
      <c r="AE49">
        <v>8.5</v>
      </c>
      <c r="AF49">
        <v>10</v>
      </c>
      <c r="AG49" t="s">
        <v>26</v>
      </c>
      <c r="AH49" t="s">
        <v>26</v>
      </c>
      <c r="AI49" t="s">
        <v>26</v>
      </c>
      <c r="AJ49" t="s">
        <v>26</v>
      </c>
      <c r="AK49" t="s">
        <v>26</v>
      </c>
      <c r="AL49" t="s">
        <v>26</v>
      </c>
      <c r="AM49" t="s">
        <v>26</v>
      </c>
      <c r="AN49" t="s">
        <v>26</v>
      </c>
      <c r="AO49" t="s">
        <v>26</v>
      </c>
      <c r="AP49" t="s">
        <v>26</v>
      </c>
      <c r="AQ49" t="s">
        <v>26</v>
      </c>
      <c r="AR49" t="s">
        <v>26</v>
      </c>
      <c r="AS49" t="s">
        <v>26</v>
      </c>
      <c r="AT49" t="s">
        <v>26</v>
      </c>
      <c r="AU49" t="s">
        <v>26</v>
      </c>
      <c r="AV49" t="s">
        <v>26</v>
      </c>
      <c r="AW49" t="s">
        <v>26</v>
      </c>
      <c r="AX49" t="s">
        <v>26</v>
      </c>
      <c r="AY49" t="s">
        <v>26</v>
      </c>
      <c r="AZ49" t="s">
        <v>26</v>
      </c>
      <c r="BA49" t="s">
        <v>26</v>
      </c>
      <c r="BB49" t="s">
        <v>26</v>
      </c>
      <c r="BC49" t="s">
        <v>26</v>
      </c>
      <c r="BD49" t="s">
        <v>26</v>
      </c>
      <c r="BE49" t="s">
        <v>26</v>
      </c>
      <c r="BF49" t="s">
        <v>26</v>
      </c>
      <c r="BG49" t="s">
        <v>26</v>
      </c>
      <c r="BH49" t="s">
        <v>26</v>
      </c>
      <c r="BI49" t="s">
        <v>26</v>
      </c>
      <c r="BJ49" t="s">
        <v>26</v>
      </c>
      <c r="BK49" t="s">
        <v>26</v>
      </c>
      <c r="BL49" t="s">
        <v>26</v>
      </c>
      <c r="BM49" t="s">
        <v>26</v>
      </c>
      <c r="BN49" t="s">
        <v>26</v>
      </c>
      <c r="BO49" t="s">
        <v>26</v>
      </c>
      <c r="BP49" t="s">
        <v>26</v>
      </c>
      <c r="BQ49" t="s">
        <v>26</v>
      </c>
      <c r="BR49" t="s">
        <v>26</v>
      </c>
      <c r="BS49" t="s">
        <v>26</v>
      </c>
      <c r="BT49" t="s">
        <v>26</v>
      </c>
      <c r="BU49" t="s">
        <v>26</v>
      </c>
      <c r="BV49" t="s">
        <v>26</v>
      </c>
      <c r="BW49" t="s">
        <v>26</v>
      </c>
      <c r="BX49" t="s">
        <v>26</v>
      </c>
      <c r="BY49" t="s">
        <v>26</v>
      </c>
      <c r="BZ49" t="s">
        <v>26</v>
      </c>
      <c r="CA49" t="s">
        <v>26</v>
      </c>
      <c r="CB49" t="s">
        <v>26</v>
      </c>
      <c r="CL49">
        <f t="shared" si="7"/>
        <v>3</v>
      </c>
      <c r="CM49" s="18">
        <f t="shared" si="8"/>
        <v>8.5</v>
      </c>
      <c r="CN49">
        <f t="shared" si="2"/>
        <v>1.5</v>
      </c>
      <c r="CO49">
        <v>0</v>
      </c>
      <c r="CP49">
        <f t="shared" si="3"/>
        <v>0</v>
      </c>
      <c r="CQ49">
        <f t="shared" si="4"/>
        <v>0</v>
      </c>
      <c r="CR49">
        <f t="shared" si="5"/>
        <v>9.25</v>
      </c>
      <c r="CS49">
        <f t="shared" si="6"/>
        <v>2</v>
      </c>
    </row>
    <row r="50" spans="1:97" x14ac:dyDescent="0.35">
      <c r="A50" t="s">
        <v>49</v>
      </c>
      <c r="B50" t="s">
        <v>26</v>
      </c>
      <c r="C50" t="s">
        <v>26</v>
      </c>
      <c r="D50" t="s">
        <v>26</v>
      </c>
      <c r="E50" t="s">
        <v>26</v>
      </c>
      <c r="F50" t="s">
        <v>26</v>
      </c>
      <c r="G50" t="s">
        <v>26</v>
      </c>
      <c r="H50" t="s">
        <v>26</v>
      </c>
      <c r="I50">
        <v>5</v>
      </c>
      <c r="J50" t="s">
        <v>26</v>
      </c>
      <c r="K50" t="s">
        <v>26</v>
      </c>
      <c r="L50" t="s">
        <v>26</v>
      </c>
      <c r="M50" t="s">
        <v>26</v>
      </c>
      <c r="N50" t="s">
        <v>26</v>
      </c>
      <c r="O50" t="s">
        <v>26</v>
      </c>
      <c r="P50" t="s">
        <v>26</v>
      </c>
      <c r="Q50" t="s">
        <v>26</v>
      </c>
      <c r="R50" t="s">
        <v>26</v>
      </c>
      <c r="S50" t="s">
        <v>26</v>
      </c>
      <c r="T50" t="s">
        <v>26</v>
      </c>
      <c r="U50" t="s">
        <v>26</v>
      </c>
      <c r="V50" t="s">
        <v>26</v>
      </c>
      <c r="W50" t="s">
        <v>26</v>
      </c>
      <c r="X50" t="s">
        <v>26</v>
      </c>
      <c r="Y50" t="s">
        <v>26</v>
      </c>
      <c r="Z50">
        <v>5</v>
      </c>
      <c r="AA50" t="s">
        <v>26</v>
      </c>
      <c r="AB50" t="s">
        <v>26</v>
      </c>
      <c r="AC50" t="s">
        <v>26</v>
      </c>
      <c r="AD50" t="s">
        <v>26</v>
      </c>
      <c r="AE50" t="s">
        <v>26</v>
      </c>
      <c r="AF50" t="s">
        <v>26</v>
      </c>
      <c r="AG50">
        <v>2</v>
      </c>
      <c r="AH50" t="s">
        <v>26</v>
      </c>
      <c r="AI50" t="s">
        <v>26</v>
      </c>
      <c r="AJ50" t="s">
        <v>26</v>
      </c>
      <c r="AK50" t="s">
        <v>26</v>
      </c>
      <c r="AL50" t="s">
        <v>26</v>
      </c>
      <c r="AM50" t="s">
        <v>26</v>
      </c>
      <c r="AN50" t="s">
        <v>26</v>
      </c>
      <c r="AO50" t="s">
        <v>26</v>
      </c>
      <c r="AP50" t="s">
        <v>26</v>
      </c>
      <c r="AQ50" t="s">
        <v>26</v>
      </c>
      <c r="AR50" t="s">
        <v>26</v>
      </c>
      <c r="AS50" t="s">
        <v>26</v>
      </c>
      <c r="AT50" t="s">
        <v>26</v>
      </c>
      <c r="AU50" t="s">
        <v>26</v>
      </c>
      <c r="AV50" t="s">
        <v>26</v>
      </c>
      <c r="AW50" t="s">
        <v>26</v>
      </c>
      <c r="AX50" t="s">
        <v>26</v>
      </c>
      <c r="AY50" t="s">
        <v>26</v>
      </c>
      <c r="AZ50" t="s">
        <v>26</v>
      </c>
      <c r="BA50" t="s">
        <v>26</v>
      </c>
      <c r="BB50" t="s">
        <v>26</v>
      </c>
      <c r="BC50" t="s">
        <v>26</v>
      </c>
      <c r="BD50" t="s">
        <v>26</v>
      </c>
      <c r="BE50" t="s">
        <v>26</v>
      </c>
      <c r="BF50" t="s">
        <v>26</v>
      </c>
      <c r="BG50" t="s">
        <v>26</v>
      </c>
      <c r="BH50" t="s">
        <v>26</v>
      </c>
      <c r="BI50" t="s">
        <v>26</v>
      </c>
      <c r="BJ50" t="s">
        <v>26</v>
      </c>
      <c r="BK50" t="s">
        <v>26</v>
      </c>
      <c r="BL50" t="s">
        <v>26</v>
      </c>
      <c r="BM50" t="s">
        <v>26</v>
      </c>
      <c r="BN50" t="s">
        <v>26</v>
      </c>
      <c r="BO50" t="s">
        <v>26</v>
      </c>
      <c r="BP50" t="s">
        <v>26</v>
      </c>
      <c r="BQ50" t="s">
        <v>26</v>
      </c>
      <c r="BR50" t="s">
        <v>26</v>
      </c>
      <c r="BS50" t="s">
        <v>26</v>
      </c>
      <c r="BT50" t="s">
        <v>26</v>
      </c>
      <c r="BU50" t="s">
        <v>26</v>
      </c>
      <c r="BV50" t="s">
        <v>26</v>
      </c>
      <c r="BW50" t="s">
        <v>26</v>
      </c>
      <c r="BX50" t="s">
        <v>26</v>
      </c>
      <c r="BY50" t="s">
        <v>26</v>
      </c>
      <c r="BZ50" t="s">
        <v>26</v>
      </c>
      <c r="CA50" t="s">
        <v>26</v>
      </c>
      <c r="CB50" t="s">
        <v>26</v>
      </c>
      <c r="CL50">
        <f t="shared" si="7"/>
        <v>3</v>
      </c>
      <c r="CM50" s="18">
        <f t="shared" si="8"/>
        <v>4</v>
      </c>
      <c r="CN50">
        <f t="shared" si="2"/>
        <v>1.7320508075688772</v>
      </c>
      <c r="CO50">
        <v>0</v>
      </c>
      <c r="CP50">
        <f t="shared" si="3"/>
        <v>0</v>
      </c>
      <c r="CQ50">
        <f t="shared" si="4"/>
        <v>0</v>
      </c>
      <c r="CR50">
        <f t="shared" si="5"/>
        <v>2</v>
      </c>
      <c r="CS50">
        <f t="shared" si="6"/>
        <v>1</v>
      </c>
    </row>
    <row r="51" spans="1:97" x14ac:dyDescent="0.35">
      <c r="A51" t="s">
        <v>362</v>
      </c>
      <c r="B51" t="s">
        <v>26</v>
      </c>
      <c r="C51" t="s">
        <v>26</v>
      </c>
      <c r="D51" t="s">
        <v>26</v>
      </c>
      <c r="E51" t="s">
        <v>26</v>
      </c>
      <c r="F51" t="s">
        <v>26</v>
      </c>
      <c r="G51" t="s">
        <v>26</v>
      </c>
      <c r="H51" t="s">
        <v>26</v>
      </c>
      <c r="I51" t="s">
        <v>26</v>
      </c>
      <c r="J51" t="s">
        <v>26</v>
      </c>
      <c r="K51" t="s">
        <v>26</v>
      </c>
      <c r="L51" t="s">
        <v>26</v>
      </c>
      <c r="M51" t="s">
        <v>26</v>
      </c>
      <c r="N51" t="s">
        <v>26</v>
      </c>
      <c r="O51" t="s">
        <v>26</v>
      </c>
      <c r="P51" t="s">
        <v>26</v>
      </c>
      <c r="Q51" t="s">
        <v>26</v>
      </c>
      <c r="R51" t="s">
        <v>26</v>
      </c>
      <c r="S51" t="s">
        <v>26</v>
      </c>
      <c r="T51" t="s">
        <v>26</v>
      </c>
      <c r="U51" t="s">
        <v>26</v>
      </c>
      <c r="V51" t="s">
        <v>26</v>
      </c>
      <c r="W51" t="s">
        <v>26</v>
      </c>
      <c r="X51" t="s">
        <v>26</v>
      </c>
      <c r="Y51" t="s">
        <v>26</v>
      </c>
      <c r="Z51" t="s">
        <v>26</v>
      </c>
      <c r="AA51" t="s">
        <v>26</v>
      </c>
      <c r="AB51" t="s">
        <v>26</v>
      </c>
      <c r="AC51" t="s">
        <v>26</v>
      </c>
      <c r="AD51" t="s">
        <v>26</v>
      </c>
      <c r="AE51" t="s">
        <v>26</v>
      </c>
      <c r="AF51" t="s">
        <v>26</v>
      </c>
      <c r="AG51" t="s">
        <v>26</v>
      </c>
      <c r="AH51" t="s">
        <v>26</v>
      </c>
      <c r="AI51" t="s">
        <v>26</v>
      </c>
      <c r="AJ51" t="s">
        <v>26</v>
      </c>
      <c r="AK51" t="s">
        <v>26</v>
      </c>
      <c r="AL51" t="s">
        <v>26</v>
      </c>
      <c r="AM51" t="s">
        <v>26</v>
      </c>
      <c r="AN51" t="s">
        <v>26</v>
      </c>
      <c r="AO51" t="s">
        <v>26</v>
      </c>
      <c r="AP51" t="s">
        <v>26</v>
      </c>
      <c r="AQ51" t="s">
        <v>26</v>
      </c>
      <c r="AR51" t="s">
        <v>26</v>
      </c>
      <c r="AS51" t="s">
        <v>26</v>
      </c>
      <c r="AT51" t="s">
        <v>26</v>
      </c>
      <c r="AU51" t="s">
        <v>26</v>
      </c>
      <c r="AV51" t="s">
        <v>26</v>
      </c>
      <c r="AW51">
        <v>5</v>
      </c>
      <c r="AX51" t="s">
        <v>26</v>
      </c>
      <c r="AY51" t="s">
        <v>26</v>
      </c>
      <c r="AZ51" t="s">
        <v>26</v>
      </c>
      <c r="BA51" t="s">
        <v>26</v>
      </c>
      <c r="BB51" t="s">
        <v>26</v>
      </c>
      <c r="BC51" t="s">
        <v>26</v>
      </c>
      <c r="BD51" t="s">
        <v>26</v>
      </c>
      <c r="BE51" t="s">
        <v>26</v>
      </c>
      <c r="BF51" t="s">
        <v>26</v>
      </c>
      <c r="BG51" t="s">
        <v>26</v>
      </c>
      <c r="BH51" t="s">
        <v>26</v>
      </c>
      <c r="BI51" t="s">
        <v>26</v>
      </c>
      <c r="BJ51" t="s">
        <v>26</v>
      </c>
      <c r="BK51" t="s">
        <v>26</v>
      </c>
      <c r="BL51" t="s">
        <v>26</v>
      </c>
      <c r="BM51" t="s">
        <v>26</v>
      </c>
      <c r="BN51" t="s">
        <v>26</v>
      </c>
      <c r="BO51" t="s">
        <v>26</v>
      </c>
      <c r="BP51" t="s">
        <v>26</v>
      </c>
      <c r="BQ51" t="s">
        <v>26</v>
      </c>
      <c r="BR51" t="s">
        <v>26</v>
      </c>
      <c r="BS51" t="s">
        <v>26</v>
      </c>
      <c r="BT51" t="s">
        <v>26</v>
      </c>
      <c r="BU51" t="s">
        <v>26</v>
      </c>
      <c r="BV51" t="s">
        <v>26</v>
      </c>
      <c r="BW51" t="s">
        <v>26</v>
      </c>
      <c r="BX51" t="s">
        <v>26</v>
      </c>
      <c r="BY51" t="s">
        <v>26</v>
      </c>
      <c r="BZ51" t="s">
        <v>26</v>
      </c>
      <c r="CA51" t="s">
        <v>26</v>
      </c>
      <c r="CB51" t="s">
        <v>26</v>
      </c>
      <c r="CD51">
        <v>5.5</v>
      </c>
      <c r="CL51">
        <f t="shared" si="7"/>
        <v>2</v>
      </c>
      <c r="CM51" s="18">
        <f t="shared" si="8"/>
        <v>5.25</v>
      </c>
      <c r="CN51">
        <f t="shared" si="2"/>
        <v>0.35355339059327379</v>
      </c>
      <c r="CO51">
        <v>0</v>
      </c>
      <c r="CP51">
        <f t="shared" si="3"/>
        <v>0</v>
      </c>
      <c r="CQ51">
        <f t="shared" si="4"/>
        <v>0</v>
      </c>
      <c r="CR51">
        <f t="shared" si="5"/>
        <v>5</v>
      </c>
      <c r="CS51">
        <f t="shared" si="6"/>
        <v>1</v>
      </c>
    </row>
    <row r="52" spans="1:97" x14ac:dyDescent="0.35">
      <c r="A52" t="s">
        <v>364</v>
      </c>
      <c r="B52" t="s">
        <v>26</v>
      </c>
      <c r="C52" t="s">
        <v>26</v>
      </c>
      <c r="D52" t="s">
        <v>26</v>
      </c>
      <c r="E52" t="s">
        <v>26</v>
      </c>
      <c r="F52" t="s">
        <v>26</v>
      </c>
      <c r="G52" t="s">
        <v>26</v>
      </c>
      <c r="H52" t="s">
        <v>26</v>
      </c>
      <c r="I52" t="s">
        <v>26</v>
      </c>
      <c r="J52" t="s">
        <v>26</v>
      </c>
      <c r="K52" t="s">
        <v>26</v>
      </c>
      <c r="L52" t="s">
        <v>26</v>
      </c>
      <c r="M52" t="s">
        <v>26</v>
      </c>
      <c r="N52" t="s">
        <v>26</v>
      </c>
      <c r="O52" t="s">
        <v>26</v>
      </c>
      <c r="P52" t="s">
        <v>26</v>
      </c>
      <c r="Q52" t="s">
        <v>26</v>
      </c>
      <c r="R52" t="s">
        <v>26</v>
      </c>
      <c r="S52" t="s">
        <v>26</v>
      </c>
      <c r="T52" t="s">
        <v>26</v>
      </c>
      <c r="U52" t="s">
        <v>26</v>
      </c>
      <c r="V52" t="s">
        <v>26</v>
      </c>
      <c r="W52" t="s">
        <v>26</v>
      </c>
      <c r="X52" t="s">
        <v>26</v>
      </c>
      <c r="Y52" t="s">
        <v>26</v>
      </c>
      <c r="Z52" t="s">
        <v>26</v>
      </c>
      <c r="AA52" t="s">
        <v>26</v>
      </c>
      <c r="AB52" t="s">
        <v>26</v>
      </c>
      <c r="AC52" t="s">
        <v>26</v>
      </c>
      <c r="AD52" t="s">
        <v>26</v>
      </c>
      <c r="AE52" t="s">
        <v>26</v>
      </c>
      <c r="AF52" t="s">
        <v>26</v>
      </c>
      <c r="AG52" t="s">
        <v>26</v>
      </c>
      <c r="AH52" t="s">
        <v>26</v>
      </c>
      <c r="AI52" t="s">
        <v>26</v>
      </c>
      <c r="AJ52" t="s">
        <v>26</v>
      </c>
      <c r="AK52" t="s">
        <v>26</v>
      </c>
      <c r="AL52" t="s">
        <v>26</v>
      </c>
      <c r="AM52" t="s">
        <v>26</v>
      </c>
      <c r="AN52" t="s">
        <v>26</v>
      </c>
      <c r="AO52" t="s">
        <v>26</v>
      </c>
      <c r="AP52" t="s">
        <v>26</v>
      </c>
      <c r="AQ52" t="s">
        <v>26</v>
      </c>
      <c r="AR52" t="s">
        <v>26</v>
      </c>
      <c r="AS52" t="s">
        <v>26</v>
      </c>
      <c r="AT52" t="s">
        <v>26</v>
      </c>
      <c r="AU52" t="s">
        <v>26</v>
      </c>
      <c r="AV52" t="s">
        <v>26</v>
      </c>
      <c r="AW52" t="s">
        <v>26</v>
      </c>
      <c r="AX52" t="s">
        <v>26</v>
      </c>
      <c r="AY52" t="s">
        <v>26</v>
      </c>
      <c r="AZ52" t="s">
        <v>26</v>
      </c>
      <c r="BA52">
        <v>6.5</v>
      </c>
      <c r="BB52" t="s">
        <v>26</v>
      </c>
      <c r="BC52" t="s">
        <v>26</v>
      </c>
      <c r="BD52" t="s">
        <v>26</v>
      </c>
      <c r="BE52" t="s">
        <v>26</v>
      </c>
      <c r="BF52" t="s">
        <v>26</v>
      </c>
      <c r="BG52" t="s">
        <v>26</v>
      </c>
      <c r="BH52" t="s">
        <v>26</v>
      </c>
      <c r="BI52" t="s">
        <v>26</v>
      </c>
      <c r="BJ52">
        <v>6.5</v>
      </c>
      <c r="BK52" t="s">
        <v>26</v>
      </c>
      <c r="BL52" t="s">
        <v>26</v>
      </c>
      <c r="BM52" t="s">
        <v>26</v>
      </c>
      <c r="BN52" t="s">
        <v>26</v>
      </c>
      <c r="BO52" t="s">
        <v>26</v>
      </c>
      <c r="BP52" t="s">
        <v>26</v>
      </c>
      <c r="BQ52" t="s">
        <v>26</v>
      </c>
      <c r="BR52" t="s">
        <v>26</v>
      </c>
      <c r="BS52" t="s">
        <v>26</v>
      </c>
      <c r="BT52" t="s">
        <v>26</v>
      </c>
      <c r="BU52" t="s">
        <v>26</v>
      </c>
      <c r="BV52" t="s">
        <v>26</v>
      </c>
      <c r="BW52" t="s">
        <v>26</v>
      </c>
      <c r="BX52" t="s">
        <v>26</v>
      </c>
      <c r="BY52" t="s">
        <v>26</v>
      </c>
      <c r="BZ52" t="s">
        <v>26</v>
      </c>
      <c r="CA52" t="s">
        <v>26</v>
      </c>
      <c r="CB52" t="s">
        <v>26</v>
      </c>
      <c r="CL52">
        <f t="shared" si="7"/>
        <v>2</v>
      </c>
      <c r="CM52" s="18">
        <f t="shared" si="8"/>
        <v>6.5</v>
      </c>
      <c r="CN52">
        <f t="shared" si="2"/>
        <v>0</v>
      </c>
      <c r="CO52">
        <v>0</v>
      </c>
      <c r="CP52">
        <f t="shared" si="3"/>
        <v>0</v>
      </c>
      <c r="CQ52">
        <f t="shared" si="4"/>
        <v>0</v>
      </c>
      <c r="CR52">
        <f t="shared" si="5"/>
        <v>6.5</v>
      </c>
      <c r="CS52">
        <f t="shared" si="6"/>
        <v>2</v>
      </c>
    </row>
    <row r="53" spans="1:97" x14ac:dyDescent="0.35">
      <c r="A53" t="s">
        <v>53</v>
      </c>
      <c r="B53" t="s">
        <v>26</v>
      </c>
      <c r="C53" t="s">
        <v>26</v>
      </c>
      <c r="D53" t="s">
        <v>26</v>
      </c>
      <c r="E53" t="s">
        <v>26</v>
      </c>
      <c r="F53" t="s">
        <v>26</v>
      </c>
      <c r="G53" t="s">
        <v>26</v>
      </c>
      <c r="H53" t="s">
        <v>26</v>
      </c>
      <c r="I53" t="s">
        <v>26</v>
      </c>
      <c r="J53" t="s">
        <v>26</v>
      </c>
      <c r="K53" t="s">
        <v>26</v>
      </c>
      <c r="L53">
        <v>5</v>
      </c>
      <c r="M53" t="s">
        <v>26</v>
      </c>
      <c r="N53" t="s">
        <v>26</v>
      </c>
      <c r="O53" t="s">
        <v>26</v>
      </c>
      <c r="P53" t="s">
        <v>26</v>
      </c>
      <c r="Q53" t="s">
        <v>26</v>
      </c>
      <c r="R53" t="s">
        <v>26</v>
      </c>
      <c r="S53" t="s">
        <v>26</v>
      </c>
      <c r="T53" t="s">
        <v>26</v>
      </c>
      <c r="U53" t="s">
        <v>26</v>
      </c>
      <c r="V53" t="s">
        <v>26</v>
      </c>
      <c r="W53" t="s">
        <v>26</v>
      </c>
      <c r="X53" t="s">
        <v>26</v>
      </c>
      <c r="Y53" t="s">
        <v>26</v>
      </c>
      <c r="Z53" t="s">
        <v>26</v>
      </c>
      <c r="AA53" t="s">
        <v>26</v>
      </c>
      <c r="AB53" t="s">
        <v>26</v>
      </c>
      <c r="AC53" t="s">
        <v>26</v>
      </c>
      <c r="AD53" t="s">
        <v>26</v>
      </c>
      <c r="AE53" t="s">
        <v>26</v>
      </c>
      <c r="AF53" t="s">
        <v>26</v>
      </c>
      <c r="AG53">
        <v>5.5</v>
      </c>
      <c r="AH53" t="s">
        <v>26</v>
      </c>
      <c r="AI53" t="s">
        <v>26</v>
      </c>
      <c r="AJ53" t="s">
        <v>26</v>
      </c>
      <c r="AK53" t="s">
        <v>26</v>
      </c>
      <c r="AL53" t="s">
        <v>26</v>
      </c>
      <c r="AM53" t="s">
        <v>26</v>
      </c>
      <c r="AN53" t="s">
        <v>26</v>
      </c>
      <c r="AO53" t="s">
        <v>26</v>
      </c>
      <c r="AP53" t="s">
        <v>26</v>
      </c>
      <c r="AQ53" t="s">
        <v>26</v>
      </c>
      <c r="AR53" t="s">
        <v>26</v>
      </c>
      <c r="AS53" t="s">
        <v>26</v>
      </c>
      <c r="AT53" t="s">
        <v>26</v>
      </c>
      <c r="AU53" t="s">
        <v>26</v>
      </c>
      <c r="AV53" t="s">
        <v>26</v>
      </c>
      <c r="AW53" t="s">
        <v>26</v>
      </c>
      <c r="AX53" t="s">
        <v>26</v>
      </c>
      <c r="AY53" t="s">
        <v>26</v>
      </c>
      <c r="AZ53" t="s">
        <v>26</v>
      </c>
      <c r="BA53" t="s">
        <v>26</v>
      </c>
      <c r="BB53" t="s">
        <v>26</v>
      </c>
      <c r="BC53" t="s">
        <v>26</v>
      </c>
      <c r="BD53" t="s">
        <v>26</v>
      </c>
      <c r="BE53" t="s">
        <v>26</v>
      </c>
      <c r="BF53" t="s">
        <v>26</v>
      </c>
      <c r="BG53" t="s">
        <v>26</v>
      </c>
      <c r="BH53" t="s">
        <v>26</v>
      </c>
      <c r="BI53" t="s">
        <v>26</v>
      </c>
      <c r="BJ53" t="s">
        <v>26</v>
      </c>
      <c r="BK53" t="s">
        <v>26</v>
      </c>
      <c r="BL53" t="s">
        <v>26</v>
      </c>
      <c r="BM53" t="s">
        <v>26</v>
      </c>
      <c r="BN53" t="s">
        <v>26</v>
      </c>
      <c r="BO53" t="s">
        <v>26</v>
      </c>
      <c r="BP53" t="s">
        <v>26</v>
      </c>
      <c r="BQ53" t="s">
        <v>26</v>
      </c>
      <c r="BR53" t="s">
        <v>26</v>
      </c>
      <c r="BS53" t="s">
        <v>26</v>
      </c>
      <c r="BT53" t="s">
        <v>26</v>
      </c>
      <c r="BU53" t="s">
        <v>26</v>
      </c>
      <c r="BV53" t="s">
        <v>26</v>
      </c>
      <c r="BW53" t="s">
        <v>26</v>
      </c>
      <c r="BX53" t="s">
        <v>26</v>
      </c>
      <c r="BY53" t="s">
        <v>26</v>
      </c>
      <c r="BZ53" t="s">
        <v>26</v>
      </c>
      <c r="CA53" t="s">
        <v>26</v>
      </c>
      <c r="CB53" t="s">
        <v>26</v>
      </c>
      <c r="CL53">
        <f t="shared" si="7"/>
        <v>2</v>
      </c>
      <c r="CM53" s="18">
        <f t="shared" si="8"/>
        <v>5.25</v>
      </c>
      <c r="CN53">
        <f t="shared" si="2"/>
        <v>0.35355339059327379</v>
      </c>
      <c r="CO53">
        <v>0</v>
      </c>
      <c r="CP53">
        <f t="shared" si="3"/>
        <v>0</v>
      </c>
      <c r="CQ53">
        <f t="shared" si="4"/>
        <v>0</v>
      </c>
      <c r="CR53">
        <f t="shared" si="5"/>
        <v>5.5</v>
      </c>
      <c r="CS53">
        <f t="shared" si="6"/>
        <v>1</v>
      </c>
    </row>
    <row r="54" spans="1:97" x14ac:dyDescent="0.35">
      <c r="A54" t="s">
        <v>339</v>
      </c>
      <c r="B54" t="s">
        <v>26</v>
      </c>
      <c r="C54" t="s">
        <v>26</v>
      </c>
      <c r="D54" t="s">
        <v>26</v>
      </c>
      <c r="E54" t="s">
        <v>26</v>
      </c>
      <c r="F54" t="s">
        <v>26</v>
      </c>
      <c r="G54" t="s">
        <v>26</v>
      </c>
      <c r="H54" t="s">
        <v>26</v>
      </c>
      <c r="I54" t="s">
        <v>26</v>
      </c>
      <c r="J54" t="s">
        <v>26</v>
      </c>
      <c r="K54" t="s">
        <v>26</v>
      </c>
      <c r="L54" t="s">
        <v>26</v>
      </c>
      <c r="M54" t="s">
        <v>26</v>
      </c>
      <c r="N54" t="s">
        <v>26</v>
      </c>
      <c r="O54" t="s">
        <v>26</v>
      </c>
      <c r="P54" t="s">
        <v>26</v>
      </c>
      <c r="Q54" t="s">
        <v>26</v>
      </c>
      <c r="R54" t="s">
        <v>26</v>
      </c>
      <c r="S54" t="s">
        <v>26</v>
      </c>
      <c r="T54" t="s">
        <v>26</v>
      </c>
      <c r="U54" t="s">
        <v>26</v>
      </c>
      <c r="V54" t="s">
        <v>26</v>
      </c>
      <c r="W54" t="s">
        <v>26</v>
      </c>
      <c r="X54" t="s">
        <v>26</v>
      </c>
      <c r="Y54" t="s">
        <v>26</v>
      </c>
      <c r="Z54" t="s">
        <v>26</v>
      </c>
      <c r="AA54" t="s">
        <v>26</v>
      </c>
      <c r="AB54" t="s">
        <v>26</v>
      </c>
      <c r="AC54" t="s">
        <v>26</v>
      </c>
      <c r="AD54" t="s">
        <v>26</v>
      </c>
      <c r="AE54" t="s">
        <v>26</v>
      </c>
      <c r="AF54" t="s">
        <v>26</v>
      </c>
      <c r="AG54" t="s">
        <v>26</v>
      </c>
      <c r="AH54" t="s">
        <v>26</v>
      </c>
      <c r="AI54" t="s">
        <v>26</v>
      </c>
      <c r="AJ54">
        <v>8.5</v>
      </c>
      <c r="AK54" t="s">
        <v>26</v>
      </c>
      <c r="AL54" t="s">
        <v>26</v>
      </c>
      <c r="AM54" t="s">
        <v>26</v>
      </c>
      <c r="AN54" t="s">
        <v>26</v>
      </c>
      <c r="AO54" t="s">
        <v>26</v>
      </c>
      <c r="AP54" t="s">
        <v>26</v>
      </c>
      <c r="AQ54" t="s">
        <v>26</v>
      </c>
      <c r="AR54" t="s">
        <v>26</v>
      </c>
      <c r="AS54" t="s">
        <v>26</v>
      </c>
      <c r="AT54" t="s">
        <v>26</v>
      </c>
      <c r="AU54" t="s">
        <v>26</v>
      </c>
      <c r="AV54" t="s">
        <v>26</v>
      </c>
      <c r="AW54">
        <v>5</v>
      </c>
      <c r="AX54" t="s">
        <v>26</v>
      </c>
      <c r="AY54" t="s">
        <v>26</v>
      </c>
      <c r="AZ54" t="s">
        <v>26</v>
      </c>
      <c r="BA54" t="s">
        <v>26</v>
      </c>
      <c r="BB54" t="s">
        <v>26</v>
      </c>
      <c r="BC54" t="s">
        <v>26</v>
      </c>
      <c r="BD54" t="s">
        <v>26</v>
      </c>
      <c r="BE54" t="s">
        <v>26</v>
      </c>
      <c r="BF54" t="s">
        <v>26</v>
      </c>
      <c r="BG54" t="s">
        <v>26</v>
      </c>
      <c r="BH54" t="s">
        <v>26</v>
      </c>
      <c r="BI54" t="s">
        <v>26</v>
      </c>
      <c r="BJ54" t="s">
        <v>26</v>
      </c>
      <c r="BK54" t="s">
        <v>26</v>
      </c>
      <c r="BL54" t="s">
        <v>26</v>
      </c>
      <c r="BM54" t="s">
        <v>26</v>
      </c>
      <c r="BN54" t="s">
        <v>26</v>
      </c>
      <c r="BO54" t="s">
        <v>26</v>
      </c>
      <c r="BP54" t="s">
        <v>26</v>
      </c>
      <c r="BQ54" t="s">
        <v>26</v>
      </c>
      <c r="BR54" t="s">
        <v>26</v>
      </c>
      <c r="BS54" t="s">
        <v>26</v>
      </c>
      <c r="BT54" t="s">
        <v>26</v>
      </c>
      <c r="BU54" t="s">
        <v>26</v>
      </c>
      <c r="BV54" t="s">
        <v>26</v>
      </c>
      <c r="BW54" t="s">
        <v>26</v>
      </c>
      <c r="BX54" t="s">
        <v>26</v>
      </c>
      <c r="BY54" t="s">
        <v>26</v>
      </c>
      <c r="BZ54" t="s">
        <v>26</v>
      </c>
      <c r="CA54" t="s">
        <v>26</v>
      </c>
      <c r="CB54" t="s">
        <v>26</v>
      </c>
      <c r="CL54">
        <f t="shared" si="7"/>
        <v>2</v>
      </c>
      <c r="CM54" s="18">
        <f t="shared" si="8"/>
        <v>6.75</v>
      </c>
      <c r="CN54">
        <f t="shared" si="2"/>
        <v>2.4748737341529163</v>
      </c>
      <c r="CO54">
        <v>0</v>
      </c>
      <c r="CP54">
        <f t="shared" si="3"/>
        <v>0</v>
      </c>
      <c r="CQ54">
        <f t="shared" si="4"/>
        <v>0</v>
      </c>
      <c r="CR54">
        <f t="shared" si="5"/>
        <v>6.75</v>
      </c>
      <c r="CS54">
        <f t="shared" si="6"/>
        <v>2</v>
      </c>
    </row>
    <row r="55" spans="1:97" x14ac:dyDescent="0.35">
      <c r="A55" t="s">
        <v>342</v>
      </c>
      <c r="B55" t="s">
        <v>26</v>
      </c>
      <c r="C55" t="s">
        <v>26</v>
      </c>
      <c r="D55" t="s">
        <v>26</v>
      </c>
      <c r="E55" t="s">
        <v>26</v>
      </c>
      <c r="F55" t="s">
        <v>26</v>
      </c>
      <c r="G55" t="s">
        <v>26</v>
      </c>
      <c r="H55" t="s">
        <v>26</v>
      </c>
      <c r="I55" t="s">
        <v>26</v>
      </c>
      <c r="J55" t="s">
        <v>26</v>
      </c>
      <c r="K55" t="s">
        <v>26</v>
      </c>
      <c r="L55" t="s">
        <v>26</v>
      </c>
      <c r="M55" t="s">
        <v>26</v>
      </c>
      <c r="N55" t="s">
        <v>26</v>
      </c>
      <c r="O55" t="s">
        <v>26</v>
      </c>
      <c r="P55" t="s">
        <v>26</v>
      </c>
      <c r="Q55" t="s">
        <v>26</v>
      </c>
      <c r="R55" t="s">
        <v>26</v>
      </c>
      <c r="S55" t="s">
        <v>26</v>
      </c>
      <c r="T55" t="s">
        <v>26</v>
      </c>
      <c r="U55" t="s">
        <v>26</v>
      </c>
      <c r="V55" t="s">
        <v>26</v>
      </c>
      <c r="W55" t="s">
        <v>26</v>
      </c>
      <c r="X55" t="s">
        <v>26</v>
      </c>
      <c r="Y55" t="s">
        <v>26</v>
      </c>
      <c r="Z55" t="s">
        <v>26</v>
      </c>
      <c r="AA55" t="s">
        <v>26</v>
      </c>
      <c r="AB55" t="s">
        <v>26</v>
      </c>
      <c r="AC55" t="s">
        <v>26</v>
      </c>
      <c r="AD55" t="s">
        <v>26</v>
      </c>
      <c r="AE55" t="s">
        <v>26</v>
      </c>
      <c r="AF55" t="s">
        <v>26</v>
      </c>
      <c r="AG55" t="s">
        <v>26</v>
      </c>
      <c r="AH55" t="s">
        <v>26</v>
      </c>
      <c r="AI55" t="s">
        <v>26</v>
      </c>
      <c r="AJ55" t="s">
        <v>26</v>
      </c>
      <c r="AK55" t="s">
        <v>26</v>
      </c>
      <c r="AL55" t="s">
        <v>26</v>
      </c>
      <c r="AM55">
        <v>7</v>
      </c>
      <c r="AN55" t="s">
        <v>26</v>
      </c>
      <c r="AO55" t="s">
        <v>26</v>
      </c>
      <c r="AP55" t="s">
        <v>26</v>
      </c>
      <c r="AQ55" t="s">
        <v>26</v>
      </c>
      <c r="AR55" t="s">
        <v>26</v>
      </c>
      <c r="AS55" t="s">
        <v>26</v>
      </c>
      <c r="AT55" t="s">
        <v>26</v>
      </c>
      <c r="AU55" t="s">
        <v>26</v>
      </c>
      <c r="AV55" t="s">
        <v>26</v>
      </c>
      <c r="AW55" t="s">
        <v>26</v>
      </c>
      <c r="AX55" t="s">
        <v>26</v>
      </c>
      <c r="AY55" t="s">
        <v>26</v>
      </c>
      <c r="AZ55" t="s">
        <v>26</v>
      </c>
      <c r="BA55">
        <v>4</v>
      </c>
      <c r="BB55" t="s">
        <v>26</v>
      </c>
      <c r="BC55" t="s">
        <v>26</v>
      </c>
      <c r="BD55" t="s">
        <v>26</v>
      </c>
      <c r="BE55" t="s">
        <v>26</v>
      </c>
      <c r="BF55" t="s">
        <v>26</v>
      </c>
      <c r="BG55" t="s">
        <v>26</v>
      </c>
      <c r="BH55" t="s">
        <v>26</v>
      </c>
      <c r="BI55" t="s">
        <v>26</v>
      </c>
      <c r="BJ55" t="s">
        <v>26</v>
      </c>
      <c r="BK55" t="s">
        <v>26</v>
      </c>
      <c r="BL55" t="s">
        <v>26</v>
      </c>
      <c r="BM55" t="s">
        <v>26</v>
      </c>
      <c r="BN55" t="s">
        <v>26</v>
      </c>
      <c r="BO55" t="s">
        <v>26</v>
      </c>
      <c r="BP55" t="s">
        <v>26</v>
      </c>
      <c r="BQ55" t="s">
        <v>26</v>
      </c>
      <c r="BR55" t="s">
        <v>26</v>
      </c>
      <c r="BS55" t="s">
        <v>26</v>
      </c>
      <c r="BT55" t="s">
        <v>26</v>
      </c>
      <c r="BU55" t="s">
        <v>26</v>
      </c>
      <c r="BV55" t="s">
        <v>26</v>
      </c>
      <c r="BW55" t="s">
        <v>26</v>
      </c>
      <c r="BX55" t="s">
        <v>26</v>
      </c>
      <c r="BY55" t="s">
        <v>26</v>
      </c>
      <c r="BZ55" t="s">
        <v>26</v>
      </c>
      <c r="CA55" t="s">
        <v>26</v>
      </c>
      <c r="CB55" t="s">
        <v>26</v>
      </c>
      <c r="CJ55">
        <v>5.5</v>
      </c>
      <c r="CL55">
        <f t="shared" si="7"/>
        <v>2</v>
      </c>
      <c r="CM55" s="18">
        <f t="shared" si="8"/>
        <v>5.5</v>
      </c>
      <c r="CN55">
        <f t="shared" si="2"/>
        <v>2.1213203435596424</v>
      </c>
      <c r="CO55">
        <v>0</v>
      </c>
      <c r="CP55">
        <f t="shared" si="3"/>
        <v>1</v>
      </c>
      <c r="CQ55">
        <f t="shared" si="4"/>
        <v>1</v>
      </c>
      <c r="CR55">
        <f t="shared" si="5"/>
        <v>5.5</v>
      </c>
      <c r="CS55">
        <f t="shared" si="6"/>
        <v>2</v>
      </c>
    </row>
    <row r="56" spans="1:97" x14ac:dyDescent="0.35">
      <c r="A56" t="s">
        <v>369</v>
      </c>
      <c r="B56" t="s">
        <v>26</v>
      </c>
      <c r="C56" t="s">
        <v>26</v>
      </c>
      <c r="D56" t="s">
        <v>26</v>
      </c>
      <c r="E56" t="s">
        <v>26</v>
      </c>
      <c r="F56" t="s">
        <v>26</v>
      </c>
      <c r="G56" t="s">
        <v>26</v>
      </c>
      <c r="H56" t="s">
        <v>26</v>
      </c>
      <c r="I56" t="s">
        <v>26</v>
      </c>
      <c r="J56" t="s">
        <v>26</v>
      </c>
      <c r="K56" t="s">
        <v>26</v>
      </c>
      <c r="L56" t="s">
        <v>26</v>
      </c>
      <c r="M56" t="s">
        <v>26</v>
      </c>
      <c r="N56" t="s">
        <v>26</v>
      </c>
      <c r="O56" t="s">
        <v>26</v>
      </c>
      <c r="P56" t="s">
        <v>26</v>
      </c>
      <c r="Q56" t="s">
        <v>26</v>
      </c>
      <c r="R56" t="s">
        <v>26</v>
      </c>
      <c r="S56" t="s">
        <v>26</v>
      </c>
      <c r="T56" t="s">
        <v>26</v>
      </c>
      <c r="U56" t="s">
        <v>26</v>
      </c>
      <c r="V56" t="s">
        <v>26</v>
      </c>
      <c r="W56" t="s">
        <v>26</v>
      </c>
      <c r="X56" t="s">
        <v>26</v>
      </c>
      <c r="Y56" t="s">
        <v>26</v>
      </c>
      <c r="Z56" t="s">
        <v>26</v>
      </c>
      <c r="AA56" t="s">
        <v>26</v>
      </c>
      <c r="AB56" t="s">
        <v>26</v>
      </c>
      <c r="AC56" t="s">
        <v>26</v>
      </c>
      <c r="AD56" t="s">
        <v>26</v>
      </c>
      <c r="AE56" t="s">
        <v>26</v>
      </c>
      <c r="AF56" t="s">
        <v>26</v>
      </c>
      <c r="AG56" t="s">
        <v>26</v>
      </c>
      <c r="AH56" t="s">
        <v>26</v>
      </c>
      <c r="AI56" t="s">
        <v>26</v>
      </c>
      <c r="AJ56" t="s">
        <v>26</v>
      </c>
      <c r="AK56" t="s">
        <v>26</v>
      </c>
      <c r="AL56" t="s">
        <v>26</v>
      </c>
      <c r="AM56" t="s">
        <v>26</v>
      </c>
      <c r="AN56" t="s">
        <v>26</v>
      </c>
      <c r="AO56" t="s">
        <v>26</v>
      </c>
      <c r="AP56" t="s">
        <v>26</v>
      </c>
      <c r="AQ56" t="s">
        <v>26</v>
      </c>
      <c r="AR56" t="s">
        <v>26</v>
      </c>
      <c r="AS56" t="s">
        <v>26</v>
      </c>
      <c r="AT56" t="s">
        <v>26</v>
      </c>
      <c r="AU56" t="s">
        <v>26</v>
      </c>
      <c r="AV56" t="s">
        <v>26</v>
      </c>
      <c r="AW56" t="s">
        <v>26</v>
      </c>
      <c r="AX56" t="s">
        <v>26</v>
      </c>
      <c r="AY56" t="s">
        <v>26</v>
      </c>
      <c r="AZ56" t="s">
        <v>26</v>
      </c>
      <c r="BA56" t="s">
        <v>26</v>
      </c>
      <c r="BB56" t="s">
        <v>26</v>
      </c>
      <c r="BC56" t="s">
        <v>26</v>
      </c>
      <c r="BD56" t="s">
        <v>26</v>
      </c>
      <c r="BE56" t="s">
        <v>26</v>
      </c>
      <c r="BF56" t="s">
        <v>26</v>
      </c>
      <c r="BG56">
        <v>6.5</v>
      </c>
      <c r="BH56">
        <v>5</v>
      </c>
      <c r="BI56" t="s">
        <v>26</v>
      </c>
      <c r="BJ56" t="s">
        <v>26</v>
      </c>
      <c r="BK56" t="s">
        <v>26</v>
      </c>
      <c r="BL56" t="s">
        <v>26</v>
      </c>
      <c r="BM56" t="s">
        <v>26</v>
      </c>
      <c r="BN56" t="s">
        <v>26</v>
      </c>
      <c r="BO56" t="s">
        <v>26</v>
      </c>
      <c r="BP56" t="s">
        <v>26</v>
      </c>
      <c r="BQ56" t="s">
        <v>26</v>
      </c>
      <c r="BR56" t="s">
        <v>26</v>
      </c>
      <c r="BS56" t="s">
        <v>26</v>
      </c>
      <c r="BT56" t="s">
        <v>26</v>
      </c>
      <c r="BU56" t="s">
        <v>26</v>
      </c>
      <c r="BV56" t="s">
        <v>26</v>
      </c>
      <c r="BW56" t="s">
        <v>26</v>
      </c>
      <c r="BX56" t="s">
        <v>26</v>
      </c>
      <c r="BY56" t="s">
        <v>26</v>
      </c>
      <c r="BZ56" t="s">
        <v>26</v>
      </c>
      <c r="CA56" t="s">
        <v>26</v>
      </c>
      <c r="CB56" t="s">
        <v>26</v>
      </c>
      <c r="CL56">
        <f t="shared" si="7"/>
        <v>2</v>
      </c>
      <c r="CM56" s="18">
        <f t="shared" si="8"/>
        <v>5.75</v>
      </c>
      <c r="CN56">
        <f t="shared" si="2"/>
        <v>1.0606601717798212</v>
      </c>
      <c r="CO56">
        <v>0</v>
      </c>
      <c r="CP56">
        <f t="shared" si="3"/>
        <v>0</v>
      </c>
      <c r="CQ56">
        <f t="shared" si="4"/>
        <v>0</v>
      </c>
      <c r="CR56">
        <f t="shared" si="5"/>
        <v>5.75</v>
      </c>
      <c r="CS56">
        <f t="shared" si="6"/>
        <v>2</v>
      </c>
    </row>
    <row r="57" spans="1:97" x14ac:dyDescent="0.35">
      <c r="A57" t="s">
        <v>52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>
        <v>5.5</v>
      </c>
      <c r="K57" t="s">
        <v>26</v>
      </c>
      <c r="L57" t="s">
        <v>26</v>
      </c>
      <c r="M57" t="s">
        <v>26</v>
      </c>
      <c r="N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 t="s">
        <v>26</v>
      </c>
      <c r="AA57" t="s">
        <v>26</v>
      </c>
      <c r="AB57" t="s">
        <v>26</v>
      </c>
      <c r="AC57" t="s">
        <v>26</v>
      </c>
      <c r="AD57" t="s">
        <v>26</v>
      </c>
      <c r="AE57" t="s">
        <v>26</v>
      </c>
      <c r="AF57" t="s">
        <v>26</v>
      </c>
      <c r="AG57" t="s">
        <v>26</v>
      </c>
      <c r="AH57" t="s">
        <v>26</v>
      </c>
      <c r="AI57" t="s">
        <v>26</v>
      </c>
      <c r="AJ57" t="s">
        <v>26</v>
      </c>
      <c r="AK57" t="s">
        <v>26</v>
      </c>
      <c r="AL57" t="s">
        <v>26</v>
      </c>
      <c r="AM57" t="s">
        <v>26</v>
      </c>
      <c r="AN57" t="s">
        <v>26</v>
      </c>
      <c r="AO57" t="s">
        <v>26</v>
      </c>
      <c r="AP57" t="s">
        <v>26</v>
      </c>
      <c r="AQ57" t="s">
        <v>26</v>
      </c>
      <c r="AR57" t="s">
        <v>26</v>
      </c>
      <c r="AS57" t="s">
        <v>26</v>
      </c>
      <c r="AT57" t="s">
        <v>26</v>
      </c>
      <c r="AU57" t="s">
        <v>26</v>
      </c>
      <c r="AV57" t="s">
        <v>26</v>
      </c>
      <c r="AW57" t="s">
        <v>26</v>
      </c>
      <c r="AX57" t="s">
        <v>26</v>
      </c>
      <c r="AY57" t="s">
        <v>26</v>
      </c>
      <c r="AZ57" t="s">
        <v>26</v>
      </c>
      <c r="BA57" t="s">
        <v>26</v>
      </c>
      <c r="BB57" t="s">
        <v>26</v>
      </c>
      <c r="BC57" t="s">
        <v>26</v>
      </c>
      <c r="BD57" t="s">
        <v>26</v>
      </c>
      <c r="BE57" t="s">
        <v>26</v>
      </c>
      <c r="BF57" t="s">
        <v>26</v>
      </c>
      <c r="BG57" t="s">
        <v>26</v>
      </c>
      <c r="BH57" t="s">
        <v>26</v>
      </c>
      <c r="BI57" t="s">
        <v>26</v>
      </c>
      <c r="BJ57" t="s">
        <v>26</v>
      </c>
      <c r="BK57" t="s">
        <v>26</v>
      </c>
      <c r="BL57" t="s">
        <v>26</v>
      </c>
      <c r="BM57" t="s">
        <v>26</v>
      </c>
      <c r="BN57" t="s">
        <v>26</v>
      </c>
      <c r="BO57" t="s">
        <v>26</v>
      </c>
      <c r="BP57" t="s">
        <v>26</v>
      </c>
      <c r="BQ57" t="s">
        <v>26</v>
      </c>
      <c r="BR57" t="s">
        <v>26</v>
      </c>
      <c r="BS57" t="s">
        <v>26</v>
      </c>
      <c r="BT57" t="s">
        <v>26</v>
      </c>
      <c r="BU57">
        <v>5.5</v>
      </c>
      <c r="BV57" t="s">
        <v>26</v>
      </c>
      <c r="BW57" t="s">
        <v>26</v>
      </c>
      <c r="BX57" t="s">
        <v>26</v>
      </c>
      <c r="BY57" t="s">
        <v>26</v>
      </c>
      <c r="BZ57" t="s">
        <v>26</v>
      </c>
      <c r="CA57" t="s">
        <v>26</v>
      </c>
      <c r="CB57" t="s">
        <v>26</v>
      </c>
      <c r="CG57">
        <v>6</v>
      </c>
      <c r="CL57">
        <f t="shared" si="7"/>
        <v>3</v>
      </c>
      <c r="CM57" s="18">
        <f t="shared" si="8"/>
        <v>5.666666666666667</v>
      </c>
      <c r="CN57">
        <f t="shared" si="2"/>
        <v>0</v>
      </c>
      <c r="CO57">
        <v>0</v>
      </c>
      <c r="CP57">
        <f t="shared" si="3"/>
        <v>1</v>
      </c>
      <c r="CQ57">
        <f t="shared" si="4"/>
        <v>1</v>
      </c>
      <c r="CR57">
        <f t="shared" si="5"/>
        <v>5.5</v>
      </c>
      <c r="CS57">
        <f t="shared" si="6"/>
        <v>1</v>
      </c>
    </row>
    <row r="58" spans="1:97" x14ac:dyDescent="0.35">
      <c r="A58" t="s">
        <v>368</v>
      </c>
      <c r="B58" t="s">
        <v>26</v>
      </c>
      <c r="C58" t="s">
        <v>26</v>
      </c>
      <c r="D58" t="s">
        <v>26</v>
      </c>
      <c r="E58" t="s">
        <v>26</v>
      </c>
      <c r="F58" t="s">
        <v>26</v>
      </c>
      <c r="G58" t="s">
        <v>26</v>
      </c>
      <c r="H58" t="s">
        <v>26</v>
      </c>
      <c r="I58" t="s">
        <v>26</v>
      </c>
      <c r="J58" t="s">
        <v>26</v>
      </c>
      <c r="K58" t="s">
        <v>26</v>
      </c>
      <c r="L58" t="s">
        <v>26</v>
      </c>
      <c r="M58" t="s">
        <v>26</v>
      </c>
      <c r="N58" t="s">
        <v>26</v>
      </c>
      <c r="O58" t="s">
        <v>26</v>
      </c>
      <c r="P58" t="s">
        <v>26</v>
      </c>
      <c r="Q58" t="s">
        <v>26</v>
      </c>
      <c r="R58" t="s">
        <v>26</v>
      </c>
      <c r="S58" t="s">
        <v>26</v>
      </c>
      <c r="T58" t="s">
        <v>26</v>
      </c>
      <c r="U58" t="s">
        <v>26</v>
      </c>
      <c r="V58" t="s">
        <v>26</v>
      </c>
      <c r="W58" t="s">
        <v>26</v>
      </c>
      <c r="X58" t="s">
        <v>26</v>
      </c>
      <c r="Y58" t="s">
        <v>26</v>
      </c>
      <c r="Z58" t="s">
        <v>26</v>
      </c>
      <c r="AA58" t="s">
        <v>26</v>
      </c>
      <c r="AB58" t="s">
        <v>26</v>
      </c>
      <c r="AC58" t="s">
        <v>26</v>
      </c>
      <c r="AD58" t="s">
        <v>26</v>
      </c>
      <c r="AE58" t="s">
        <v>26</v>
      </c>
      <c r="AF58" t="s">
        <v>26</v>
      </c>
      <c r="AG58" t="s">
        <v>26</v>
      </c>
      <c r="AH58" t="s">
        <v>26</v>
      </c>
      <c r="AI58" t="s">
        <v>26</v>
      </c>
      <c r="AJ58" t="s">
        <v>26</v>
      </c>
      <c r="AK58" t="s">
        <v>26</v>
      </c>
      <c r="AL58" t="s">
        <v>26</v>
      </c>
      <c r="AM58" t="s">
        <v>26</v>
      </c>
      <c r="AN58" t="s">
        <v>26</v>
      </c>
      <c r="AO58" t="s">
        <v>26</v>
      </c>
      <c r="AP58" t="s">
        <v>26</v>
      </c>
      <c r="AQ58" t="s">
        <v>26</v>
      </c>
      <c r="AR58" t="s">
        <v>26</v>
      </c>
      <c r="AS58" t="s">
        <v>26</v>
      </c>
      <c r="AT58" t="s">
        <v>26</v>
      </c>
      <c r="AU58" t="s">
        <v>26</v>
      </c>
      <c r="AV58" t="s">
        <v>26</v>
      </c>
      <c r="AW58" t="s">
        <v>26</v>
      </c>
      <c r="AX58" t="s">
        <v>26</v>
      </c>
      <c r="AY58" t="s">
        <v>26</v>
      </c>
      <c r="AZ58" t="s">
        <v>26</v>
      </c>
      <c r="BA58" t="s">
        <v>26</v>
      </c>
      <c r="BB58" t="s">
        <v>26</v>
      </c>
      <c r="BC58" t="s">
        <v>26</v>
      </c>
      <c r="BD58" t="s">
        <v>26</v>
      </c>
      <c r="BE58" t="s">
        <v>26</v>
      </c>
      <c r="BF58">
        <v>9.5</v>
      </c>
      <c r="BG58" t="s">
        <v>26</v>
      </c>
      <c r="BH58" t="s">
        <v>26</v>
      </c>
      <c r="BI58" t="s">
        <v>26</v>
      </c>
      <c r="BJ58" t="s">
        <v>26</v>
      </c>
      <c r="BK58" t="s">
        <v>26</v>
      </c>
      <c r="BL58" t="s">
        <v>26</v>
      </c>
      <c r="BM58" t="s">
        <v>26</v>
      </c>
      <c r="BN58" t="s">
        <v>26</v>
      </c>
      <c r="BO58" t="s">
        <v>26</v>
      </c>
      <c r="BP58" t="s">
        <v>26</v>
      </c>
      <c r="BQ58" t="s">
        <v>26</v>
      </c>
      <c r="BR58" t="s">
        <v>26</v>
      </c>
      <c r="BS58" t="s">
        <v>26</v>
      </c>
      <c r="BT58" t="s">
        <v>26</v>
      </c>
      <c r="BU58">
        <v>10</v>
      </c>
      <c r="BV58" t="s">
        <v>26</v>
      </c>
      <c r="BW58" t="s">
        <v>26</v>
      </c>
      <c r="BX58" t="s">
        <v>26</v>
      </c>
      <c r="BY58" t="s">
        <v>26</v>
      </c>
      <c r="BZ58" t="s">
        <v>26</v>
      </c>
      <c r="CA58" t="s">
        <v>26</v>
      </c>
      <c r="CB58" t="s">
        <v>26</v>
      </c>
      <c r="CG58">
        <v>6</v>
      </c>
      <c r="CL58">
        <f t="shared" si="7"/>
        <v>3</v>
      </c>
      <c r="CM58" s="18">
        <f t="shared" si="8"/>
        <v>8.5</v>
      </c>
      <c r="CN58">
        <f t="shared" si="2"/>
        <v>0.35355339059327379</v>
      </c>
      <c r="CO58">
        <v>0</v>
      </c>
      <c r="CP58">
        <f t="shared" si="3"/>
        <v>1</v>
      </c>
      <c r="CQ58">
        <f t="shared" si="4"/>
        <v>1</v>
      </c>
      <c r="CR58">
        <f t="shared" si="5"/>
        <v>9.75</v>
      </c>
      <c r="CS58">
        <f t="shared" si="6"/>
        <v>2</v>
      </c>
    </row>
    <row r="59" spans="1:97" x14ac:dyDescent="0.35">
      <c r="A59" t="s">
        <v>379</v>
      </c>
      <c r="B59" t="s">
        <v>26</v>
      </c>
      <c r="C59" t="s">
        <v>26</v>
      </c>
      <c r="D59" t="s">
        <v>26</v>
      </c>
      <c r="E59" t="s">
        <v>26</v>
      </c>
      <c r="F59" t="s">
        <v>26</v>
      </c>
      <c r="G59" t="s">
        <v>26</v>
      </c>
      <c r="H59" t="s">
        <v>26</v>
      </c>
      <c r="I59" t="s">
        <v>26</v>
      </c>
      <c r="J59" t="s">
        <v>26</v>
      </c>
      <c r="K59" t="s">
        <v>26</v>
      </c>
      <c r="L59" t="s">
        <v>26</v>
      </c>
      <c r="M59" t="s">
        <v>26</v>
      </c>
      <c r="N59" t="s">
        <v>26</v>
      </c>
      <c r="O59" t="s">
        <v>26</v>
      </c>
      <c r="P59" t="s">
        <v>26</v>
      </c>
      <c r="Q59" t="s">
        <v>26</v>
      </c>
      <c r="R59" t="s">
        <v>26</v>
      </c>
      <c r="S59" t="s">
        <v>26</v>
      </c>
      <c r="T59" t="s">
        <v>26</v>
      </c>
      <c r="U59" t="s">
        <v>26</v>
      </c>
      <c r="V59" t="s">
        <v>26</v>
      </c>
      <c r="W59" t="s">
        <v>26</v>
      </c>
      <c r="X59" t="s">
        <v>26</v>
      </c>
      <c r="Y59" t="s">
        <v>26</v>
      </c>
      <c r="Z59" t="s">
        <v>26</v>
      </c>
      <c r="AA59" t="s">
        <v>26</v>
      </c>
      <c r="AB59" t="s">
        <v>26</v>
      </c>
      <c r="AC59" t="s">
        <v>26</v>
      </c>
      <c r="AD59" t="s">
        <v>26</v>
      </c>
      <c r="AE59" t="s">
        <v>26</v>
      </c>
      <c r="AF59" t="s">
        <v>26</v>
      </c>
      <c r="AG59" t="s">
        <v>26</v>
      </c>
      <c r="AH59" t="s">
        <v>26</v>
      </c>
      <c r="AI59" t="s">
        <v>26</v>
      </c>
      <c r="AJ59" t="s">
        <v>26</v>
      </c>
      <c r="AK59" t="s">
        <v>26</v>
      </c>
      <c r="AL59" t="s">
        <v>26</v>
      </c>
      <c r="AM59" t="s">
        <v>26</v>
      </c>
      <c r="AN59" t="s">
        <v>26</v>
      </c>
      <c r="AO59" t="s">
        <v>26</v>
      </c>
      <c r="AP59" t="s">
        <v>26</v>
      </c>
      <c r="AQ59" t="s">
        <v>26</v>
      </c>
      <c r="AR59" t="s">
        <v>26</v>
      </c>
      <c r="AS59" t="s">
        <v>26</v>
      </c>
      <c r="AT59" t="s">
        <v>26</v>
      </c>
      <c r="AU59" t="s">
        <v>26</v>
      </c>
      <c r="AV59" t="s">
        <v>26</v>
      </c>
      <c r="AW59" t="s">
        <v>26</v>
      </c>
      <c r="AX59" t="s">
        <v>26</v>
      </c>
      <c r="AY59" t="s">
        <v>26</v>
      </c>
      <c r="AZ59" t="s">
        <v>26</v>
      </c>
      <c r="BA59" t="s">
        <v>26</v>
      </c>
      <c r="BB59" t="s">
        <v>26</v>
      </c>
      <c r="BC59" t="s">
        <v>26</v>
      </c>
      <c r="BD59" t="s">
        <v>26</v>
      </c>
      <c r="BE59" t="s">
        <v>26</v>
      </c>
      <c r="BF59" t="s">
        <v>26</v>
      </c>
      <c r="BG59" t="s">
        <v>26</v>
      </c>
      <c r="BH59" t="s">
        <v>26</v>
      </c>
      <c r="BI59" t="s">
        <v>26</v>
      </c>
      <c r="BJ59" t="s">
        <v>26</v>
      </c>
      <c r="BK59" t="s">
        <v>26</v>
      </c>
      <c r="BL59" t="s">
        <v>26</v>
      </c>
      <c r="BM59" t="s">
        <v>26</v>
      </c>
      <c r="BN59" t="s">
        <v>26</v>
      </c>
      <c r="BO59" t="s">
        <v>26</v>
      </c>
      <c r="BP59" t="s">
        <v>26</v>
      </c>
      <c r="BQ59" t="s">
        <v>26</v>
      </c>
      <c r="BR59" t="s">
        <v>26</v>
      </c>
      <c r="BS59" t="s">
        <v>26</v>
      </c>
      <c r="BT59" t="s">
        <v>26</v>
      </c>
      <c r="BU59" t="s">
        <v>26</v>
      </c>
      <c r="BV59" t="s">
        <v>26</v>
      </c>
      <c r="BW59" t="s">
        <v>26</v>
      </c>
      <c r="BX59" t="s">
        <v>26</v>
      </c>
      <c r="BY59">
        <v>5.5</v>
      </c>
      <c r="BZ59">
        <v>5.5</v>
      </c>
      <c r="CA59" t="s">
        <v>26</v>
      </c>
      <c r="CB59" t="s">
        <v>26</v>
      </c>
      <c r="CL59">
        <f t="shared" si="7"/>
        <v>2</v>
      </c>
      <c r="CM59" s="18">
        <f t="shared" si="8"/>
        <v>5.5</v>
      </c>
      <c r="CN59">
        <f t="shared" si="2"/>
        <v>0</v>
      </c>
      <c r="CO59">
        <v>0</v>
      </c>
      <c r="CP59">
        <f t="shared" si="3"/>
        <v>0</v>
      </c>
      <c r="CQ59">
        <f t="shared" si="4"/>
        <v>0</v>
      </c>
      <c r="CR59">
        <f t="shared" si="5"/>
        <v>5.5</v>
      </c>
      <c r="CS59">
        <f t="shared" si="6"/>
        <v>2</v>
      </c>
    </row>
    <row r="60" spans="1:97" x14ac:dyDescent="0.35">
      <c r="A60" t="s">
        <v>391</v>
      </c>
      <c r="B60" t="s">
        <v>26</v>
      </c>
      <c r="C60" t="s">
        <v>26</v>
      </c>
      <c r="D60" t="s">
        <v>26</v>
      </c>
      <c r="E60" t="s">
        <v>26</v>
      </c>
      <c r="F60" t="s">
        <v>26</v>
      </c>
      <c r="G60" t="s">
        <v>26</v>
      </c>
      <c r="H60" t="s">
        <v>26</v>
      </c>
      <c r="I60" t="s">
        <v>26</v>
      </c>
      <c r="J60" t="s">
        <v>26</v>
      </c>
      <c r="K60" t="s">
        <v>26</v>
      </c>
      <c r="L60" t="s">
        <v>26</v>
      </c>
      <c r="M60" t="s">
        <v>26</v>
      </c>
      <c r="N60" t="s">
        <v>26</v>
      </c>
      <c r="O60" t="s">
        <v>26</v>
      </c>
      <c r="P60" t="s">
        <v>26</v>
      </c>
      <c r="Q60" t="s">
        <v>26</v>
      </c>
      <c r="R60" t="s">
        <v>26</v>
      </c>
      <c r="S60" t="s">
        <v>26</v>
      </c>
      <c r="T60" t="s">
        <v>26</v>
      </c>
      <c r="U60" t="s">
        <v>26</v>
      </c>
      <c r="V60" t="s">
        <v>26</v>
      </c>
      <c r="W60" t="s">
        <v>26</v>
      </c>
      <c r="X60" t="s">
        <v>26</v>
      </c>
      <c r="Y60" t="s">
        <v>26</v>
      </c>
      <c r="Z60" t="s">
        <v>26</v>
      </c>
      <c r="AA60" t="s">
        <v>26</v>
      </c>
      <c r="AB60" t="s">
        <v>26</v>
      </c>
      <c r="AC60" t="s">
        <v>26</v>
      </c>
      <c r="AD60" t="s">
        <v>26</v>
      </c>
      <c r="AE60" t="s">
        <v>26</v>
      </c>
      <c r="AF60" t="s">
        <v>26</v>
      </c>
      <c r="AG60" t="s">
        <v>26</v>
      </c>
      <c r="AH60" t="s">
        <v>26</v>
      </c>
      <c r="AI60" t="s">
        <v>26</v>
      </c>
      <c r="AJ60" t="s">
        <v>26</v>
      </c>
      <c r="AK60" t="s">
        <v>26</v>
      </c>
      <c r="AL60" t="s">
        <v>26</v>
      </c>
      <c r="AM60" t="s">
        <v>26</v>
      </c>
      <c r="AN60" t="s">
        <v>26</v>
      </c>
      <c r="AO60" t="s">
        <v>26</v>
      </c>
      <c r="AP60" t="s">
        <v>26</v>
      </c>
      <c r="AQ60" t="s">
        <v>26</v>
      </c>
      <c r="AR60" t="s">
        <v>26</v>
      </c>
      <c r="AS60" t="s">
        <v>26</v>
      </c>
      <c r="AT60" t="s">
        <v>26</v>
      </c>
      <c r="AU60" t="s">
        <v>26</v>
      </c>
      <c r="AV60" t="s">
        <v>26</v>
      </c>
      <c r="AW60" t="s">
        <v>26</v>
      </c>
      <c r="AX60" t="s">
        <v>26</v>
      </c>
      <c r="AY60" t="s">
        <v>26</v>
      </c>
      <c r="AZ60" t="s">
        <v>26</v>
      </c>
      <c r="BA60" t="s">
        <v>26</v>
      </c>
      <c r="BB60" t="s">
        <v>26</v>
      </c>
      <c r="BC60" t="s">
        <v>26</v>
      </c>
      <c r="BD60" t="s">
        <v>26</v>
      </c>
      <c r="BE60" t="s">
        <v>26</v>
      </c>
      <c r="BF60" t="s">
        <v>26</v>
      </c>
      <c r="BG60" t="s">
        <v>26</v>
      </c>
      <c r="BH60" t="s">
        <v>26</v>
      </c>
      <c r="BI60" t="s">
        <v>26</v>
      </c>
      <c r="BJ60" t="s">
        <v>26</v>
      </c>
      <c r="BK60" t="s">
        <v>26</v>
      </c>
      <c r="BL60" t="s">
        <v>26</v>
      </c>
      <c r="BM60" t="s">
        <v>26</v>
      </c>
      <c r="BN60" t="s">
        <v>26</v>
      </c>
      <c r="BO60" t="s">
        <v>26</v>
      </c>
      <c r="BP60" t="s">
        <v>26</v>
      </c>
      <c r="BQ60" t="s">
        <v>26</v>
      </c>
      <c r="BR60" t="s">
        <v>26</v>
      </c>
      <c r="BS60" t="s">
        <v>26</v>
      </c>
      <c r="BT60" t="s">
        <v>26</v>
      </c>
      <c r="BU60" t="s">
        <v>26</v>
      </c>
      <c r="BV60" t="s">
        <v>26</v>
      </c>
      <c r="BW60" t="s">
        <v>26</v>
      </c>
      <c r="BX60" t="s">
        <v>26</v>
      </c>
      <c r="BY60" t="s">
        <v>26</v>
      </c>
      <c r="BZ60" t="s">
        <v>26</v>
      </c>
      <c r="CA60" t="s">
        <v>26</v>
      </c>
      <c r="CB60" t="s">
        <v>26</v>
      </c>
      <c r="CE60">
        <v>7</v>
      </c>
      <c r="CH60">
        <v>7</v>
      </c>
      <c r="CL60">
        <f t="shared" si="7"/>
        <v>2</v>
      </c>
      <c r="CM60" s="18">
        <f t="shared" si="8"/>
        <v>7</v>
      </c>
      <c r="CN60" t="e">
        <f t="shared" si="2"/>
        <v>#DIV/0!</v>
      </c>
      <c r="CO60">
        <v>0</v>
      </c>
      <c r="CP60">
        <f t="shared" si="3"/>
        <v>1</v>
      </c>
      <c r="CQ60">
        <f t="shared" si="4"/>
        <v>1</v>
      </c>
      <c r="CR60" t="e">
        <f t="shared" si="5"/>
        <v>#DIV/0!</v>
      </c>
      <c r="CS60">
        <f t="shared" si="6"/>
        <v>0</v>
      </c>
    </row>
    <row r="61" spans="1:97" x14ac:dyDescent="0.35">
      <c r="A61" t="s">
        <v>86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 t="s">
        <v>26</v>
      </c>
      <c r="AA61" t="s">
        <v>26</v>
      </c>
      <c r="AB61" t="s">
        <v>26</v>
      </c>
      <c r="AC61" t="s">
        <v>26</v>
      </c>
      <c r="AD61">
        <v>10</v>
      </c>
      <c r="AE61" t="s">
        <v>26</v>
      </c>
      <c r="AF61" t="s">
        <v>26</v>
      </c>
      <c r="AG61" t="s">
        <v>26</v>
      </c>
      <c r="AH61" t="s">
        <v>26</v>
      </c>
      <c r="AI61" t="s">
        <v>26</v>
      </c>
      <c r="AJ61" t="s">
        <v>26</v>
      </c>
      <c r="AK61" t="s">
        <v>26</v>
      </c>
      <c r="AL61" t="s">
        <v>26</v>
      </c>
      <c r="AM61" t="s">
        <v>26</v>
      </c>
      <c r="AN61" t="s">
        <v>26</v>
      </c>
      <c r="AO61" t="s">
        <v>26</v>
      </c>
      <c r="AP61" t="s">
        <v>26</v>
      </c>
      <c r="AQ61" t="s">
        <v>26</v>
      </c>
      <c r="AR61" t="s">
        <v>26</v>
      </c>
      <c r="AS61" t="s">
        <v>26</v>
      </c>
      <c r="AT61" t="s">
        <v>26</v>
      </c>
      <c r="AU61" t="s">
        <v>26</v>
      </c>
      <c r="AV61" t="s">
        <v>26</v>
      </c>
      <c r="AW61" t="s">
        <v>26</v>
      </c>
      <c r="AX61" t="s">
        <v>26</v>
      </c>
      <c r="AY61" t="s">
        <v>26</v>
      </c>
      <c r="AZ61" t="s">
        <v>26</v>
      </c>
      <c r="BA61" t="s">
        <v>26</v>
      </c>
      <c r="BB61" t="s">
        <v>26</v>
      </c>
      <c r="BC61" t="s">
        <v>26</v>
      </c>
      <c r="BD61" t="s">
        <v>26</v>
      </c>
      <c r="BE61" t="s">
        <v>26</v>
      </c>
      <c r="BF61" t="s">
        <v>26</v>
      </c>
      <c r="BG61" t="s">
        <v>26</v>
      </c>
      <c r="BH61" t="s">
        <v>26</v>
      </c>
      <c r="BI61" t="s">
        <v>26</v>
      </c>
      <c r="BJ61" t="s">
        <v>26</v>
      </c>
      <c r="BK61" t="s">
        <v>26</v>
      </c>
      <c r="BL61" t="s">
        <v>26</v>
      </c>
      <c r="BM61" t="s">
        <v>26</v>
      </c>
      <c r="BN61" t="s">
        <v>26</v>
      </c>
      <c r="BO61" t="s">
        <v>26</v>
      </c>
      <c r="BP61" t="s">
        <v>26</v>
      </c>
      <c r="BQ61" t="s">
        <v>26</v>
      </c>
      <c r="BR61" t="s">
        <v>26</v>
      </c>
      <c r="BS61" t="s">
        <v>26</v>
      </c>
      <c r="BT61" t="s">
        <v>26</v>
      </c>
      <c r="BU61" t="s">
        <v>26</v>
      </c>
      <c r="BV61" t="s">
        <v>26</v>
      </c>
      <c r="BW61" t="s">
        <v>26</v>
      </c>
      <c r="BX61" t="s">
        <v>26</v>
      </c>
      <c r="BY61" t="s">
        <v>26</v>
      </c>
      <c r="BZ61" t="s">
        <v>26</v>
      </c>
      <c r="CA61" t="s">
        <v>26</v>
      </c>
      <c r="CB61" t="s">
        <v>26</v>
      </c>
      <c r="CL61">
        <f t="shared" si="7"/>
        <v>1</v>
      </c>
      <c r="CM61" s="18">
        <f t="shared" si="8"/>
        <v>10</v>
      </c>
      <c r="CN61" t="str">
        <f t="shared" si="2"/>
        <v/>
      </c>
      <c r="CO61">
        <v>0</v>
      </c>
      <c r="CP61">
        <f t="shared" si="3"/>
        <v>0</v>
      </c>
      <c r="CQ61">
        <f t="shared" si="4"/>
        <v>0</v>
      </c>
      <c r="CR61" t="e">
        <f t="shared" si="5"/>
        <v>#DIV/0!</v>
      </c>
      <c r="CS61">
        <f t="shared" si="6"/>
        <v>0</v>
      </c>
    </row>
    <row r="62" spans="1:97" x14ac:dyDescent="0.35">
      <c r="A62" t="s">
        <v>77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>
        <v>7</v>
      </c>
      <c r="AA62" t="s">
        <v>26</v>
      </c>
      <c r="AB62" t="s">
        <v>26</v>
      </c>
      <c r="AC62" t="s">
        <v>26</v>
      </c>
      <c r="AD62" t="s">
        <v>26</v>
      </c>
      <c r="AE62" t="s">
        <v>26</v>
      </c>
      <c r="AF62" t="s">
        <v>26</v>
      </c>
      <c r="AG62" t="s">
        <v>26</v>
      </c>
      <c r="AH62" t="s">
        <v>26</v>
      </c>
      <c r="AI62" t="s">
        <v>26</v>
      </c>
      <c r="AJ62" t="s">
        <v>26</v>
      </c>
      <c r="AK62" t="s">
        <v>26</v>
      </c>
      <c r="AL62" t="s">
        <v>26</v>
      </c>
      <c r="AM62" t="s">
        <v>26</v>
      </c>
      <c r="AN62" t="s">
        <v>26</v>
      </c>
      <c r="AO62" t="s">
        <v>26</v>
      </c>
      <c r="AP62" t="s">
        <v>26</v>
      </c>
      <c r="AQ62" t="s">
        <v>26</v>
      </c>
      <c r="AR62" t="s">
        <v>26</v>
      </c>
      <c r="AS62" t="s">
        <v>26</v>
      </c>
      <c r="AT62" t="s">
        <v>26</v>
      </c>
      <c r="AU62" t="s">
        <v>26</v>
      </c>
      <c r="AV62" t="s">
        <v>26</v>
      </c>
      <c r="AW62" t="s">
        <v>26</v>
      </c>
      <c r="AX62" t="s">
        <v>26</v>
      </c>
      <c r="AY62" t="s">
        <v>26</v>
      </c>
      <c r="AZ62" t="s">
        <v>26</v>
      </c>
      <c r="BA62" t="s">
        <v>26</v>
      </c>
      <c r="BB62" t="s">
        <v>26</v>
      </c>
      <c r="BC62" t="s">
        <v>26</v>
      </c>
      <c r="BD62" t="s">
        <v>26</v>
      </c>
      <c r="BE62" t="s">
        <v>26</v>
      </c>
      <c r="BF62" t="s">
        <v>26</v>
      </c>
      <c r="BG62" t="s">
        <v>26</v>
      </c>
      <c r="BH62" t="s">
        <v>26</v>
      </c>
      <c r="BI62" t="s">
        <v>26</v>
      </c>
      <c r="BJ62" t="s">
        <v>26</v>
      </c>
      <c r="BK62" t="s">
        <v>26</v>
      </c>
      <c r="BL62" t="s">
        <v>26</v>
      </c>
      <c r="BM62" t="s">
        <v>26</v>
      </c>
      <c r="BN62" t="s">
        <v>26</v>
      </c>
      <c r="BO62" t="s">
        <v>26</v>
      </c>
      <c r="BP62" t="s">
        <v>26</v>
      </c>
      <c r="BQ62" t="s">
        <v>26</v>
      </c>
      <c r="BR62" t="s">
        <v>26</v>
      </c>
      <c r="BS62" t="s">
        <v>26</v>
      </c>
      <c r="BT62" t="s">
        <v>26</v>
      </c>
      <c r="BU62" t="s">
        <v>26</v>
      </c>
      <c r="BV62" t="s">
        <v>26</v>
      </c>
      <c r="BW62" t="s">
        <v>26</v>
      </c>
      <c r="BX62" t="s">
        <v>26</v>
      </c>
      <c r="BY62" t="s">
        <v>26</v>
      </c>
      <c r="BZ62" t="s">
        <v>26</v>
      </c>
      <c r="CA62" t="s">
        <v>26</v>
      </c>
      <c r="CB62" t="s">
        <v>26</v>
      </c>
      <c r="CL62">
        <f t="shared" si="7"/>
        <v>1</v>
      </c>
      <c r="CM62" s="18">
        <f t="shared" si="8"/>
        <v>7</v>
      </c>
      <c r="CN62" t="str">
        <f t="shared" si="2"/>
        <v/>
      </c>
      <c r="CO62">
        <v>0</v>
      </c>
      <c r="CP62">
        <f t="shared" si="3"/>
        <v>0</v>
      </c>
      <c r="CQ62">
        <f t="shared" si="4"/>
        <v>0</v>
      </c>
      <c r="CR62" t="e">
        <f t="shared" si="5"/>
        <v>#DIV/0!</v>
      </c>
      <c r="CS62">
        <f t="shared" si="6"/>
        <v>0</v>
      </c>
    </row>
    <row r="63" spans="1:97" x14ac:dyDescent="0.35">
      <c r="A63" t="s">
        <v>353</v>
      </c>
      <c r="B63" t="s">
        <v>26</v>
      </c>
      <c r="C63" t="s">
        <v>26</v>
      </c>
      <c r="D63" t="s">
        <v>26</v>
      </c>
      <c r="E63" t="s">
        <v>26</v>
      </c>
      <c r="F63" t="s">
        <v>26</v>
      </c>
      <c r="G63" t="s">
        <v>26</v>
      </c>
      <c r="H63" t="s">
        <v>26</v>
      </c>
      <c r="I63" t="s">
        <v>26</v>
      </c>
      <c r="J63" t="s">
        <v>26</v>
      </c>
      <c r="K63" t="s">
        <v>26</v>
      </c>
      <c r="L63" t="s">
        <v>26</v>
      </c>
      <c r="M63" t="s">
        <v>26</v>
      </c>
      <c r="N63" t="s">
        <v>26</v>
      </c>
      <c r="O63" t="s">
        <v>26</v>
      </c>
      <c r="P63" t="s">
        <v>26</v>
      </c>
      <c r="Q63" t="s">
        <v>26</v>
      </c>
      <c r="R63" t="s">
        <v>26</v>
      </c>
      <c r="S63" t="s">
        <v>26</v>
      </c>
      <c r="T63" t="s">
        <v>26</v>
      </c>
      <c r="U63" t="s">
        <v>26</v>
      </c>
      <c r="V63" t="s">
        <v>26</v>
      </c>
      <c r="W63" t="s">
        <v>26</v>
      </c>
      <c r="X63" t="s">
        <v>26</v>
      </c>
      <c r="Y63" t="s">
        <v>26</v>
      </c>
      <c r="Z63">
        <v>7</v>
      </c>
      <c r="AA63" t="s">
        <v>26</v>
      </c>
      <c r="AB63" t="s">
        <v>26</v>
      </c>
      <c r="AC63" t="s">
        <v>26</v>
      </c>
      <c r="AD63" t="s">
        <v>26</v>
      </c>
      <c r="AE63" t="s">
        <v>26</v>
      </c>
      <c r="AF63" t="s">
        <v>26</v>
      </c>
      <c r="AG63" t="s">
        <v>26</v>
      </c>
      <c r="AH63" t="s">
        <v>26</v>
      </c>
      <c r="AI63" t="s">
        <v>26</v>
      </c>
      <c r="AJ63" t="s">
        <v>26</v>
      </c>
      <c r="AK63" t="s">
        <v>26</v>
      </c>
      <c r="AL63" t="s">
        <v>26</v>
      </c>
      <c r="AM63" t="s">
        <v>26</v>
      </c>
      <c r="AN63" t="s">
        <v>26</v>
      </c>
      <c r="AO63" t="s">
        <v>26</v>
      </c>
      <c r="AP63" t="s">
        <v>26</v>
      </c>
      <c r="AQ63" t="s">
        <v>26</v>
      </c>
      <c r="AR63" t="s">
        <v>26</v>
      </c>
      <c r="AS63" t="s">
        <v>26</v>
      </c>
      <c r="AT63" t="s">
        <v>26</v>
      </c>
      <c r="AU63" t="s">
        <v>26</v>
      </c>
      <c r="AV63" t="s">
        <v>26</v>
      </c>
      <c r="AW63" t="s">
        <v>26</v>
      </c>
      <c r="AX63" t="s">
        <v>26</v>
      </c>
      <c r="AY63" t="s">
        <v>26</v>
      </c>
      <c r="AZ63" t="s">
        <v>26</v>
      </c>
      <c r="BA63" t="s">
        <v>26</v>
      </c>
      <c r="BB63" t="s">
        <v>26</v>
      </c>
      <c r="BC63" t="s">
        <v>26</v>
      </c>
      <c r="BD63" t="s">
        <v>26</v>
      </c>
      <c r="BE63" t="s">
        <v>26</v>
      </c>
      <c r="BF63" t="s">
        <v>26</v>
      </c>
      <c r="BG63" t="s">
        <v>26</v>
      </c>
      <c r="BH63" t="s">
        <v>26</v>
      </c>
      <c r="BI63" t="s">
        <v>26</v>
      </c>
      <c r="BJ63" t="s">
        <v>26</v>
      </c>
      <c r="BK63" t="s">
        <v>26</v>
      </c>
      <c r="BL63" t="s">
        <v>26</v>
      </c>
      <c r="BM63" t="s">
        <v>26</v>
      </c>
      <c r="BN63" t="s">
        <v>26</v>
      </c>
      <c r="BO63" t="s">
        <v>26</v>
      </c>
      <c r="BP63" t="s">
        <v>26</v>
      </c>
      <c r="BQ63" t="s">
        <v>26</v>
      </c>
      <c r="BR63" t="s">
        <v>26</v>
      </c>
      <c r="BS63" t="s">
        <v>26</v>
      </c>
      <c r="BT63" t="s">
        <v>26</v>
      </c>
      <c r="BU63" t="s">
        <v>26</v>
      </c>
      <c r="BV63" t="s">
        <v>26</v>
      </c>
      <c r="BW63" t="s">
        <v>26</v>
      </c>
      <c r="BX63" t="s">
        <v>26</v>
      </c>
      <c r="BY63" t="s">
        <v>26</v>
      </c>
      <c r="BZ63" t="s">
        <v>26</v>
      </c>
      <c r="CA63" t="s">
        <v>26</v>
      </c>
      <c r="CB63" t="s">
        <v>26</v>
      </c>
      <c r="CL63">
        <f t="shared" si="7"/>
        <v>1</v>
      </c>
      <c r="CM63" s="18">
        <f t="shared" si="8"/>
        <v>7</v>
      </c>
      <c r="CN63" t="str">
        <f t="shared" si="2"/>
        <v/>
      </c>
      <c r="CO63">
        <v>0</v>
      </c>
      <c r="CP63">
        <f t="shared" si="3"/>
        <v>0</v>
      </c>
      <c r="CQ63">
        <f t="shared" si="4"/>
        <v>0</v>
      </c>
      <c r="CR63" t="e">
        <f t="shared" si="5"/>
        <v>#DIV/0!</v>
      </c>
      <c r="CS63">
        <f t="shared" si="6"/>
        <v>0</v>
      </c>
    </row>
    <row r="64" spans="1:97" x14ac:dyDescent="0.35">
      <c r="A64" t="s">
        <v>80</v>
      </c>
      <c r="B64" t="s">
        <v>26</v>
      </c>
      <c r="C64" t="s">
        <v>26</v>
      </c>
      <c r="D64" t="s">
        <v>26</v>
      </c>
      <c r="E64" t="s">
        <v>26</v>
      </c>
      <c r="F64" t="s">
        <v>26</v>
      </c>
      <c r="G64" t="s">
        <v>26</v>
      </c>
      <c r="H64" t="s">
        <v>26</v>
      </c>
      <c r="I64" t="s">
        <v>26</v>
      </c>
      <c r="J64" t="s">
        <v>26</v>
      </c>
      <c r="K64" t="s">
        <v>26</v>
      </c>
      <c r="L64" t="s">
        <v>26</v>
      </c>
      <c r="M64" t="s">
        <v>26</v>
      </c>
      <c r="N64" t="s">
        <v>26</v>
      </c>
      <c r="O64" t="s">
        <v>26</v>
      </c>
      <c r="P64" t="s">
        <v>26</v>
      </c>
      <c r="Q64" t="s">
        <v>26</v>
      </c>
      <c r="R64" t="s">
        <v>26</v>
      </c>
      <c r="S64" t="s">
        <v>26</v>
      </c>
      <c r="T64" t="s">
        <v>26</v>
      </c>
      <c r="U64" t="s">
        <v>26</v>
      </c>
      <c r="V64" t="s">
        <v>26</v>
      </c>
      <c r="W64" t="s">
        <v>26</v>
      </c>
      <c r="X64" t="s">
        <v>26</v>
      </c>
      <c r="Y64">
        <v>7</v>
      </c>
      <c r="Z64" t="s">
        <v>26</v>
      </c>
      <c r="AA64" t="s">
        <v>26</v>
      </c>
      <c r="AB64" t="s">
        <v>26</v>
      </c>
      <c r="AC64" t="s">
        <v>26</v>
      </c>
      <c r="AD64" t="s">
        <v>26</v>
      </c>
      <c r="AE64" t="s">
        <v>26</v>
      </c>
      <c r="AF64" t="s">
        <v>26</v>
      </c>
      <c r="AG64" t="s">
        <v>26</v>
      </c>
      <c r="AH64" t="s">
        <v>26</v>
      </c>
      <c r="AI64" t="s">
        <v>26</v>
      </c>
      <c r="AJ64" t="s">
        <v>26</v>
      </c>
      <c r="AK64" t="s">
        <v>26</v>
      </c>
      <c r="AL64" t="s">
        <v>26</v>
      </c>
      <c r="AM64" t="s">
        <v>26</v>
      </c>
      <c r="AN64" t="s">
        <v>26</v>
      </c>
      <c r="AO64" t="s">
        <v>26</v>
      </c>
      <c r="AP64" t="s">
        <v>26</v>
      </c>
      <c r="AQ64" t="s">
        <v>26</v>
      </c>
      <c r="AR64" t="s">
        <v>26</v>
      </c>
      <c r="AS64" t="s">
        <v>26</v>
      </c>
      <c r="AT64" t="s">
        <v>26</v>
      </c>
      <c r="AU64" t="s">
        <v>26</v>
      </c>
      <c r="AV64" t="s">
        <v>26</v>
      </c>
      <c r="AW64" t="s">
        <v>26</v>
      </c>
      <c r="AX64" t="s">
        <v>26</v>
      </c>
      <c r="AY64" t="s">
        <v>26</v>
      </c>
      <c r="AZ64" t="s">
        <v>26</v>
      </c>
      <c r="BA64" t="s">
        <v>26</v>
      </c>
      <c r="BB64" t="s">
        <v>26</v>
      </c>
      <c r="BC64" t="s">
        <v>26</v>
      </c>
      <c r="BD64" t="s">
        <v>26</v>
      </c>
      <c r="BE64" t="s">
        <v>26</v>
      </c>
      <c r="BF64" t="s">
        <v>26</v>
      </c>
      <c r="BG64" t="s">
        <v>26</v>
      </c>
      <c r="BH64" t="s">
        <v>26</v>
      </c>
      <c r="BI64" t="s">
        <v>26</v>
      </c>
      <c r="BJ64" t="s">
        <v>26</v>
      </c>
      <c r="BK64" t="s">
        <v>26</v>
      </c>
      <c r="BL64" t="s">
        <v>26</v>
      </c>
      <c r="BM64" t="s">
        <v>26</v>
      </c>
      <c r="BN64" t="s">
        <v>26</v>
      </c>
      <c r="BO64" t="s">
        <v>26</v>
      </c>
      <c r="BP64" t="s">
        <v>26</v>
      </c>
      <c r="BQ64" t="s">
        <v>26</v>
      </c>
      <c r="BR64" t="s">
        <v>26</v>
      </c>
      <c r="BS64" t="s">
        <v>26</v>
      </c>
      <c r="BT64" t="s">
        <v>26</v>
      </c>
      <c r="BU64" t="s">
        <v>26</v>
      </c>
      <c r="BV64" t="s">
        <v>26</v>
      </c>
      <c r="BW64" t="s">
        <v>26</v>
      </c>
      <c r="BX64" t="s">
        <v>26</v>
      </c>
      <c r="BY64" t="s">
        <v>26</v>
      </c>
      <c r="BZ64" t="s">
        <v>26</v>
      </c>
      <c r="CA64" t="s">
        <v>26</v>
      </c>
      <c r="CB64" t="s">
        <v>26</v>
      </c>
      <c r="CL64">
        <f t="shared" si="7"/>
        <v>1</v>
      </c>
      <c r="CM64" s="18">
        <f t="shared" si="8"/>
        <v>7</v>
      </c>
      <c r="CN64" t="str">
        <f t="shared" si="2"/>
        <v/>
      </c>
      <c r="CO64">
        <v>0</v>
      </c>
      <c r="CP64">
        <f t="shared" si="3"/>
        <v>0</v>
      </c>
      <c r="CQ64">
        <f t="shared" si="4"/>
        <v>0</v>
      </c>
      <c r="CR64" t="e">
        <f t="shared" si="5"/>
        <v>#DIV/0!</v>
      </c>
      <c r="CS64">
        <f t="shared" si="6"/>
        <v>0</v>
      </c>
    </row>
    <row r="65" spans="1:97" x14ac:dyDescent="0.35">
      <c r="A65" t="s">
        <v>47</v>
      </c>
      <c r="B65" t="s">
        <v>26</v>
      </c>
      <c r="C65" t="s">
        <v>26</v>
      </c>
      <c r="D65" t="s">
        <v>26</v>
      </c>
      <c r="E65" t="s">
        <v>26</v>
      </c>
      <c r="F65" t="s">
        <v>26</v>
      </c>
      <c r="G65" t="s">
        <v>26</v>
      </c>
      <c r="H65" t="s">
        <v>26</v>
      </c>
      <c r="I65">
        <v>3.5</v>
      </c>
      <c r="J65" t="s">
        <v>26</v>
      </c>
      <c r="K65" t="s">
        <v>26</v>
      </c>
      <c r="L65" t="s">
        <v>26</v>
      </c>
      <c r="M65" t="s">
        <v>26</v>
      </c>
      <c r="N65" t="s">
        <v>26</v>
      </c>
      <c r="O65" t="s">
        <v>26</v>
      </c>
      <c r="P65" t="s">
        <v>26</v>
      </c>
      <c r="Q65" t="s">
        <v>26</v>
      </c>
      <c r="R65" t="s">
        <v>26</v>
      </c>
      <c r="S65" t="s">
        <v>26</v>
      </c>
      <c r="T65" t="s">
        <v>26</v>
      </c>
      <c r="U65" t="s">
        <v>26</v>
      </c>
      <c r="V65" t="s">
        <v>26</v>
      </c>
      <c r="W65" t="s">
        <v>26</v>
      </c>
      <c r="X65" t="s">
        <v>26</v>
      </c>
      <c r="Y65" t="s">
        <v>26</v>
      </c>
      <c r="Z65" t="s">
        <v>26</v>
      </c>
      <c r="AA65" t="s">
        <v>26</v>
      </c>
      <c r="AB65" t="s">
        <v>26</v>
      </c>
      <c r="AC65" t="s">
        <v>26</v>
      </c>
      <c r="AD65" t="s">
        <v>26</v>
      </c>
      <c r="AE65" t="s">
        <v>26</v>
      </c>
      <c r="AF65" t="s">
        <v>26</v>
      </c>
      <c r="AG65" t="s">
        <v>26</v>
      </c>
      <c r="AH65" t="s">
        <v>26</v>
      </c>
      <c r="AI65" t="s">
        <v>26</v>
      </c>
      <c r="AJ65" t="s">
        <v>26</v>
      </c>
      <c r="AK65" t="s">
        <v>26</v>
      </c>
      <c r="AL65" t="s">
        <v>26</v>
      </c>
      <c r="AM65" t="s">
        <v>26</v>
      </c>
      <c r="AN65" t="s">
        <v>26</v>
      </c>
      <c r="AO65" t="s">
        <v>26</v>
      </c>
      <c r="AP65" t="s">
        <v>26</v>
      </c>
      <c r="AQ65" t="s">
        <v>26</v>
      </c>
      <c r="AR65" t="s">
        <v>26</v>
      </c>
      <c r="AS65" t="s">
        <v>26</v>
      </c>
      <c r="AT65" t="s">
        <v>26</v>
      </c>
      <c r="AU65" t="s">
        <v>26</v>
      </c>
      <c r="AV65" t="s">
        <v>26</v>
      </c>
      <c r="AW65" t="s">
        <v>26</v>
      </c>
      <c r="AX65" t="s">
        <v>26</v>
      </c>
      <c r="AY65" t="s">
        <v>26</v>
      </c>
      <c r="AZ65" t="s">
        <v>26</v>
      </c>
      <c r="BA65" t="s">
        <v>26</v>
      </c>
      <c r="BB65" t="s">
        <v>26</v>
      </c>
      <c r="BC65" t="s">
        <v>26</v>
      </c>
      <c r="BD65" t="s">
        <v>26</v>
      </c>
      <c r="BE65" t="s">
        <v>26</v>
      </c>
      <c r="BF65" t="s">
        <v>26</v>
      </c>
      <c r="BG65" t="s">
        <v>26</v>
      </c>
      <c r="BH65" t="s">
        <v>26</v>
      </c>
      <c r="BI65" t="s">
        <v>26</v>
      </c>
      <c r="BJ65" t="s">
        <v>26</v>
      </c>
      <c r="BK65" t="s">
        <v>26</v>
      </c>
      <c r="BL65" t="s">
        <v>26</v>
      </c>
      <c r="BM65" t="s">
        <v>26</v>
      </c>
      <c r="BN65" t="s">
        <v>26</v>
      </c>
      <c r="BO65" t="s">
        <v>26</v>
      </c>
      <c r="BP65" t="s">
        <v>26</v>
      </c>
      <c r="BQ65" t="s">
        <v>26</v>
      </c>
      <c r="BR65" t="s">
        <v>26</v>
      </c>
      <c r="BS65" t="s">
        <v>26</v>
      </c>
      <c r="BT65" t="s">
        <v>26</v>
      </c>
      <c r="BU65" t="s">
        <v>26</v>
      </c>
      <c r="BV65" t="s">
        <v>26</v>
      </c>
      <c r="BW65" t="s">
        <v>26</v>
      </c>
      <c r="BX65" t="s">
        <v>26</v>
      </c>
      <c r="BY65" t="s">
        <v>26</v>
      </c>
      <c r="BZ65" t="s">
        <v>26</v>
      </c>
      <c r="CA65" t="s">
        <v>26</v>
      </c>
      <c r="CB65" t="s">
        <v>26</v>
      </c>
      <c r="CL65">
        <f t="shared" si="7"/>
        <v>1</v>
      </c>
      <c r="CM65" s="18">
        <f t="shared" si="8"/>
        <v>3.5</v>
      </c>
      <c r="CN65" t="str">
        <f t="shared" si="2"/>
        <v/>
      </c>
      <c r="CO65">
        <v>0</v>
      </c>
      <c r="CP65">
        <f t="shared" si="3"/>
        <v>0</v>
      </c>
      <c r="CQ65">
        <f t="shared" si="4"/>
        <v>0</v>
      </c>
      <c r="CR65" t="e">
        <f t="shared" si="5"/>
        <v>#DIV/0!</v>
      </c>
      <c r="CS65">
        <f t="shared" si="6"/>
        <v>0</v>
      </c>
    </row>
    <row r="66" spans="1:97" x14ac:dyDescent="0.35">
      <c r="A66" t="s">
        <v>389</v>
      </c>
      <c r="B66" t="s">
        <v>26</v>
      </c>
      <c r="C66" t="s">
        <v>26</v>
      </c>
      <c r="D66" t="s">
        <v>26</v>
      </c>
      <c r="E66" t="s">
        <v>26</v>
      </c>
      <c r="F66" t="s">
        <v>26</v>
      </c>
      <c r="G66" t="s">
        <v>26</v>
      </c>
      <c r="H66" t="s">
        <v>26</v>
      </c>
      <c r="I66" t="s">
        <v>26</v>
      </c>
      <c r="J66" t="s">
        <v>26</v>
      </c>
      <c r="K66" t="s">
        <v>26</v>
      </c>
      <c r="L66" t="s">
        <v>26</v>
      </c>
      <c r="M66" t="s">
        <v>26</v>
      </c>
      <c r="N66" t="s">
        <v>26</v>
      </c>
      <c r="O66" t="s">
        <v>26</v>
      </c>
      <c r="P66" t="s">
        <v>26</v>
      </c>
      <c r="Q66" t="s">
        <v>26</v>
      </c>
      <c r="R66" t="s">
        <v>26</v>
      </c>
      <c r="S66" t="s">
        <v>26</v>
      </c>
      <c r="T66" t="s">
        <v>26</v>
      </c>
      <c r="U66" t="s">
        <v>26</v>
      </c>
      <c r="V66" t="s">
        <v>26</v>
      </c>
      <c r="W66" t="s">
        <v>26</v>
      </c>
      <c r="X66" t="s">
        <v>26</v>
      </c>
      <c r="Y66" t="s">
        <v>26</v>
      </c>
      <c r="Z66">
        <v>3.5</v>
      </c>
      <c r="AA66" t="s">
        <v>26</v>
      </c>
      <c r="AB66" t="s">
        <v>26</v>
      </c>
      <c r="AC66" t="s">
        <v>26</v>
      </c>
      <c r="AD66" t="s">
        <v>26</v>
      </c>
      <c r="AE66" t="s">
        <v>26</v>
      </c>
      <c r="AF66" t="s">
        <v>26</v>
      </c>
      <c r="AG66" t="s">
        <v>26</v>
      </c>
      <c r="AH66" t="s">
        <v>26</v>
      </c>
      <c r="AI66" t="s">
        <v>26</v>
      </c>
      <c r="AJ66" t="s">
        <v>26</v>
      </c>
      <c r="AK66" t="s">
        <v>26</v>
      </c>
      <c r="AL66" t="s">
        <v>26</v>
      </c>
      <c r="AM66" t="s">
        <v>26</v>
      </c>
      <c r="AN66" t="s">
        <v>26</v>
      </c>
      <c r="AO66" t="s">
        <v>26</v>
      </c>
      <c r="AP66" t="s">
        <v>26</v>
      </c>
      <c r="AQ66" t="s">
        <v>26</v>
      </c>
      <c r="AR66" t="s">
        <v>26</v>
      </c>
      <c r="AS66" t="s">
        <v>26</v>
      </c>
      <c r="AT66" t="s">
        <v>26</v>
      </c>
      <c r="AU66" t="s">
        <v>26</v>
      </c>
      <c r="AV66" t="s">
        <v>26</v>
      </c>
      <c r="AW66" t="s">
        <v>26</v>
      </c>
      <c r="AX66" t="s">
        <v>26</v>
      </c>
      <c r="AY66" t="s">
        <v>26</v>
      </c>
      <c r="AZ66" t="s">
        <v>26</v>
      </c>
      <c r="BA66" t="s">
        <v>26</v>
      </c>
      <c r="BB66" t="s">
        <v>26</v>
      </c>
      <c r="BC66" t="s">
        <v>26</v>
      </c>
      <c r="BD66" t="s">
        <v>26</v>
      </c>
      <c r="BE66" t="s">
        <v>26</v>
      </c>
      <c r="BF66" t="s">
        <v>26</v>
      </c>
      <c r="BG66" t="s">
        <v>26</v>
      </c>
      <c r="BH66" t="s">
        <v>26</v>
      </c>
      <c r="BI66" t="s">
        <v>26</v>
      </c>
      <c r="BJ66" t="s">
        <v>26</v>
      </c>
      <c r="BK66" t="s">
        <v>26</v>
      </c>
      <c r="BL66" t="s">
        <v>26</v>
      </c>
      <c r="BM66" t="s">
        <v>26</v>
      </c>
      <c r="BN66" t="s">
        <v>26</v>
      </c>
      <c r="BO66" t="s">
        <v>26</v>
      </c>
      <c r="BP66" t="s">
        <v>26</v>
      </c>
      <c r="BQ66" t="s">
        <v>26</v>
      </c>
      <c r="BR66" t="s">
        <v>26</v>
      </c>
      <c r="BS66" t="s">
        <v>26</v>
      </c>
      <c r="BT66" t="s">
        <v>26</v>
      </c>
      <c r="BU66" t="s">
        <v>26</v>
      </c>
      <c r="BV66" t="s">
        <v>26</v>
      </c>
      <c r="BW66" t="s">
        <v>26</v>
      </c>
      <c r="BX66" t="s">
        <v>26</v>
      </c>
      <c r="BY66" t="s">
        <v>26</v>
      </c>
      <c r="BZ66" t="s">
        <v>26</v>
      </c>
      <c r="CA66" t="s">
        <v>26</v>
      </c>
      <c r="CB66" t="s">
        <v>26</v>
      </c>
      <c r="CH66">
        <v>5</v>
      </c>
      <c r="CL66">
        <f t="shared" si="7"/>
        <v>2</v>
      </c>
      <c r="CM66" s="18">
        <f t="shared" si="8"/>
        <v>4.25</v>
      </c>
      <c r="CN66" t="e">
        <f t="shared" si="2"/>
        <v>#DIV/0!</v>
      </c>
      <c r="CO66">
        <v>0</v>
      </c>
      <c r="CP66">
        <f t="shared" si="3"/>
        <v>1</v>
      </c>
      <c r="CQ66">
        <f t="shared" si="4"/>
        <v>1</v>
      </c>
      <c r="CR66" t="e">
        <f t="shared" si="5"/>
        <v>#DIV/0!</v>
      </c>
      <c r="CS66">
        <f t="shared" si="6"/>
        <v>0</v>
      </c>
    </row>
    <row r="67" spans="1:97" x14ac:dyDescent="0.35">
      <c r="A67" t="s">
        <v>83</v>
      </c>
      <c r="B67" t="s">
        <v>26</v>
      </c>
      <c r="C67" t="s">
        <v>26</v>
      </c>
      <c r="D67" t="s">
        <v>26</v>
      </c>
      <c r="E67" t="s">
        <v>26</v>
      </c>
      <c r="F67" t="s">
        <v>26</v>
      </c>
      <c r="G67" t="s">
        <v>26</v>
      </c>
      <c r="H67" t="s">
        <v>26</v>
      </c>
      <c r="I67" t="s">
        <v>26</v>
      </c>
      <c r="J67" t="s">
        <v>26</v>
      </c>
      <c r="K67" t="s">
        <v>26</v>
      </c>
      <c r="L67" t="s">
        <v>26</v>
      </c>
      <c r="M67" t="s">
        <v>26</v>
      </c>
      <c r="N67" t="s">
        <v>26</v>
      </c>
      <c r="O67" t="s">
        <v>26</v>
      </c>
      <c r="P67" t="s">
        <v>26</v>
      </c>
      <c r="Q67" t="s">
        <v>26</v>
      </c>
      <c r="R67" t="s">
        <v>26</v>
      </c>
      <c r="S67" t="s">
        <v>26</v>
      </c>
      <c r="T67" t="s">
        <v>26</v>
      </c>
      <c r="U67" t="s">
        <v>26</v>
      </c>
      <c r="V67" t="s">
        <v>26</v>
      </c>
      <c r="W67" t="s">
        <v>26</v>
      </c>
      <c r="X67" t="s">
        <v>26</v>
      </c>
      <c r="Y67" t="s">
        <v>26</v>
      </c>
      <c r="Z67" t="s">
        <v>26</v>
      </c>
      <c r="AA67" t="s">
        <v>26</v>
      </c>
      <c r="AB67">
        <v>3</v>
      </c>
      <c r="AC67" t="s">
        <v>26</v>
      </c>
      <c r="AD67" t="s">
        <v>26</v>
      </c>
      <c r="AE67" t="s">
        <v>26</v>
      </c>
      <c r="AF67" t="s">
        <v>26</v>
      </c>
      <c r="AG67" t="s">
        <v>26</v>
      </c>
      <c r="AH67" t="s">
        <v>26</v>
      </c>
      <c r="AI67" t="s">
        <v>26</v>
      </c>
      <c r="AJ67" t="s">
        <v>26</v>
      </c>
      <c r="AK67" t="s">
        <v>26</v>
      </c>
      <c r="AL67" t="s">
        <v>26</v>
      </c>
      <c r="AM67" t="s">
        <v>26</v>
      </c>
      <c r="AN67" t="s">
        <v>26</v>
      </c>
      <c r="AO67" t="s">
        <v>26</v>
      </c>
      <c r="AP67" t="s">
        <v>26</v>
      </c>
      <c r="AQ67" t="s">
        <v>26</v>
      </c>
      <c r="AR67" t="s">
        <v>26</v>
      </c>
      <c r="AS67" t="s">
        <v>26</v>
      </c>
      <c r="AT67" t="s">
        <v>26</v>
      </c>
      <c r="AU67" t="s">
        <v>26</v>
      </c>
      <c r="AV67" t="s">
        <v>26</v>
      </c>
      <c r="AW67" t="s">
        <v>26</v>
      </c>
      <c r="AX67" t="s">
        <v>26</v>
      </c>
      <c r="AY67" t="s">
        <v>26</v>
      </c>
      <c r="AZ67" t="s">
        <v>26</v>
      </c>
      <c r="BA67" t="s">
        <v>26</v>
      </c>
      <c r="BB67" t="s">
        <v>26</v>
      </c>
      <c r="BC67" t="s">
        <v>26</v>
      </c>
      <c r="BD67" t="s">
        <v>26</v>
      </c>
      <c r="BE67" t="s">
        <v>26</v>
      </c>
      <c r="BF67" t="s">
        <v>26</v>
      </c>
      <c r="BG67" t="s">
        <v>26</v>
      </c>
      <c r="BH67" t="s">
        <v>26</v>
      </c>
      <c r="BI67" t="s">
        <v>26</v>
      </c>
      <c r="BJ67" t="s">
        <v>26</v>
      </c>
      <c r="BK67" t="s">
        <v>26</v>
      </c>
      <c r="BL67" t="s">
        <v>26</v>
      </c>
      <c r="BM67" t="s">
        <v>26</v>
      </c>
      <c r="BN67" t="s">
        <v>26</v>
      </c>
      <c r="BO67" t="s">
        <v>26</v>
      </c>
      <c r="BP67" t="s">
        <v>26</v>
      </c>
      <c r="BQ67" t="s">
        <v>26</v>
      </c>
      <c r="BR67" t="s">
        <v>26</v>
      </c>
      <c r="BS67" t="s">
        <v>26</v>
      </c>
      <c r="BT67" t="s">
        <v>26</v>
      </c>
      <c r="BU67" t="s">
        <v>26</v>
      </c>
      <c r="BV67" t="s">
        <v>26</v>
      </c>
      <c r="BW67" t="s">
        <v>26</v>
      </c>
      <c r="BX67" t="s">
        <v>26</v>
      </c>
      <c r="BY67" t="s">
        <v>26</v>
      </c>
      <c r="BZ67" t="s">
        <v>26</v>
      </c>
      <c r="CA67" t="s">
        <v>26</v>
      </c>
      <c r="CB67" t="s">
        <v>26</v>
      </c>
      <c r="CL67">
        <f t="shared" ref="CL67:CL82" si="9">COUNT(B67:CI67)</f>
        <v>1</v>
      </c>
      <c r="CM67" s="18">
        <f t="shared" ref="CM67:CM82" si="10">AVERAGE(B67:CI67)</f>
        <v>3</v>
      </c>
      <c r="CN67" t="str">
        <f t="shared" ref="CN67:CN82" si="11">IF(CL67&gt;1,_xlfn.STDEV.S(B67:CF67),"")</f>
        <v/>
      </c>
      <c r="CO67">
        <v>0</v>
      </c>
      <c r="CP67">
        <f t="shared" ref="CP67:CP83" si="12">COUNT(CG67:CJ67)</f>
        <v>0</v>
      </c>
      <c r="CQ67">
        <f t="shared" ref="CQ67:CQ82" si="13">IF(CO67=0,CP67,0)</f>
        <v>0</v>
      </c>
      <c r="CR67" t="e">
        <f t="shared" ref="CR67:CR83" si="14">AVERAGE(AE67:CB67)</f>
        <v>#DIV/0!</v>
      </c>
      <c r="CS67">
        <f t="shared" ref="CS67:CS83" si="15">COUNT(AE67:CB67)</f>
        <v>0</v>
      </c>
    </row>
    <row r="68" spans="1:97" x14ac:dyDescent="0.35">
      <c r="A68" t="s">
        <v>345</v>
      </c>
      <c r="B68" t="s">
        <v>26</v>
      </c>
      <c r="C68" t="s">
        <v>26</v>
      </c>
      <c r="D68" t="s">
        <v>26</v>
      </c>
      <c r="E68" t="s">
        <v>26</v>
      </c>
      <c r="F68" t="s">
        <v>26</v>
      </c>
      <c r="G68" t="s">
        <v>26</v>
      </c>
      <c r="H68" t="s">
        <v>26</v>
      </c>
      <c r="I68" t="s">
        <v>26</v>
      </c>
      <c r="J68" t="s">
        <v>26</v>
      </c>
      <c r="K68" t="s">
        <v>26</v>
      </c>
      <c r="L68" t="s">
        <v>26</v>
      </c>
      <c r="M68" t="s">
        <v>26</v>
      </c>
      <c r="N68" t="s">
        <v>26</v>
      </c>
      <c r="O68" t="s">
        <v>26</v>
      </c>
      <c r="P68" t="s">
        <v>26</v>
      </c>
      <c r="Q68" t="s">
        <v>26</v>
      </c>
      <c r="R68" t="s">
        <v>26</v>
      </c>
      <c r="S68" t="s">
        <v>26</v>
      </c>
      <c r="T68" t="s">
        <v>26</v>
      </c>
      <c r="U68" t="s">
        <v>26</v>
      </c>
      <c r="V68" t="s">
        <v>26</v>
      </c>
      <c r="W68" t="s">
        <v>26</v>
      </c>
      <c r="X68" t="s">
        <v>26</v>
      </c>
      <c r="Y68" t="s">
        <v>26</v>
      </c>
      <c r="Z68" t="s">
        <v>26</v>
      </c>
      <c r="AA68" t="s">
        <v>26</v>
      </c>
      <c r="AB68" t="s">
        <v>26</v>
      </c>
      <c r="AC68" t="s">
        <v>26</v>
      </c>
      <c r="AD68" t="s">
        <v>26</v>
      </c>
      <c r="AE68" t="s">
        <v>26</v>
      </c>
      <c r="AF68" t="s">
        <v>26</v>
      </c>
      <c r="AG68" t="s">
        <v>26</v>
      </c>
      <c r="AH68" t="s">
        <v>26</v>
      </c>
      <c r="AI68" t="s">
        <v>26</v>
      </c>
      <c r="AJ68" t="s">
        <v>26</v>
      </c>
      <c r="AK68" t="s">
        <v>26</v>
      </c>
      <c r="AL68" t="s">
        <v>26</v>
      </c>
      <c r="AM68" t="s">
        <v>26</v>
      </c>
      <c r="AN68">
        <v>2.5</v>
      </c>
      <c r="AO68" t="s">
        <v>26</v>
      </c>
      <c r="AP68" t="s">
        <v>26</v>
      </c>
      <c r="AQ68" t="s">
        <v>26</v>
      </c>
      <c r="AR68" t="s">
        <v>26</v>
      </c>
      <c r="AS68" t="s">
        <v>26</v>
      </c>
      <c r="AT68" t="s">
        <v>26</v>
      </c>
      <c r="AU68" t="s">
        <v>26</v>
      </c>
      <c r="AV68" t="s">
        <v>26</v>
      </c>
      <c r="AW68" t="s">
        <v>26</v>
      </c>
      <c r="AX68" t="s">
        <v>26</v>
      </c>
      <c r="AY68" t="s">
        <v>26</v>
      </c>
      <c r="AZ68" t="s">
        <v>26</v>
      </c>
      <c r="BA68" t="s">
        <v>26</v>
      </c>
      <c r="BB68" t="s">
        <v>26</v>
      </c>
      <c r="BC68" t="s">
        <v>26</v>
      </c>
      <c r="BD68" t="s">
        <v>26</v>
      </c>
      <c r="BE68" t="s">
        <v>26</v>
      </c>
      <c r="BF68" t="s">
        <v>26</v>
      </c>
      <c r="BG68" t="s">
        <v>26</v>
      </c>
      <c r="BH68" t="s">
        <v>26</v>
      </c>
      <c r="BI68" t="s">
        <v>26</v>
      </c>
      <c r="BJ68" t="s">
        <v>26</v>
      </c>
      <c r="BK68" t="s">
        <v>26</v>
      </c>
      <c r="BL68" t="s">
        <v>26</v>
      </c>
      <c r="BM68" t="s">
        <v>26</v>
      </c>
      <c r="BN68" t="s">
        <v>26</v>
      </c>
      <c r="BO68" t="s">
        <v>26</v>
      </c>
      <c r="BP68" t="s">
        <v>26</v>
      </c>
      <c r="BQ68" t="s">
        <v>26</v>
      </c>
      <c r="BR68" t="s">
        <v>26</v>
      </c>
      <c r="BS68" t="s">
        <v>26</v>
      </c>
      <c r="BT68" t="s">
        <v>26</v>
      </c>
      <c r="BU68" t="s">
        <v>26</v>
      </c>
      <c r="BV68" t="s">
        <v>26</v>
      </c>
      <c r="BW68" t="s">
        <v>26</v>
      </c>
      <c r="BX68" t="s">
        <v>26</v>
      </c>
      <c r="BY68" t="s">
        <v>26</v>
      </c>
      <c r="BZ68" t="s">
        <v>26</v>
      </c>
      <c r="CA68" t="s">
        <v>26</v>
      </c>
      <c r="CB68" t="s">
        <v>26</v>
      </c>
      <c r="CI68">
        <v>6</v>
      </c>
      <c r="CJ68">
        <v>4</v>
      </c>
      <c r="CL68">
        <f t="shared" si="9"/>
        <v>2</v>
      </c>
      <c r="CM68" s="18">
        <f t="shared" si="10"/>
        <v>4.25</v>
      </c>
      <c r="CN68" t="e">
        <f t="shared" si="11"/>
        <v>#DIV/0!</v>
      </c>
      <c r="CO68">
        <v>0</v>
      </c>
      <c r="CP68">
        <f t="shared" si="12"/>
        <v>2</v>
      </c>
      <c r="CQ68">
        <f t="shared" si="13"/>
        <v>2</v>
      </c>
      <c r="CR68">
        <f t="shared" si="14"/>
        <v>2.5</v>
      </c>
      <c r="CS68">
        <f t="shared" si="15"/>
        <v>1</v>
      </c>
    </row>
    <row r="69" spans="1:97" x14ac:dyDescent="0.35">
      <c r="A69" t="s">
        <v>347</v>
      </c>
      <c r="B69" t="s">
        <v>26</v>
      </c>
      <c r="C69" t="s">
        <v>26</v>
      </c>
      <c r="D69" t="s">
        <v>26</v>
      </c>
      <c r="E69" t="s">
        <v>26</v>
      </c>
      <c r="F69" t="s">
        <v>26</v>
      </c>
      <c r="G69" t="s">
        <v>26</v>
      </c>
      <c r="H69" t="s">
        <v>26</v>
      </c>
      <c r="I69" t="s">
        <v>26</v>
      </c>
      <c r="J69" t="s">
        <v>26</v>
      </c>
      <c r="K69" t="s">
        <v>26</v>
      </c>
      <c r="L69" t="s">
        <v>26</v>
      </c>
      <c r="M69" t="s">
        <v>26</v>
      </c>
      <c r="N69" t="s">
        <v>26</v>
      </c>
      <c r="O69" t="s">
        <v>26</v>
      </c>
      <c r="P69" t="s">
        <v>26</v>
      </c>
      <c r="Q69" t="s">
        <v>26</v>
      </c>
      <c r="R69" t="s">
        <v>26</v>
      </c>
      <c r="S69" t="s">
        <v>26</v>
      </c>
      <c r="T69" t="s">
        <v>26</v>
      </c>
      <c r="U69" t="s">
        <v>26</v>
      </c>
      <c r="V69" t="s">
        <v>26</v>
      </c>
      <c r="W69" t="s">
        <v>26</v>
      </c>
      <c r="X69" t="s">
        <v>26</v>
      </c>
      <c r="Y69" t="s">
        <v>26</v>
      </c>
      <c r="Z69" t="s">
        <v>26</v>
      </c>
      <c r="AA69" t="s">
        <v>26</v>
      </c>
      <c r="AB69" t="s">
        <v>26</v>
      </c>
      <c r="AC69" t="s">
        <v>26</v>
      </c>
      <c r="AD69" t="s">
        <v>26</v>
      </c>
      <c r="AE69" t="s">
        <v>26</v>
      </c>
      <c r="AF69" t="s">
        <v>26</v>
      </c>
      <c r="AG69" t="s">
        <v>26</v>
      </c>
      <c r="AH69" t="s">
        <v>26</v>
      </c>
      <c r="AI69" t="s">
        <v>26</v>
      </c>
      <c r="AJ69" t="s">
        <v>26</v>
      </c>
      <c r="AK69" t="s">
        <v>26</v>
      </c>
      <c r="AL69" t="s">
        <v>26</v>
      </c>
      <c r="AM69" t="s">
        <v>26</v>
      </c>
      <c r="AN69" t="s">
        <v>26</v>
      </c>
      <c r="AO69" t="s">
        <v>26</v>
      </c>
      <c r="AP69">
        <v>6.5</v>
      </c>
      <c r="AQ69" t="s">
        <v>26</v>
      </c>
      <c r="AR69" t="s">
        <v>26</v>
      </c>
      <c r="AS69" t="s">
        <v>26</v>
      </c>
      <c r="AT69" t="s">
        <v>26</v>
      </c>
      <c r="AU69" t="s">
        <v>26</v>
      </c>
      <c r="AV69" t="s">
        <v>26</v>
      </c>
      <c r="AW69" t="s">
        <v>26</v>
      </c>
      <c r="AX69" t="s">
        <v>26</v>
      </c>
      <c r="AY69" t="s">
        <v>26</v>
      </c>
      <c r="AZ69" t="s">
        <v>26</v>
      </c>
      <c r="BA69" t="s">
        <v>26</v>
      </c>
      <c r="BB69" t="s">
        <v>26</v>
      </c>
      <c r="BC69" t="s">
        <v>26</v>
      </c>
      <c r="BD69" t="s">
        <v>26</v>
      </c>
      <c r="BE69" t="s">
        <v>26</v>
      </c>
      <c r="BF69" t="s">
        <v>26</v>
      </c>
      <c r="BG69" t="s">
        <v>26</v>
      </c>
      <c r="BH69" t="s">
        <v>26</v>
      </c>
      <c r="BI69" t="s">
        <v>26</v>
      </c>
      <c r="BJ69" t="s">
        <v>26</v>
      </c>
      <c r="BK69" t="s">
        <v>26</v>
      </c>
      <c r="BL69" t="s">
        <v>26</v>
      </c>
      <c r="BM69" t="s">
        <v>26</v>
      </c>
      <c r="BN69" t="s">
        <v>26</v>
      </c>
      <c r="BO69" t="s">
        <v>26</v>
      </c>
      <c r="BP69" t="s">
        <v>26</v>
      </c>
      <c r="BQ69" t="s">
        <v>26</v>
      </c>
      <c r="BR69" t="s">
        <v>26</v>
      </c>
      <c r="BS69" t="s">
        <v>26</v>
      </c>
      <c r="BT69" t="s">
        <v>26</v>
      </c>
      <c r="BU69" t="s">
        <v>26</v>
      </c>
      <c r="BV69" t="s">
        <v>26</v>
      </c>
      <c r="BW69" t="s">
        <v>26</v>
      </c>
      <c r="BX69" t="s">
        <v>26</v>
      </c>
      <c r="BY69" t="s">
        <v>26</v>
      </c>
      <c r="BZ69" t="s">
        <v>26</v>
      </c>
      <c r="CA69" t="s">
        <v>26</v>
      </c>
      <c r="CB69" t="s">
        <v>26</v>
      </c>
      <c r="CL69">
        <f t="shared" si="9"/>
        <v>1</v>
      </c>
      <c r="CM69" s="18">
        <f t="shared" si="10"/>
        <v>6.5</v>
      </c>
      <c r="CN69" t="str">
        <f t="shared" si="11"/>
        <v/>
      </c>
      <c r="CO69">
        <v>0</v>
      </c>
      <c r="CP69">
        <f t="shared" si="12"/>
        <v>0</v>
      </c>
      <c r="CQ69">
        <f t="shared" si="13"/>
        <v>0</v>
      </c>
      <c r="CR69">
        <f t="shared" si="14"/>
        <v>6.5</v>
      </c>
      <c r="CS69">
        <f t="shared" si="15"/>
        <v>1</v>
      </c>
    </row>
    <row r="70" spans="1:97" x14ac:dyDescent="0.35">
      <c r="A70" t="s">
        <v>350</v>
      </c>
      <c r="B70" t="s">
        <v>26</v>
      </c>
      <c r="C70" t="s">
        <v>26</v>
      </c>
      <c r="D70" t="s">
        <v>26</v>
      </c>
      <c r="E70" t="s">
        <v>26</v>
      </c>
      <c r="F70" t="s">
        <v>26</v>
      </c>
      <c r="G70" t="s">
        <v>26</v>
      </c>
      <c r="H70" t="s">
        <v>26</v>
      </c>
      <c r="I70" t="s">
        <v>26</v>
      </c>
      <c r="J70" t="s">
        <v>26</v>
      </c>
      <c r="K70" t="s">
        <v>26</v>
      </c>
      <c r="L70" t="s">
        <v>26</v>
      </c>
      <c r="M70" t="s">
        <v>26</v>
      </c>
      <c r="N70" t="s">
        <v>26</v>
      </c>
      <c r="O70" t="s">
        <v>26</v>
      </c>
      <c r="P70" t="s">
        <v>26</v>
      </c>
      <c r="Q70" t="s">
        <v>26</v>
      </c>
      <c r="R70" t="s">
        <v>26</v>
      </c>
      <c r="S70" t="s">
        <v>26</v>
      </c>
      <c r="T70" t="s">
        <v>26</v>
      </c>
      <c r="U70" t="s">
        <v>26</v>
      </c>
      <c r="V70" t="s">
        <v>26</v>
      </c>
      <c r="W70" t="s">
        <v>26</v>
      </c>
      <c r="X70" t="s">
        <v>26</v>
      </c>
      <c r="Y70" t="s">
        <v>26</v>
      </c>
      <c r="Z70" t="s">
        <v>26</v>
      </c>
      <c r="AA70" t="s">
        <v>26</v>
      </c>
      <c r="AB70" t="s">
        <v>26</v>
      </c>
      <c r="AC70" t="s">
        <v>26</v>
      </c>
      <c r="AD70" t="s">
        <v>26</v>
      </c>
      <c r="AE70" t="s">
        <v>26</v>
      </c>
      <c r="AF70" t="s">
        <v>26</v>
      </c>
      <c r="AG70" t="s">
        <v>26</v>
      </c>
      <c r="AH70" t="s">
        <v>26</v>
      </c>
      <c r="AI70" t="s">
        <v>26</v>
      </c>
      <c r="AJ70" t="s">
        <v>26</v>
      </c>
      <c r="AK70" t="s">
        <v>26</v>
      </c>
      <c r="AL70" t="s">
        <v>26</v>
      </c>
      <c r="AM70" t="s">
        <v>26</v>
      </c>
      <c r="AN70" t="s">
        <v>26</v>
      </c>
      <c r="AO70" t="s">
        <v>26</v>
      </c>
      <c r="AP70" t="s">
        <v>26</v>
      </c>
      <c r="AQ70" t="s">
        <v>26</v>
      </c>
      <c r="AR70">
        <v>4</v>
      </c>
      <c r="AS70" t="s">
        <v>26</v>
      </c>
      <c r="AT70" t="s">
        <v>26</v>
      </c>
      <c r="AU70" t="s">
        <v>26</v>
      </c>
      <c r="AV70" t="s">
        <v>26</v>
      </c>
      <c r="AW70" t="s">
        <v>26</v>
      </c>
      <c r="AX70" t="s">
        <v>26</v>
      </c>
      <c r="AY70" t="s">
        <v>26</v>
      </c>
      <c r="AZ70" t="s">
        <v>26</v>
      </c>
      <c r="BA70" t="s">
        <v>26</v>
      </c>
      <c r="BB70" t="s">
        <v>26</v>
      </c>
      <c r="BC70" t="s">
        <v>26</v>
      </c>
      <c r="BD70" t="s">
        <v>26</v>
      </c>
      <c r="BE70" t="s">
        <v>26</v>
      </c>
      <c r="BF70" t="s">
        <v>26</v>
      </c>
      <c r="BG70" t="s">
        <v>26</v>
      </c>
      <c r="BH70" t="s">
        <v>26</v>
      </c>
      <c r="BI70" t="s">
        <v>26</v>
      </c>
      <c r="BJ70" t="s">
        <v>26</v>
      </c>
      <c r="BK70" t="s">
        <v>26</v>
      </c>
      <c r="BL70" t="s">
        <v>26</v>
      </c>
      <c r="BM70" t="s">
        <v>26</v>
      </c>
      <c r="BN70" t="s">
        <v>26</v>
      </c>
      <c r="BO70" t="s">
        <v>26</v>
      </c>
      <c r="BP70" t="s">
        <v>26</v>
      </c>
      <c r="BQ70" t="s">
        <v>26</v>
      </c>
      <c r="BR70" t="s">
        <v>26</v>
      </c>
      <c r="BS70" t="s">
        <v>26</v>
      </c>
      <c r="BT70" t="s">
        <v>26</v>
      </c>
      <c r="BU70" t="s">
        <v>26</v>
      </c>
      <c r="BV70" t="s">
        <v>26</v>
      </c>
      <c r="BW70" t="s">
        <v>26</v>
      </c>
      <c r="BX70" t="s">
        <v>26</v>
      </c>
      <c r="BY70" t="s">
        <v>26</v>
      </c>
      <c r="BZ70" t="s">
        <v>26</v>
      </c>
      <c r="CA70" t="s">
        <v>26</v>
      </c>
      <c r="CB70" t="s">
        <v>26</v>
      </c>
      <c r="CL70">
        <f t="shared" si="9"/>
        <v>1</v>
      </c>
      <c r="CM70" s="18">
        <f t="shared" si="10"/>
        <v>4</v>
      </c>
      <c r="CN70" t="str">
        <f t="shared" si="11"/>
        <v/>
      </c>
      <c r="CO70">
        <v>0</v>
      </c>
      <c r="CP70">
        <f t="shared" si="12"/>
        <v>0</v>
      </c>
      <c r="CQ70">
        <f t="shared" si="13"/>
        <v>0</v>
      </c>
      <c r="CR70">
        <f t="shared" si="14"/>
        <v>4</v>
      </c>
      <c r="CS70">
        <f t="shared" si="15"/>
        <v>1</v>
      </c>
    </row>
    <row r="71" spans="1:97" x14ac:dyDescent="0.35">
      <c r="A71" t="s">
        <v>351</v>
      </c>
      <c r="B71" t="s">
        <v>26</v>
      </c>
      <c r="C71" t="s">
        <v>26</v>
      </c>
      <c r="D71" t="s">
        <v>26</v>
      </c>
      <c r="E71" t="s">
        <v>26</v>
      </c>
      <c r="F71" t="s">
        <v>26</v>
      </c>
      <c r="G71" t="s">
        <v>26</v>
      </c>
      <c r="H71" t="s">
        <v>26</v>
      </c>
      <c r="I71" t="s">
        <v>26</v>
      </c>
      <c r="J71" t="s">
        <v>26</v>
      </c>
      <c r="K71" t="s">
        <v>26</v>
      </c>
      <c r="L71" t="s">
        <v>26</v>
      </c>
      <c r="M71" t="s">
        <v>26</v>
      </c>
      <c r="N71" t="s">
        <v>26</v>
      </c>
      <c r="O71" t="s">
        <v>26</v>
      </c>
      <c r="P71" t="s">
        <v>26</v>
      </c>
      <c r="Q71" t="s">
        <v>26</v>
      </c>
      <c r="R71" t="s">
        <v>26</v>
      </c>
      <c r="S71" t="s">
        <v>26</v>
      </c>
      <c r="T71" t="s">
        <v>26</v>
      </c>
      <c r="U71" t="s">
        <v>26</v>
      </c>
      <c r="V71" t="s">
        <v>26</v>
      </c>
      <c r="W71" t="s">
        <v>26</v>
      </c>
      <c r="X71" t="s">
        <v>26</v>
      </c>
      <c r="Y71" t="s">
        <v>26</v>
      </c>
      <c r="Z71" t="s">
        <v>26</v>
      </c>
      <c r="AA71" t="s">
        <v>26</v>
      </c>
      <c r="AB71" t="s">
        <v>26</v>
      </c>
      <c r="AC71" t="s">
        <v>26</v>
      </c>
      <c r="AD71" t="s">
        <v>26</v>
      </c>
      <c r="AE71" t="s">
        <v>26</v>
      </c>
      <c r="AF71" t="s">
        <v>26</v>
      </c>
      <c r="AG71" t="s">
        <v>26</v>
      </c>
      <c r="AH71" t="s">
        <v>26</v>
      </c>
      <c r="AI71" t="s">
        <v>26</v>
      </c>
      <c r="AJ71" t="s">
        <v>26</v>
      </c>
      <c r="AK71" t="s">
        <v>26</v>
      </c>
      <c r="AL71" t="s">
        <v>26</v>
      </c>
      <c r="AM71" t="s">
        <v>26</v>
      </c>
      <c r="AN71" t="s">
        <v>26</v>
      </c>
      <c r="AO71" t="s">
        <v>26</v>
      </c>
      <c r="AP71" t="s">
        <v>26</v>
      </c>
      <c r="AQ71" t="s">
        <v>26</v>
      </c>
      <c r="AR71" t="s">
        <v>26</v>
      </c>
      <c r="AS71">
        <v>6.5</v>
      </c>
      <c r="AT71" t="s">
        <v>26</v>
      </c>
      <c r="AU71" t="s">
        <v>26</v>
      </c>
      <c r="AV71" t="s">
        <v>26</v>
      </c>
      <c r="AW71" t="s">
        <v>26</v>
      </c>
      <c r="AX71" t="s">
        <v>26</v>
      </c>
      <c r="AY71" t="s">
        <v>26</v>
      </c>
      <c r="AZ71" t="s">
        <v>26</v>
      </c>
      <c r="BA71" t="s">
        <v>26</v>
      </c>
      <c r="BB71" t="s">
        <v>26</v>
      </c>
      <c r="BC71" t="s">
        <v>26</v>
      </c>
      <c r="BD71" t="s">
        <v>26</v>
      </c>
      <c r="BE71" t="s">
        <v>26</v>
      </c>
      <c r="BF71" t="s">
        <v>26</v>
      </c>
      <c r="BG71" t="s">
        <v>26</v>
      </c>
      <c r="BH71" t="s">
        <v>26</v>
      </c>
      <c r="BI71" t="s">
        <v>26</v>
      </c>
      <c r="BJ71" t="s">
        <v>26</v>
      </c>
      <c r="BK71" t="s">
        <v>26</v>
      </c>
      <c r="BL71" t="s">
        <v>26</v>
      </c>
      <c r="BM71" t="s">
        <v>26</v>
      </c>
      <c r="BN71" t="s">
        <v>26</v>
      </c>
      <c r="BO71" t="s">
        <v>26</v>
      </c>
      <c r="BP71" t="s">
        <v>26</v>
      </c>
      <c r="BQ71" t="s">
        <v>26</v>
      </c>
      <c r="BR71" t="s">
        <v>26</v>
      </c>
      <c r="BS71" t="s">
        <v>26</v>
      </c>
      <c r="BT71" t="s">
        <v>26</v>
      </c>
      <c r="BU71" t="s">
        <v>26</v>
      </c>
      <c r="BV71" t="s">
        <v>26</v>
      </c>
      <c r="BW71" t="s">
        <v>26</v>
      </c>
      <c r="BX71" t="s">
        <v>26</v>
      </c>
      <c r="BY71" t="s">
        <v>26</v>
      </c>
      <c r="BZ71" t="s">
        <v>26</v>
      </c>
      <c r="CA71" t="s">
        <v>26</v>
      </c>
      <c r="CB71" t="s">
        <v>26</v>
      </c>
      <c r="CL71">
        <f t="shared" si="9"/>
        <v>1</v>
      </c>
      <c r="CM71" s="18">
        <f t="shared" si="10"/>
        <v>6.5</v>
      </c>
      <c r="CN71" t="str">
        <f t="shared" si="11"/>
        <v/>
      </c>
      <c r="CO71">
        <v>0</v>
      </c>
      <c r="CP71">
        <f t="shared" si="12"/>
        <v>0</v>
      </c>
      <c r="CQ71">
        <f t="shared" si="13"/>
        <v>0</v>
      </c>
      <c r="CR71">
        <f t="shared" si="14"/>
        <v>6.5</v>
      </c>
      <c r="CS71">
        <f t="shared" si="15"/>
        <v>1</v>
      </c>
    </row>
    <row r="72" spans="1:97" x14ac:dyDescent="0.35">
      <c r="A72" t="s">
        <v>352</v>
      </c>
      <c r="B72" t="s">
        <v>26</v>
      </c>
      <c r="C72" t="s">
        <v>26</v>
      </c>
      <c r="D72" t="s">
        <v>26</v>
      </c>
      <c r="E72" t="s">
        <v>26</v>
      </c>
      <c r="F72" t="s">
        <v>26</v>
      </c>
      <c r="G72" t="s">
        <v>26</v>
      </c>
      <c r="H72" t="s">
        <v>26</v>
      </c>
      <c r="I72" t="s">
        <v>26</v>
      </c>
      <c r="J72" t="s">
        <v>26</v>
      </c>
      <c r="K72" t="s">
        <v>26</v>
      </c>
      <c r="L72" t="s">
        <v>26</v>
      </c>
      <c r="M72" t="s">
        <v>26</v>
      </c>
      <c r="N72" t="s">
        <v>26</v>
      </c>
      <c r="O72" t="s">
        <v>26</v>
      </c>
      <c r="P72" t="s">
        <v>26</v>
      </c>
      <c r="Q72" t="s">
        <v>26</v>
      </c>
      <c r="R72" t="s">
        <v>26</v>
      </c>
      <c r="S72" t="s">
        <v>26</v>
      </c>
      <c r="T72" t="s">
        <v>26</v>
      </c>
      <c r="U72" t="s">
        <v>26</v>
      </c>
      <c r="V72" t="s">
        <v>26</v>
      </c>
      <c r="W72" t="s">
        <v>26</v>
      </c>
      <c r="X72" t="s">
        <v>26</v>
      </c>
      <c r="Y72" t="s">
        <v>26</v>
      </c>
      <c r="Z72" t="s">
        <v>26</v>
      </c>
      <c r="AA72" t="s">
        <v>26</v>
      </c>
      <c r="AB72" t="s">
        <v>26</v>
      </c>
      <c r="AC72" t="s">
        <v>26</v>
      </c>
      <c r="AD72" t="s">
        <v>26</v>
      </c>
      <c r="AE72" t="s">
        <v>26</v>
      </c>
      <c r="AF72" t="s">
        <v>26</v>
      </c>
      <c r="AG72" t="s">
        <v>26</v>
      </c>
      <c r="AH72" t="s">
        <v>26</v>
      </c>
      <c r="AI72" t="s">
        <v>26</v>
      </c>
      <c r="AJ72" t="s">
        <v>26</v>
      </c>
      <c r="AK72" t="s">
        <v>26</v>
      </c>
      <c r="AL72" t="s">
        <v>26</v>
      </c>
      <c r="AM72" t="s">
        <v>26</v>
      </c>
      <c r="AN72" t="s">
        <v>26</v>
      </c>
      <c r="AO72" t="s">
        <v>26</v>
      </c>
      <c r="AP72" t="s">
        <v>26</v>
      </c>
      <c r="AQ72" t="s">
        <v>26</v>
      </c>
      <c r="AR72" t="s">
        <v>26</v>
      </c>
      <c r="AS72">
        <v>5</v>
      </c>
      <c r="AT72" t="s">
        <v>26</v>
      </c>
      <c r="AU72" t="s">
        <v>26</v>
      </c>
      <c r="AV72" t="s">
        <v>26</v>
      </c>
      <c r="AW72" t="s">
        <v>26</v>
      </c>
      <c r="AX72" t="s">
        <v>26</v>
      </c>
      <c r="AY72" t="s">
        <v>26</v>
      </c>
      <c r="AZ72" t="s">
        <v>26</v>
      </c>
      <c r="BA72" t="s">
        <v>26</v>
      </c>
      <c r="BB72" t="s">
        <v>26</v>
      </c>
      <c r="BC72" t="s">
        <v>26</v>
      </c>
      <c r="BD72" t="s">
        <v>26</v>
      </c>
      <c r="BE72" t="s">
        <v>26</v>
      </c>
      <c r="BF72" t="s">
        <v>26</v>
      </c>
      <c r="BG72" t="s">
        <v>26</v>
      </c>
      <c r="BH72" t="s">
        <v>26</v>
      </c>
      <c r="BI72" t="s">
        <v>26</v>
      </c>
      <c r="BJ72" t="s">
        <v>26</v>
      </c>
      <c r="BK72" t="s">
        <v>26</v>
      </c>
      <c r="BL72" t="s">
        <v>26</v>
      </c>
      <c r="BM72" t="s">
        <v>26</v>
      </c>
      <c r="BN72" t="s">
        <v>26</v>
      </c>
      <c r="BO72" t="s">
        <v>26</v>
      </c>
      <c r="BP72" t="s">
        <v>26</v>
      </c>
      <c r="BQ72" t="s">
        <v>26</v>
      </c>
      <c r="BR72" t="s">
        <v>26</v>
      </c>
      <c r="BS72" t="s">
        <v>26</v>
      </c>
      <c r="BT72" t="s">
        <v>26</v>
      </c>
      <c r="BU72" t="s">
        <v>26</v>
      </c>
      <c r="BV72" t="s">
        <v>26</v>
      </c>
      <c r="BW72" t="s">
        <v>26</v>
      </c>
      <c r="BX72" t="s">
        <v>26</v>
      </c>
      <c r="BY72" t="s">
        <v>26</v>
      </c>
      <c r="BZ72" t="s">
        <v>26</v>
      </c>
      <c r="CA72" t="s">
        <v>26</v>
      </c>
      <c r="CB72" t="s">
        <v>26</v>
      </c>
      <c r="CL72">
        <f t="shared" si="9"/>
        <v>1</v>
      </c>
      <c r="CM72" s="18">
        <f t="shared" si="10"/>
        <v>5</v>
      </c>
      <c r="CN72" t="str">
        <f t="shared" si="11"/>
        <v/>
      </c>
      <c r="CO72">
        <v>0</v>
      </c>
      <c r="CP72">
        <f t="shared" si="12"/>
        <v>0</v>
      </c>
      <c r="CQ72">
        <f t="shared" si="13"/>
        <v>0</v>
      </c>
      <c r="CR72">
        <f t="shared" si="14"/>
        <v>5</v>
      </c>
      <c r="CS72">
        <f t="shared" si="15"/>
        <v>1</v>
      </c>
    </row>
    <row r="73" spans="1:97" x14ac:dyDescent="0.35">
      <c r="A73" t="s">
        <v>354</v>
      </c>
      <c r="B73" t="s">
        <v>26</v>
      </c>
      <c r="C73" t="s">
        <v>26</v>
      </c>
      <c r="D73" t="s">
        <v>26</v>
      </c>
      <c r="E73" t="s">
        <v>26</v>
      </c>
      <c r="F73" t="s">
        <v>26</v>
      </c>
      <c r="G73" t="s">
        <v>26</v>
      </c>
      <c r="H73" t="s">
        <v>26</v>
      </c>
      <c r="I73" t="s">
        <v>26</v>
      </c>
      <c r="J73" t="s">
        <v>26</v>
      </c>
      <c r="K73" t="s">
        <v>26</v>
      </c>
      <c r="L73" t="s">
        <v>26</v>
      </c>
      <c r="M73" t="s">
        <v>26</v>
      </c>
      <c r="N73" t="s">
        <v>26</v>
      </c>
      <c r="O73" t="s">
        <v>26</v>
      </c>
      <c r="P73" t="s">
        <v>26</v>
      </c>
      <c r="Q73" t="s">
        <v>26</v>
      </c>
      <c r="R73" t="s">
        <v>26</v>
      </c>
      <c r="S73" t="s">
        <v>26</v>
      </c>
      <c r="T73" t="s">
        <v>26</v>
      </c>
      <c r="U73" t="s">
        <v>26</v>
      </c>
      <c r="V73" t="s">
        <v>26</v>
      </c>
      <c r="W73" t="s">
        <v>26</v>
      </c>
      <c r="X73" t="s">
        <v>26</v>
      </c>
      <c r="Y73" t="s">
        <v>26</v>
      </c>
      <c r="Z73" t="s">
        <v>26</v>
      </c>
      <c r="AA73" t="s">
        <v>26</v>
      </c>
      <c r="AB73" t="s">
        <v>26</v>
      </c>
      <c r="AC73" t="s">
        <v>26</v>
      </c>
      <c r="AD73" t="s">
        <v>26</v>
      </c>
      <c r="AE73" t="s">
        <v>26</v>
      </c>
      <c r="AF73" t="s">
        <v>26</v>
      </c>
      <c r="AG73" t="s">
        <v>26</v>
      </c>
      <c r="AH73" t="s">
        <v>26</v>
      </c>
      <c r="AI73" t="s">
        <v>26</v>
      </c>
      <c r="AJ73" t="s">
        <v>26</v>
      </c>
      <c r="AK73" t="s">
        <v>26</v>
      </c>
      <c r="AL73" t="s">
        <v>26</v>
      </c>
      <c r="AM73" t="s">
        <v>26</v>
      </c>
      <c r="AN73" t="s">
        <v>26</v>
      </c>
      <c r="AO73" t="s">
        <v>26</v>
      </c>
      <c r="AP73" t="s">
        <v>26</v>
      </c>
      <c r="AQ73" t="s">
        <v>26</v>
      </c>
      <c r="AR73" t="s">
        <v>26</v>
      </c>
      <c r="AS73" t="s">
        <v>26</v>
      </c>
      <c r="AT73" t="s">
        <v>26</v>
      </c>
      <c r="AU73">
        <v>5.5</v>
      </c>
      <c r="AV73" t="s">
        <v>26</v>
      </c>
      <c r="AW73" t="s">
        <v>26</v>
      </c>
      <c r="AX73" t="s">
        <v>26</v>
      </c>
      <c r="AY73" t="s">
        <v>26</v>
      </c>
      <c r="AZ73" t="s">
        <v>26</v>
      </c>
      <c r="BA73" t="s">
        <v>26</v>
      </c>
      <c r="BB73" t="s">
        <v>26</v>
      </c>
      <c r="BC73" t="s">
        <v>26</v>
      </c>
      <c r="BD73" t="s">
        <v>26</v>
      </c>
      <c r="BE73" t="s">
        <v>26</v>
      </c>
      <c r="BF73" t="s">
        <v>26</v>
      </c>
      <c r="BG73" t="s">
        <v>26</v>
      </c>
      <c r="BH73" t="s">
        <v>26</v>
      </c>
      <c r="BI73" t="s">
        <v>26</v>
      </c>
      <c r="BJ73" t="s">
        <v>26</v>
      </c>
      <c r="BK73" t="s">
        <v>26</v>
      </c>
      <c r="BL73" t="s">
        <v>26</v>
      </c>
      <c r="BM73" t="s">
        <v>26</v>
      </c>
      <c r="BN73" t="s">
        <v>26</v>
      </c>
      <c r="BO73" t="s">
        <v>26</v>
      </c>
      <c r="BP73" t="s">
        <v>26</v>
      </c>
      <c r="BQ73" t="s">
        <v>26</v>
      </c>
      <c r="BR73" t="s">
        <v>26</v>
      </c>
      <c r="BS73" t="s">
        <v>26</v>
      </c>
      <c r="BT73" t="s">
        <v>26</v>
      </c>
      <c r="BU73" t="s">
        <v>26</v>
      </c>
      <c r="BV73" t="s">
        <v>26</v>
      </c>
      <c r="BW73" t="s">
        <v>26</v>
      </c>
      <c r="BX73" t="s">
        <v>26</v>
      </c>
      <c r="BY73" t="s">
        <v>26</v>
      </c>
      <c r="BZ73" t="s">
        <v>26</v>
      </c>
      <c r="CA73" t="s">
        <v>26</v>
      </c>
      <c r="CB73" t="s">
        <v>26</v>
      </c>
      <c r="CL73">
        <f t="shared" si="9"/>
        <v>1</v>
      </c>
      <c r="CM73" s="18">
        <f t="shared" si="10"/>
        <v>5.5</v>
      </c>
      <c r="CN73" t="str">
        <f t="shared" si="11"/>
        <v/>
      </c>
      <c r="CO73">
        <v>0</v>
      </c>
      <c r="CP73">
        <f t="shared" si="12"/>
        <v>0</v>
      </c>
      <c r="CQ73">
        <f t="shared" si="13"/>
        <v>0</v>
      </c>
      <c r="CR73">
        <f t="shared" si="14"/>
        <v>5.5</v>
      </c>
      <c r="CS73">
        <f t="shared" si="15"/>
        <v>1</v>
      </c>
    </row>
    <row r="74" spans="1:97" x14ac:dyDescent="0.35">
      <c r="A74" t="s">
        <v>365</v>
      </c>
      <c r="B74" t="s">
        <v>26</v>
      </c>
      <c r="C74" t="s">
        <v>26</v>
      </c>
      <c r="D74" t="s">
        <v>26</v>
      </c>
      <c r="E74" t="s">
        <v>26</v>
      </c>
      <c r="F74" t="s">
        <v>26</v>
      </c>
      <c r="G74" t="s">
        <v>26</v>
      </c>
      <c r="H74" t="s">
        <v>26</v>
      </c>
      <c r="I74" t="s">
        <v>26</v>
      </c>
      <c r="J74" t="s">
        <v>26</v>
      </c>
      <c r="K74" t="s">
        <v>26</v>
      </c>
      <c r="L74" t="s">
        <v>26</v>
      </c>
      <c r="M74" t="s">
        <v>26</v>
      </c>
      <c r="N74" t="s">
        <v>26</v>
      </c>
      <c r="O74" t="s">
        <v>26</v>
      </c>
      <c r="P74" t="s">
        <v>26</v>
      </c>
      <c r="Q74" t="s">
        <v>26</v>
      </c>
      <c r="R74" t="s">
        <v>26</v>
      </c>
      <c r="S74" t="s">
        <v>26</v>
      </c>
      <c r="T74" t="s">
        <v>26</v>
      </c>
      <c r="U74" t="s">
        <v>26</v>
      </c>
      <c r="V74" t="s">
        <v>26</v>
      </c>
      <c r="W74" t="s">
        <v>26</v>
      </c>
      <c r="X74" t="s">
        <v>26</v>
      </c>
      <c r="Y74" t="s">
        <v>26</v>
      </c>
      <c r="Z74" t="s">
        <v>26</v>
      </c>
      <c r="AA74" t="s">
        <v>26</v>
      </c>
      <c r="AB74" t="s">
        <v>26</v>
      </c>
      <c r="AC74" t="s">
        <v>26</v>
      </c>
      <c r="AD74" t="s">
        <v>26</v>
      </c>
      <c r="AE74" t="s">
        <v>26</v>
      </c>
      <c r="AF74" t="s">
        <v>26</v>
      </c>
      <c r="AG74" t="s">
        <v>26</v>
      </c>
      <c r="AH74" t="s">
        <v>26</v>
      </c>
      <c r="AI74" t="s">
        <v>26</v>
      </c>
      <c r="AJ74" t="s">
        <v>26</v>
      </c>
      <c r="AK74" t="s">
        <v>26</v>
      </c>
      <c r="AL74" t="s">
        <v>26</v>
      </c>
      <c r="AM74" t="s">
        <v>26</v>
      </c>
      <c r="AN74" t="s">
        <v>26</v>
      </c>
      <c r="AO74" t="s">
        <v>26</v>
      </c>
      <c r="AP74" t="s">
        <v>26</v>
      </c>
      <c r="AQ74" t="s">
        <v>26</v>
      </c>
      <c r="AR74" t="s">
        <v>26</v>
      </c>
      <c r="AS74" t="s">
        <v>26</v>
      </c>
      <c r="AT74" t="s">
        <v>26</v>
      </c>
      <c r="AU74" t="s">
        <v>26</v>
      </c>
      <c r="AV74" t="s">
        <v>26</v>
      </c>
      <c r="AW74" t="s">
        <v>26</v>
      </c>
      <c r="AX74" t="s">
        <v>26</v>
      </c>
      <c r="AY74" t="s">
        <v>26</v>
      </c>
      <c r="AZ74">
        <v>2</v>
      </c>
      <c r="BA74" t="s">
        <v>26</v>
      </c>
      <c r="BB74" t="s">
        <v>26</v>
      </c>
      <c r="BC74" t="s">
        <v>26</v>
      </c>
      <c r="BD74" t="s">
        <v>26</v>
      </c>
      <c r="BE74" t="s">
        <v>26</v>
      </c>
      <c r="BF74" t="s">
        <v>26</v>
      </c>
      <c r="BG74" t="s">
        <v>26</v>
      </c>
      <c r="BH74" t="s">
        <v>26</v>
      </c>
      <c r="BI74" t="s">
        <v>26</v>
      </c>
      <c r="BJ74" t="s">
        <v>26</v>
      </c>
      <c r="BK74" t="s">
        <v>26</v>
      </c>
      <c r="BL74" t="s">
        <v>26</v>
      </c>
      <c r="BM74" t="s">
        <v>26</v>
      </c>
      <c r="BN74" t="s">
        <v>26</v>
      </c>
      <c r="BO74" t="s">
        <v>26</v>
      </c>
      <c r="BP74" t="s">
        <v>26</v>
      </c>
      <c r="BQ74" t="s">
        <v>26</v>
      </c>
      <c r="BR74" t="s">
        <v>26</v>
      </c>
      <c r="BS74" t="s">
        <v>26</v>
      </c>
      <c r="BT74" t="s">
        <v>26</v>
      </c>
      <c r="BU74" t="s">
        <v>26</v>
      </c>
      <c r="BV74" t="s">
        <v>26</v>
      </c>
      <c r="BW74" t="s">
        <v>26</v>
      </c>
      <c r="BX74" t="s">
        <v>26</v>
      </c>
      <c r="BY74" t="s">
        <v>26</v>
      </c>
      <c r="BZ74" t="s">
        <v>26</v>
      </c>
      <c r="CA74" t="s">
        <v>26</v>
      </c>
      <c r="CB74" t="s">
        <v>26</v>
      </c>
      <c r="CL74">
        <f t="shared" si="9"/>
        <v>1</v>
      </c>
      <c r="CM74" s="18">
        <f t="shared" si="10"/>
        <v>2</v>
      </c>
      <c r="CN74" t="str">
        <f t="shared" si="11"/>
        <v/>
      </c>
      <c r="CO74">
        <v>0</v>
      </c>
      <c r="CP74">
        <f t="shared" si="12"/>
        <v>0</v>
      </c>
      <c r="CQ74">
        <f t="shared" si="13"/>
        <v>0</v>
      </c>
      <c r="CR74">
        <f t="shared" si="14"/>
        <v>2</v>
      </c>
      <c r="CS74">
        <f t="shared" si="15"/>
        <v>1</v>
      </c>
    </row>
    <row r="75" spans="1:97" x14ac:dyDescent="0.35">
      <c r="A75" t="s">
        <v>366</v>
      </c>
      <c r="B75" t="s">
        <v>26</v>
      </c>
      <c r="C75" t="s">
        <v>26</v>
      </c>
      <c r="D75" t="s">
        <v>26</v>
      </c>
      <c r="E75" t="s">
        <v>26</v>
      </c>
      <c r="F75" t="s">
        <v>26</v>
      </c>
      <c r="G75" t="s">
        <v>26</v>
      </c>
      <c r="H75" t="s">
        <v>26</v>
      </c>
      <c r="I75" t="s">
        <v>26</v>
      </c>
      <c r="J75" t="s">
        <v>26</v>
      </c>
      <c r="K75" t="s">
        <v>26</v>
      </c>
      <c r="L75" t="s">
        <v>26</v>
      </c>
      <c r="M75" t="s">
        <v>26</v>
      </c>
      <c r="N75" t="s">
        <v>26</v>
      </c>
      <c r="O75" t="s">
        <v>26</v>
      </c>
      <c r="P75" t="s">
        <v>26</v>
      </c>
      <c r="Q75" t="s">
        <v>26</v>
      </c>
      <c r="R75" t="s">
        <v>26</v>
      </c>
      <c r="S75" t="s">
        <v>26</v>
      </c>
      <c r="T75" t="s">
        <v>26</v>
      </c>
      <c r="U75" t="s">
        <v>26</v>
      </c>
      <c r="V75" t="s">
        <v>26</v>
      </c>
      <c r="W75" t="s">
        <v>26</v>
      </c>
      <c r="X75" t="s">
        <v>26</v>
      </c>
      <c r="Y75" t="s">
        <v>26</v>
      </c>
      <c r="Z75" t="s">
        <v>26</v>
      </c>
      <c r="AA75" t="s">
        <v>26</v>
      </c>
      <c r="AB75" t="s">
        <v>26</v>
      </c>
      <c r="AC75" t="s">
        <v>26</v>
      </c>
      <c r="AD75" t="s">
        <v>26</v>
      </c>
      <c r="AE75" t="s">
        <v>26</v>
      </c>
      <c r="AF75" t="s">
        <v>26</v>
      </c>
      <c r="AG75" t="s">
        <v>26</v>
      </c>
      <c r="AH75" t="s">
        <v>26</v>
      </c>
      <c r="AI75" t="s">
        <v>26</v>
      </c>
      <c r="AJ75" t="s">
        <v>26</v>
      </c>
      <c r="AK75" t="s">
        <v>26</v>
      </c>
      <c r="AL75" t="s">
        <v>26</v>
      </c>
      <c r="AM75" t="s">
        <v>26</v>
      </c>
      <c r="AN75" t="s">
        <v>26</v>
      </c>
      <c r="AO75" t="s">
        <v>26</v>
      </c>
      <c r="AP75" t="s">
        <v>26</v>
      </c>
      <c r="AQ75" t="s">
        <v>26</v>
      </c>
      <c r="AR75" t="s">
        <v>26</v>
      </c>
      <c r="AS75" t="s">
        <v>26</v>
      </c>
      <c r="AT75" t="s">
        <v>26</v>
      </c>
      <c r="AU75" t="s">
        <v>26</v>
      </c>
      <c r="AV75" t="s">
        <v>26</v>
      </c>
      <c r="AW75" t="s">
        <v>26</v>
      </c>
      <c r="AX75" t="s">
        <v>26</v>
      </c>
      <c r="AY75" t="s">
        <v>26</v>
      </c>
      <c r="AZ75" t="s">
        <v>26</v>
      </c>
      <c r="BA75" t="s">
        <v>26</v>
      </c>
      <c r="BB75">
        <v>2.5</v>
      </c>
      <c r="BC75" t="s">
        <v>26</v>
      </c>
      <c r="BD75" t="s">
        <v>26</v>
      </c>
      <c r="BE75" t="s">
        <v>26</v>
      </c>
      <c r="BF75" t="s">
        <v>26</v>
      </c>
      <c r="BG75" t="s">
        <v>26</v>
      </c>
      <c r="BH75" t="s">
        <v>26</v>
      </c>
      <c r="BI75" t="s">
        <v>26</v>
      </c>
      <c r="BJ75" t="s">
        <v>26</v>
      </c>
      <c r="BK75" t="s">
        <v>26</v>
      </c>
      <c r="BL75" t="s">
        <v>26</v>
      </c>
      <c r="BM75" t="s">
        <v>26</v>
      </c>
      <c r="BN75" t="s">
        <v>26</v>
      </c>
      <c r="BO75" t="s">
        <v>26</v>
      </c>
      <c r="BP75" t="s">
        <v>26</v>
      </c>
      <c r="BQ75" t="s">
        <v>26</v>
      </c>
      <c r="BR75" t="s">
        <v>26</v>
      </c>
      <c r="BS75" t="s">
        <v>26</v>
      </c>
      <c r="BT75" t="s">
        <v>26</v>
      </c>
      <c r="BU75" t="s">
        <v>26</v>
      </c>
      <c r="BV75" t="s">
        <v>26</v>
      </c>
      <c r="BW75" t="s">
        <v>26</v>
      </c>
      <c r="BX75" t="s">
        <v>26</v>
      </c>
      <c r="BY75" t="s">
        <v>26</v>
      </c>
      <c r="BZ75" t="s">
        <v>26</v>
      </c>
      <c r="CA75" t="s">
        <v>26</v>
      </c>
      <c r="CB75" t="s">
        <v>26</v>
      </c>
      <c r="CL75">
        <f t="shared" si="9"/>
        <v>1</v>
      </c>
      <c r="CM75" s="18">
        <f t="shared" si="10"/>
        <v>2.5</v>
      </c>
      <c r="CN75" t="str">
        <f t="shared" si="11"/>
        <v/>
      </c>
      <c r="CO75">
        <v>0</v>
      </c>
      <c r="CP75">
        <f t="shared" si="12"/>
        <v>0</v>
      </c>
      <c r="CQ75">
        <f t="shared" si="13"/>
        <v>0</v>
      </c>
      <c r="CR75">
        <f t="shared" si="14"/>
        <v>2.5</v>
      </c>
      <c r="CS75">
        <f t="shared" si="15"/>
        <v>1</v>
      </c>
    </row>
    <row r="76" spans="1:97" x14ac:dyDescent="0.35">
      <c r="A76" t="s">
        <v>374</v>
      </c>
      <c r="B76" t="s">
        <v>26</v>
      </c>
      <c r="C76" t="s">
        <v>26</v>
      </c>
      <c r="D76" t="s">
        <v>26</v>
      </c>
      <c r="E76" t="s">
        <v>26</v>
      </c>
      <c r="F76" t="s">
        <v>26</v>
      </c>
      <c r="G76" t="s">
        <v>26</v>
      </c>
      <c r="H76" t="s">
        <v>26</v>
      </c>
      <c r="I76" t="s">
        <v>26</v>
      </c>
      <c r="J76" t="s">
        <v>26</v>
      </c>
      <c r="K76" t="s">
        <v>26</v>
      </c>
      <c r="L76" t="s">
        <v>26</v>
      </c>
      <c r="M76" t="s">
        <v>26</v>
      </c>
      <c r="N76" t="s">
        <v>26</v>
      </c>
      <c r="O76" t="s">
        <v>26</v>
      </c>
      <c r="P76" t="s">
        <v>26</v>
      </c>
      <c r="Q76" t="s">
        <v>26</v>
      </c>
      <c r="R76" t="s">
        <v>26</v>
      </c>
      <c r="S76" t="s">
        <v>26</v>
      </c>
      <c r="T76" t="s">
        <v>26</v>
      </c>
      <c r="U76" t="s">
        <v>26</v>
      </c>
      <c r="V76" t="s">
        <v>26</v>
      </c>
      <c r="W76" t="s">
        <v>26</v>
      </c>
      <c r="X76" t="s">
        <v>26</v>
      </c>
      <c r="Y76" t="s">
        <v>26</v>
      </c>
      <c r="Z76" t="s">
        <v>26</v>
      </c>
      <c r="AA76" t="s">
        <v>26</v>
      </c>
      <c r="AB76" t="s">
        <v>26</v>
      </c>
      <c r="AC76" t="s">
        <v>26</v>
      </c>
      <c r="AD76" t="s">
        <v>26</v>
      </c>
      <c r="AE76" t="s">
        <v>26</v>
      </c>
      <c r="AF76" t="s">
        <v>26</v>
      </c>
      <c r="AG76" t="s">
        <v>26</v>
      </c>
      <c r="AH76" t="s">
        <v>26</v>
      </c>
      <c r="AI76" t="s">
        <v>26</v>
      </c>
      <c r="AJ76" t="s">
        <v>26</v>
      </c>
      <c r="AK76" t="s">
        <v>26</v>
      </c>
      <c r="AL76" t="s">
        <v>26</v>
      </c>
      <c r="AM76" t="s">
        <v>26</v>
      </c>
      <c r="AN76" t="s">
        <v>26</v>
      </c>
      <c r="AO76" t="s">
        <v>26</v>
      </c>
      <c r="AP76" t="s">
        <v>26</v>
      </c>
      <c r="AQ76" t="s">
        <v>26</v>
      </c>
      <c r="AR76" t="s">
        <v>26</v>
      </c>
      <c r="AS76" t="s">
        <v>26</v>
      </c>
      <c r="AT76" t="s">
        <v>26</v>
      </c>
      <c r="AU76" t="s">
        <v>26</v>
      </c>
      <c r="AV76" t="s">
        <v>26</v>
      </c>
      <c r="AW76" t="s">
        <v>26</v>
      </c>
      <c r="AX76" t="s">
        <v>26</v>
      </c>
      <c r="AY76" t="s">
        <v>26</v>
      </c>
      <c r="AZ76" t="s">
        <v>26</v>
      </c>
      <c r="BA76" t="s">
        <v>26</v>
      </c>
      <c r="BB76" t="s">
        <v>26</v>
      </c>
      <c r="BC76" t="s">
        <v>26</v>
      </c>
      <c r="BD76" t="s">
        <v>26</v>
      </c>
      <c r="BE76" t="s">
        <v>26</v>
      </c>
      <c r="BF76" t="s">
        <v>26</v>
      </c>
      <c r="BG76" t="s">
        <v>26</v>
      </c>
      <c r="BH76" t="s">
        <v>26</v>
      </c>
      <c r="BI76" t="s">
        <v>26</v>
      </c>
      <c r="BJ76" t="s">
        <v>26</v>
      </c>
      <c r="BK76" t="s">
        <v>26</v>
      </c>
      <c r="BL76" t="s">
        <v>26</v>
      </c>
      <c r="BM76" t="s">
        <v>26</v>
      </c>
      <c r="BN76" t="s">
        <v>26</v>
      </c>
      <c r="BO76" t="s">
        <v>26</v>
      </c>
      <c r="BP76">
        <v>7</v>
      </c>
      <c r="BQ76" t="s">
        <v>26</v>
      </c>
      <c r="BR76" t="s">
        <v>26</v>
      </c>
      <c r="BS76" t="s">
        <v>26</v>
      </c>
      <c r="BT76" t="s">
        <v>26</v>
      </c>
      <c r="BU76" t="s">
        <v>26</v>
      </c>
      <c r="BV76" t="s">
        <v>26</v>
      </c>
      <c r="BW76" t="s">
        <v>26</v>
      </c>
      <c r="BX76" t="s">
        <v>26</v>
      </c>
      <c r="BY76" t="s">
        <v>26</v>
      </c>
      <c r="BZ76" t="s">
        <v>26</v>
      </c>
      <c r="CA76" t="s">
        <v>26</v>
      </c>
      <c r="CB76" t="s">
        <v>26</v>
      </c>
      <c r="CL76">
        <f t="shared" si="9"/>
        <v>1</v>
      </c>
      <c r="CM76" s="18">
        <f t="shared" si="10"/>
        <v>7</v>
      </c>
      <c r="CN76" t="str">
        <f t="shared" si="11"/>
        <v/>
      </c>
      <c r="CO76">
        <v>0</v>
      </c>
      <c r="CP76">
        <f t="shared" si="12"/>
        <v>0</v>
      </c>
      <c r="CQ76">
        <f t="shared" si="13"/>
        <v>0</v>
      </c>
      <c r="CR76">
        <f t="shared" si="14"/>
        <v>7</v>
      </c>
      <c r="CS76">
        <f t="shared" si="15"/>
        <v>1</v>
      </c>
    </row>
    <row r="77" spans="1:97" x14ac:dyDescent="0.35">
      <c r="A77" t="s">
        <v>375</v>
      </c>
      <c r="B77" t="s">
        <v>26</v>
      </c>
      <c r="C77" t="s">
        <v>26</v>
      </c>
      <c r="D77" t="s">
        <v>26</v>
      </c>
      <c r="E77" t="s">
        <v>26</v>
      </c>
      <c r="F77" t="s">
        <v>26</v>
      </c>
      <c r="G77" t="s">
        <v>26</v>
      </c>
      <c r="H77" t="s">
        <v>26</v>
      </c>
      <c r="I77" t="s">
        <v>26</v>
      </c>
      <c r="J77" t="s">
        <v>26</v>
      </c>
      <c r="K77" t="s">
        <v>26</v>
      </c>
      <c r="L77" t="s">
        <v>26</v>
      </c>
      <c r="M77" t="s">
        <v>26</v>
      </c>
      <c r="N77" t="s">
        <v>26</v>
      </c>
      <c r="O77" t="s">
        <v>26</v>
      </c>
      <c r="P77" t="s">
        <v>26</v>
      </c>
      <c r="Q77" t="s">
        <v>26</v>
      </c>
      <c r="R77" t="s">
        <v>26</v>
      </c>
      <c r="S77" t="s">
        <v>26</v>
      </c>
      <c r="T77" t="s">
        <v>26</v>
      </c>
      <c r="U77" t="s">
        <v>26</v>
      </c>
      <c r="V77" t="s">
        <v>26</v>
      </c>
      <c r="W77" t="s">
        <v>26</v>
      </c>
      <c r="X77" t="s">
        <v>26</v>
      </c>
      <c r="Y77" t="s">
        <v>26</v>
      </c>
      <c r="Z77" t="s">
        <v>26</v>
      </c>
      <c r="AA77" t="s">
        <v>26</v>
      </c>
      <c r="AB77" t="s">
        <v>26</v>
      </c>
      <c r="AC77" t="s">
        <v>26</v>
      </c>
      <c r="AD77" t="s">
        <v>26</v>
      </c>
      <c r="AE77" t="s">
        <v>26</v>
      </c>
      <c r="AF77" t="s">
        <v>26</v>
      </c>
      <c r="AG77" t="s">
        <v>26</v>
      </c>
      <c r="AH77" t="s">
        <v>26</v>
      </c>
      <c r="AI77" t="s">
        <v>26</v>
      </c>
      <c r="AJ77" t="s">
        <v>26</v>
      </c>
      <c r="AK77" t="s">
        <v>26</v>
      </c>
      <c r="AL77" t="s">
        <v>26</v>
      </c>
      <c r="AM77" t="s">
        <v>26</v>
      </c>
      <c r="AN77" t="s">
        <v>26</v>
      </c>
      <c r="AO77" t="s">
        <v>26</v>
      </c>
      <c r="AP77" t="s">
        <v>26</v>
      </c>
      <c r="AQ77" t="s">
        <v>26</v>
      </c>
      <c r="AR77" t="s">
        <v>26</v>
      </c>
      <c r="AS77" t="s">
        <v>26</v>
      </c>
      <c r="AT77" t="s">
        <v>26</v>
      </c>
      <c r="AU77" t="s">
        <v>26</v>
      </c>
      <c r="AV77" t="s">
        <v>26</v>
      </c>
      <c r="AW77" t="s">
        <v>26</v>
      </c>
      <c r="AX77" t="s">
        <v>26</v>
      </c>
      <c r="AY77" t="s">
        <v>26</v>
      </c>
      <c r="AZ77" t="s">
        <v>26</v>
      </c>
      <c r="BA77" t="s">
        <v>26</v>
      </c>
      <c r="BB77" t="s">
        <v>26</v>
      </c>
      <c r="BC77" t="s">
        <v>26</v>
      </c>
      <c r="BD77" t="s">
        <v>26</v>
      </c>
      <c r="BE77" t="s">
        <v>26</v>
      </c>
      <c r="BF77" t="s">
        <v>26</v>
      </c>
      <c r="BG77" t="s">
        <v>26</v>
      </c>
      <c r="BH77" t="s">
        <v>26</v>
      </c>
      <c r="BI77" t="s">
        <v>26</v>
      </c>
      <c r="BJ77" t="s">
        <v>26</v>
      </c>
      <c r="BK77" t="s">
        <v>26</v>
      </c>
      <c r="BL77" t="s">
        <v>26</v>
      </c>
      <c r="BM77" t="s">
        <v>26</v>
      </c>
      <c r="BN77" t="s">
        <v>26</v>
      </c>
      <c r="BO77" t="s">
        <v>26</v>
      </c>
      <c r="BP77">
        <v>5.5</v>
      </c>
      <c r="BQ77" t="s">
        <v>26</v>
      </c>
      <c r="BR77" t="s">
        <v>26</v>
      </c>
      <c r="BS77" t="s">
        <v>26</v>
      </c>
      <c r="BT77" t="s">
        <v>26</v>
      </c>
      <c r="BU77" t="s">
        <v>26</v>
      </c>
      <c r="BV77" t="s">
        <v>26</v>
      </c>
      <c r="BW77" t="s">
        <v>26</v>
      </c>
      <c r="BX77" t="s">
        <v>26</v>
      </c>
      <c r="BY77" t="s">
        <v>26</v>
      </c>
      <c r="BZ77" t="s">
        <v>26</v>
      </c>
      <c r="CA77" t="s">
        <v>26</v>
      </c>
      <c r="CB77" t="s">
        <v>26</v>
      </c>
      <c r="CL77">
        <f t="shared" si="9"/>
        <v>1</v>
      </c>
      <c r="CM77" s="18">
        <f t="shared" si="10"/>
        <v>5.5</v>
      </c>
      <c r="CN77" t="str">
        <f t="shared" si="11"/>
        <v/>
      </c>
      <c r="CO77">
        <v>0</v>
      </c>
      <c r="CP77">
        <f t="shared" si="12"/>
        <v>0</v>
      </c>
      <c r="CQ77">
        <f t="shared" si="13"/>
        <v>0</v>
      </c>
      <c r="CR77">
        <f t="shared" si="14"/>
        <v>5.5</v>
      </c>
      <c r="CS77">
        <f t="shared" si="15"/>
        <v>1</v>
      </c>
    </row>
    <row r="78" spans="1:97" x14ac:dyDescent="0.35">
      <c r="A78" t="s">
        <v>377</v>
      </c>
      <c r="B78" t="s">
        <v>26</v>
      </c>
      <c r="C78" t="s">
        <v>26</v>
      </c>
      <c r="D78" t="s">
        <v>26</v>
      </c>
      <c r="E78" t="s">
        <v>26</v>
      </c>
      <c r="F78" t="s">
        <v>26</v>
      </c>
      <c r="G78" t="s">
        <v>26</v>
      </c>
      <c r="H78" t="s">
        <v>26</v>
      </c>
      <c r="I78" t="s">
        <v>26</v>
      </c>
      <c r="J78" t="s">
        <v>26</v>
      </c>
      <c r="K78" t="s">
        <v>26</v>
      </c>
      <c r="L78" t="s">
        <v>26</v>
      </c>
      <c r="M78" t="s">
        <v>26</v>
      </c>
      <c r="N78" t="s">
        <v>26</v>
      </c>
      <c r="O78" t="s">
        <v>26</v>
      </c>
      <c r="P78" t="s">
        <v>26</v>
      </c>
      <c r="Q78" t="s">
        <v>26</v>
      </c>
      <c r="R78" t="s">
        <v>26</v>
      </c>
      <c r="S78" t="s">
        <v>26</v>
      </c>
      <c r="T78" t="s">
        <v>26</v>
      </c>
      <c r="U78" t="s">
        <v>26</v>
      </c>
      <c r="V78" t="s">
        <v>26</v>
      </c>
      <c r="W78" t="s">
        <v>26</v>
      </c>
      <c r="X78" t="s">
        <v>26</v>
      </c>
      <c r="Y78" t="s">
        <v>26</v>
      </c>
      <c r="Z78" t="s">
        <v>26</v>
      </c>
      <c r="AA78" t="s">
        <v>26</v>
      </c>
      <c r="AB78" t="s">
        <v>26</v>
      </c>
      <c r="AC78" t="s">
        <v>26</v>
      </c>
      <c r="AD78" t="s">
        <v>26</v>
      </c>
      <c r="AE78" t="s">
        <v>26</v>
      </c>
      <c r="AF78" t="s">
        <v>26</v>
      </c>
      <c r="AG78" t="s">
        <v>26</v>
      </c>
      <c r="AH78" t="s">
        <v>26</v>
      </c>
      <c r="AI78" t="s">
        <v>26</v>
      </c>
      <c r="AJ78" t="s">
        <v>26</v>
      </c>
      <c r="AK78" t="s">
        <v>26</v>
      </c>
      <c r="AL78" t="s">
        <v>26</v>
      </c>
      <c r="AM78" t="s">
        <v>26</v>
      </c>
      <c r="AN78" t="s">
        <v>26</v>
      </c>
      <c r="AO78" t="s">
        <v>26</v>
      </c>
      <c r="AP78" t="s">
        <v>26</v>
      </c>
      <c r="AQ78" t="s">
        <v>26</v>
      </c>
      <c r="AR78" t="s">
        <v>26</v>
      </c>
      <c r="AS78" t="s">
        <v>26</v>
      </c>
      <c r="AT78" t="s">
        <v>26</v>
      </c>
      <c r="AU78" t="s">
        <v>26</v>
      </c>
      <c r="AV78" t="s">
        <v>26</v>
      </c>
      <c r="AW78" t="s">
        <v>26</v>
      </c>
      <c r="AX78" t="s">
        <v>26</v>
      </c>
      <c r="AY78" t="s">
        <v>26</v>
      </c>
      <c r="AZ78" t="s">
        <v>26</v>
      </c>
      <c r="BA78" t="s">
        <v>26</v>
      </c>
      <c r="BB78" t="s">
        <v>26</v>
      </c>
      <c r="BC78" t="s">
        <v>26</v>
      </c>
      <c r="BD78" t="s">
        <v>26</v>
      </c>
      <c r="BE78" t="s">
        <v>26</v>
      </c>
      <c r="BF78" t="s">
        <v>26</v>
      </c>
      <c r="BG78" t="s">
        <v>26</v>
      </c>
      <c r="BH78" t="s">
        <v>26</v>
      </c>
      <c r="BI78" t="s">
        <v>26</v>
      </c>
      <c r="BJ78" t="s">
        <v>26</v>
      </c>
      <c r="BK78" t="s">
        <v>26</v>
      </c>
      <c r="BL78" t="s">
        <v>26</v>
      </c>
      <c r="BM78" t="s">
        <v>26</v>
      </c>
      <c r="BN78" t="s">
        <v>26</v>
      </c>
      <c r="BO78" t="s">
        <v>26</v>
      </c>
      <c r="BP78" t="s">
        <v>26</v>
      </c>
      <c r="BQ78" t="s">
        <v>26</v>
      </c>
      <c r="BR78" t="s">
        <v>26</v>
      </c>
      <c r="BS78">
        <v>5</v>
      </c>
      <c r="BT78" t="s">
        <v>26</v>
      </c>
      <c r="BU78" t="s">
        <v>26</v>
      </c>
      <c r="BV78" t="s">
        <v>26</v>
      </c>
      <c r="BW78" t="s">
        <v>26</v>
      </c>
      <c r="BX78" t="s">
        <v>26</v>
      </c>
      <c r="BY78" t="s">
        <v>26</v>
      </c>
      <c r="BZ78" t="s">
        <v>26</v>
      </c>
      <c r="CA78" t="s">
        <v>26</v>
      </c>
      <c r="CB78" t="s">
        <v>26</v>
      </c>
      <c r="CL78">
        <f t="shared" si="9"/>
        <v>1</v>
      </c>
      <c r="CM78" s="18">
        <f t="shared" si="10"/>
        <v>5</v>
      </c>
      <c r="CN78" t="str">
        <f t="shared" si="11"/>
        <v/>
      </c>
      <c r="CO78">
        <v>0</v>
      </c>
      <c r="CP78">
        <f t="shared" si="12"/>
        <v>0</v>
      </c>
      <c r="CQ78">
        <f t="shared" si="13"/>
        <v>0</v>
      </c>
      <c r="CR78">
        <f t="shared" si="14"/>
        <v>5</v>
      </c>
      <c r="CS78">
        <f t="shared" si="15"/>
        <v>1</v>
      </c>
    </row>
    <row r="79" spans="1:97" x14ac:dyDescent="0.35">
      <c r="A79" t="s">
        <v>381</v>
      </c>
      <c r="B79" t="s">
        <v>26</v>
      </c>
      <c r="C79" t="s">
        <v>26</v>
      </c>
      <c r="D79" t="s">
        <v>26</v>
      </c>
      <c r="E79" t="s">
        <v>26</v>
      </c>
      <c r="F79" t="s">
        <v>26</v>
      </c>
      <c r="G79" t="s">
        <v>26</v>
      </c>
      <c r="H79" t="s">
        <v>26</v>
      </c>
      <c r="I79" t="s">
        <v>26</v>
      </c>
      <c r="J79" t="s">
        <v>26</v>
      </c>
      <c r="K79" t="s">
        <v>26</v>
      </c>
      <c r="L79" t="s">
        <v>26</v>
      </c>
      <c r="M79" t="s">
        <v>26</v>
      </c>
      <c r="N79" t="s">
        <v>26</v>
      </c>
      <c r="O79" t="s">
        <v>26</v>
      </c>
      <c r="P79" t="s">
        <v>26</v>
      </c>
      <c r="Q79" t="s">
        <v>26</v>
      </c>
      <c r="R79" t="s">
        <v>26</v>
      </c>
      <c r="S79" t="s">
        <v>26</v>
      </c>
      <c r="T79" t="s">
        <v>26</v>
      </c>
      <c r="U79" t="s">
        <v>26</v>
      </c>
      <c r="V79" t="s">
        <v>26</v>
      </c>
      <c r="W79" t="s">
        <v>26</v>
      </c>
      <c r="X79" t="s">
        <v>26</v>
      </c>
      <c r="Y79" t="s">
        <v>26</v>
      </c>
      <c r="Z79" t="s">
        <v>26</v>
      </c>
      <c r="AA79" t="s">
        <v>26</v>
      </c>
      <c r="AB79" t="s">
        <v>26</v>
      </c>
      <c r="AC79" t="s">
        <v>26</v>
      </c>
      <c r="AD79" t="s">
        <v>26</v>
      </c>
      <c r="AE79" t="s">
        <v>26</v>
      </c>
      <c r="AF79" t="s">
        <v>26</v>
      </c>
      <c r="AG79" t="s">
        <v>26</v>
      </c>
      <c r="AH79" t="s">
        <v>26</v>
      </c>
      <c r="AI79" t="s">
        <v>26</v>
      </c>
      <c r="AJ79" t="s">
        <v>26</v>
      </c>
      <c r="AK79" t="s">
        <v>26</v>
      </c>
      <c r="AL79" t="s">
        <v>26</v>
      </c>
      <c r="AM79" t="s">
        <v>26</v>
      </c>
      <c r="AN79" t="s">
        <v>26</v>
      </c>
      <c r="AO79" t="s">
        <v>26</v>
      </c>
      <c r="AP79" t="s">
        <v>26</v>
      </c>
      <c r="AQ79" t="s">
        <v>26</v>
      </c>
      <c r="AR79" t="s">
        <v>26</v>
      </c>
      <c r="AS79" t="s">
        <v>26</v>
      </c>
      <c r="AT79" t="s">
        <v>26</v>
      </c>
      <c r="AU79" t="s">
        <v>26</v>
      </c>
      <c r="AV79" t="s">
        <v>26</v>
      </c>
      <c r="AW79" t="s">
        <v>26</v>
      </c>
      <c r="AX79" t="s">
        <v>26</v>
      </c>
      <c r="AY79" t="s">
        <v>26</v>
      </c>
      <c r="AZ79" t="s">
        <v>26</v>
      </c>
      <c r="BA79" t="s">
        <v>26</v>
      </c>
      <c r="BB79" t="s">
        <v>26</v>
      </c>
      <c r="BC79" t="s">
        <v>26</v>
      </c>
      <c r="BD79" t="s">
        <v>26</v>
      </c>
      <c r="BE79" t="s">
        <v>26</v>
      </c>
      <c r="BF79" t="s">
        <v>26</v>
      </c>
      <c r="BG79" t="s">
        <v>26</v>
      </c>
      <c r="BH79" t="s">
        <v>26</v>
      </c>
      <c r="BI79" t="s">
        <v>26</v>
      </c>
      <c r="BJ79" t="s">
        <v>26</v>
      </c>
      <c r="BK79" t="s">
        <v>26</v>
      </c>
      <c r="BL79" t="s">
        <v>26</v>
      </c>
      <c r="BM79" t="s">
        <v>26</v>
      </c>
      <c r="BN79" t="s">
        <v>26</v>
      </c>
      <c r="BO79" t="s">
        <v>26</v>
      </c>
      <c r="BP79" t="s">
        <v>26</v>
      </c>
      <c r="BQ79" t="s">
        <v>26</v>
      </c>
      <c r="BR79" t="s">
        <v>26</v>
      </c>
      <c r="BS79" t="s">
        <v>26</v>
      </c>
      <c r="BT79" t="s">
        <v>26</v>
      </c>
      <c r="BU79" t="s">
        <v>26</v>
      </c>
      <c r="BV79" t="s">
        <v>26</v>
      </c>
      <c r="BW79" t="s">
        <v>26</v>
      </c>
      <c r="BX79" t="s">
        <v>26</v>
      </c>
      <c r="BY79" t="s">
        <v>26</v>
      </c>
      <c r="BZ79">
        <v>5.5</v>
      </c>
      <c r="CA79" t="s">
        <v>26</v>
      </c>
      <c r="CB79" t="s">
        <v>26</v>
      </c>
      <c r="CL79">
        <f t="shared" si="9"/>
        <v>1</v>
      </c>
      <c r="CM79" s="18">
        <f t="shared" si="10"/>
        <v>5.5</v>
      </c>
      <c r="CN79" t="str">
        <f t="shared" si="11"/>
        <v/>
      </c>
      <c r="CO79">
        <v>0</v>
      </c>
      <c r="CP79">
        <f t="shared" si="12"/>
        <v>0</v>
      </c>
      <c r="CQ79">
        <f t="shared" si="13"/>
        <v>0</v>
      </c>
      <c r="CR79">
        <f t="shared" si="14"/>
        <v>5.5</v>
      </c>
      <c r="CS79">
        <f t="shared" si="15"/>
        <v>1</v>
      </c>
    </row>
    <row r="80" spans="1:97" x14ac:dyDescent="0.35">
      <c r="A80" t="s">
        <v>382</v>
      </c>
      <c r="B80" t="s">
        <v>26</v>
      </c>
      <c r="C80" t="s">
        <v>26</v>
      </c>
      <c r="D80" t="s">
        <v>26</v>
      </c>
      <c r="E80" t="s">
        <v>26</v>
      </c>
      <c r="F80" t="s">
        <v>26</v>
      </c>
      <c r="G80" t="s">
        <v>26</v>
      </c>
      <c r="H80" t="s">
        <v>26</v>
      </c>
      <c r="I80" t="s">
        <v>26</v>
      </c>
      <c r="J80" t="s">
        <v>26</v>
      </c>
      <c r="K80" t="s">
        <v>26</v>
      </c>
      <c r="L80" t="s">
        <v>26</v>
      </c>
      <c r="M80" t="s">
        <v>26</v>
      </c>
      <c r="N80" t="s">
        <v>26</v>
      </c>
      <c r="O80" t="s">
        <v>26</v>
      </c>
      <c r="P80" t="s">
        <v>26</v>
      </c>
      <c r="Q80" t="s">
        <v>26</v>
      </c>
      <c r="R80" t="s">
        <v>26</v>
      </c>
      <c r="S80" t="s">
        <v>26</v>
      </c>
      <c r="T80" t="s">
        <v>26</v>
      </c>
      <c r="U80" t="s">
        <v>26</v>
      </c>
      <c r="V80" t="s">
        <v>26</v>
      </c>
      <c r="W80" t="s">
        <v>26</v>
      </c>
      <c r="X80" t="s">
        <v>26</v>
      </c>
      <c r="Y80" t="s">
        <v>26</v>
      </c>
      <c r="Z80" t="s">
        <v>26</v>
      </c>
      <c r="AA80" t="s">
        <v>26</v>
      </c>
      <c r="AB80" t="s">
        <v>26</v>
      </c>
      <c r="AC80" t="s">
        <v>26</v>
      </c>
      <c r="AD80" t="s">
        <v>26</v>
      </c>
      <c r="AE80" t="s">
        <v>26</v>
      </c>
      <c r="AF80" t="s">
        <v>26</v>
      </c>
      <c r="AG80" t="s">
        <v>26</v>
      </c>
      <c r="AH80" t="s">
        <v>26</v>
      </c>
      <c r="AI80" t="s">
        <v>26</v>
      </c>
      <c r="AJ80" t="s">
        <v>26</v>
      </c>
      <c r="AK80" t="s">
        <v>26</v>
      </c>
      <c r="AL80" t="s">
        <v>26</v>
      </c>
      <c r="AM80" t="s">
        <v>26</v>
      </c>
      <c r="AN80" t="s">
        <v>26</v>
      </c>
      <c r="AO80" t="s">
        <v>26</v>
      </c>
      <c r="AP80" t="s">
        <v>26</v>
      </c>
      <c r="AQ80" t="s">
        <v>26</v>
      </c>
      <c r="AR80" t="s">
        <v>26</v>
      </c>
      <c r="AS80" t="s">
        <v>26</v>
      </c>
      <c r="AT80" t="s">
        <v>26</v>
      </c>
      <c r="AU80" t="s">
        <v>26</v>
      </c>
      <c r="AV80" t="s">
        <v>26</v>
      </c>
      <c r="AW80" t="s">
        <v>26</v>
      </c>
      <c r="AX80" t="s">
        <v>26</v>
      </c>
      <c r="AY80" t="s">
        <v>26</v>
      </c>
      <c r="AZ80" t="s">
        <v>26</v>
      </c>
      <c r="BA80" t="s">
        <v>26</v>
      </c>
      <c r="BB80" t="s">
        <v>26</v>
      </c>
      <c r="BC80" t="s">
        <v>26</v>
      </c>
      <c r="BD80" t="s">
        <v>26</v>
      </c>
      <c r="BE80" t="s">
        <v>26</v>
      </c>
      <c r="BF80" t="s">
        <v>26</v>
      </c>
      <c r="BG80" t="s">
        <v>26</v>
      </c>
      <c r="BH80" t="s">
        <v>26</v>
      </c>
      <c r="BI80" t="s">
        <v>26</v>
      </c>
      <c r="BJ80" t="s">
        <v>26</v>
      </c>
      <c r="BK80" t="s">
        <v>26</v>
      </c>
      <c r="BL80" t="s">
        <v>26</v>
      </c>
      <c r="BM80" t="s">
        <v>26</v>
      </c>
      <c r="BN80" t="s">
        <v>26</v>
      </c>
      <c r="BO80" t="s">
        <v>26</v>
      </c>
      <c r="BP80" t="s">
        <v>26</v>
      </c>
      <c r="BQ80" t="s">
        <v>26</v>
      </c>
      <c r="BR80" t="s">
        <v>26</v>
      </c>
      <c r="BS80" t="s">
        <v>26</v>
      </c>
      <c r="BT80" t="s">
        <v>26</v>
      </c>
      <c r="BU80" t="s">
        <v>26</v>
      </c>
      <c r="BV80" t="s">
        <v>26</v>
      </c>
      <c r="BW80" t="s">
        <v>26</v>
      </c>
      <c r="BX80" t="s">
        <v>26</v>
      </c>
      <c r="BY80" t="s">
        <v>26</v>
      </c>
      <c r="BZ80">
        <v>5.5</v>
      </c>
      <c r="CA80" t="s">
        <v>26</v>
      </c>
      <c r="CB80" t="s">
        <v>26</v>
      </c>
      <c r="CL80">
        <f t="shared" si="9"/>
        <v>1</v>
      </c>
      <c r="CM80" s="18">
        <f t="shared" si="10"/>
        <v>5.5</v>
      </c>
      <c r="CN80" t="str">
        <f t="shared" si="11"/>
        <v/>
      </c>
      <c r="CO80">
        <v>0</v>
      </c>
      <c r="CP80">
        <f t="shared" si="12"/>
        <v>0</v>
      </c>
      <c r="CQ80">
        <f t="shared" si="13"/>
        <v>0</v>
      </c>
      <c r="CR80">
        <f t="shared" si="14"/>
        <v>5.5</v>
      </c>
      <c r="CS80">
        <f t="shared" si="15"/>
        <v>1</v>
      </c>
    </row>
    <row r="81" spans="1:97" x14ac:dyDescent="0.35">
      <c r="A81" t="s">
        <v>388</v>
      </c>
      <c r="B81" t="s">
        <v>26</v>
      </c>
      <c r="C81" t="s">
        <v>26</v>
      </c>
      <c r="D81" t="s">
        <v>26</v>
      </c>
      <c r="E81" t="s">
        <v>26</v>
      </c>
      <c r="F81" t="s">
        <v>26</v>
      </c>
      <c r="G81" t="s">
        <v>26</v>
      </c>
      <c r="H81" t="s">
        <v>26</v>
      </c>
      <c r="I81" t="s">
        <v>26</v>
      </c>
      <c r="J81" t="s">
        <v>26</v>
      </c>
      <c r="K81" t="s">
        <v>26</v>
      </c>
      <c r="L81" t="s">
        <v>26</v>
      </c>
      <c r="M81" t="s">
        <v>26</v>
      </c>
      <c r="N81" t="s">
        <v>26</v>
      </c>
      <c r="O81" t="s">
        <v>26</v>
      </c>
      <c r="P81" t="s">
        <v>26</v>
      </c>
      <c r="Q81" t="s">
        <v>26</v>
      </c>
      <c r="R81" t="s">
        <v>26</v>
      </c>
      <c r="S81" t="s">
        <v>26</v>
      </c>
      <c r="T81" t="s">
        <v>26</v>
      </c>
      <c r="U81" t="s">
        <v>26</v>
      </c>
      <c r="V81" t="s">
        <v>26</v>
      </c>
      <c r="W81" t="s">
        <v>26</v>
      </c>
      <c r="X81" t="s">
        <v>26</v>
      </c>
      <c r="Y81" t="s">
        <v>26</v>
      </c>
      <c r="Z81" t="s">
        <v>26</v>
      </c>
      <c r="AA81" t="s">
        <v>26</v>
      </c>
      <c r="AB81" t="s">
        <v>26</v>
      </c>
      <c r="AC81" t="s">
        <v>26</v>
      </c>
      <c r="AD81" t="s">
        <v>26</v>
      </c>
      <c r="AE81" t="s">
        <v>26</v>
      </c>
      <c r="AF81" t="s">
        <v>26</v>
      </c>
      <c r="AG81" t="s">
        <v>26</v>
      </c>
      <c r="AH81" t="s">
        <v>26</v>
      </c>
      <c r="AI81" t="s">
        <v>26</v>
      </c>
      <c r="AJ81" t="s">
        <v>26</v>
      </c>
      <c r="AK81" t="s">
        <v>26</v>
      </c>
      <c r="AL81" t="s">
        <v>26</v>
      </c>
      <c r="AM81" t="s">
        <v>26</v>
      </c>
      <c r="AN81" t="s">
        <v>26</v>
      </c>
      <c r="AO81" t="s">
        <v>26</v>
      </c>
      <c r="AP81" t="s">
        <v>26</v>
      </c>
      <c r="AQ81" t="s">
        <v>26</v>
      </c>
      <c r="AR81" t="s">
        <v>26</v>
      </c>
      <c r="AS81" t="s">
        <v>26</v>
      </c>
      <c r="AT81" t="s">
        <v>26</v>
      </c>
      <c r="AU81" t="s">
        <v>26</v>
      </c>
      <c r="AV81" t="s">
        <v>26</v>
      </c>
      <c r="AW81" t="s">
        <v>26</v>
      </c>
      <c r="AX81" t="s">
        <v>26</v>
      </c>
      <c r="AY81" t="s">
        <v>26</v>
      </c>
      <c r="AZ81" t="s">
        <v>26</v>
      </c>
      <c r="BA81" t="s">
        <v>26</v>
      </c>
      <c r="BB81" t="s">
        <v>26</v>
      </c>
      <c r="BC81" t="s">
        <v>26</v>
      </c>
      <c r="BD81" t="s">
        <v>26</v>
      </c>
      <c r="BE81" t="s">
        <v>26</v>
      </c>
      <c r="BF81" t="s">
        <v>26</v>
      </c>
      <c r="BG81" t="s">
        <v>26</v>
      </c>
      <c r="BH81" t="s">
        <v>26</v>
      </c>
      <c r="BI81" t="s">
        <v>26</v>
      </c>
      <c r="BJ81" t="s">
        <v>26</v>
      </c>
      <c r="BK81" t="s">
        <v>26</v>
      </c>
      <c r="BL81" t="s">
        <v>26</v>
      </c>
      <c r="BM81" t="s">
        <v>26</v>
      </c>
      <c r="BN81" t="s">
        <v>26</v>
      </c>
      <c r="BO81" t="s">
        <v>26</v>
      </c>
      <c r="BP81" t="s">
        <v>26</v>
      </c>
      <c r="BQ81" t="s">
        <v>26</v>
      </c>
      <c r="BR81" t="s">
        <v>26</v>
      </c>
      <c r="BS81" t="s">
        <v>26</v>
      </c>
      <c r="BT81" t="s">
        <v>26</v>
      </c>
      <c r="BU81" t="s">
        <v>26</v>
      </c>
      <c r="BV81" t="s">
        <v>26</v>
      </c>
      <c r="BW81" t="s">
        <v>26</v>
      </c>
      <c r="BX81" t="s">
        <v>26</v>
      </c>
      <c r="BY81" t="s">
        <v>26</v>
      </c>
      <c r="BZ81" t="s">
        <v>26</v>
      </c>
      <c r="CA81" t="s">
        <v>26</v>
      </c>
      <c r="CB81" t="s">
        <v>26</v>
      </c>
      <c r="CG81">
        <v>7</v>
      </c>
      <c r="CH81">
        <v>6</v>
      </c>
      <c r="CJ81">
        <v>7</v>
      </c>
      <c r="CL81">
        <f t="shared" si="9"/>
        <v>2</v>
      </c>
      <c r="CM81" s="18">
        <f t="shared" si="10"/>
        <v>6.5</v>
      </c>
      <c r="CN81" t="e">
        <f t="shared" si="11"/>
        <v>#DIV/0!</v>
      </c>
      <c r="CO81">
        <v>0</v>
      </c>
      <c r="CP81">
        <f t="shared" si="12"/>
        <v>3</v>
      </c>
      <c r="CQ81">
        <f t="shared" si="13"/>
        <v>3</v>
      </c>
      <c r="CR81" t="e">
        <f t="shared" si="14"/>
        <v>#DIV/0!</v>
      </c>
      <c r="CS81">
        <f t="shared" si="15"/>
        <v>0</v>
      </c>
    </row>
    <row r="82" spans="1:97" x14ac:dyDescent="0.35">
      <c r="A82" t="s">
        <v>390</v>
      </c>
      <c r="B82" t="s">
        <v>26</v>
      </c>
      <c r="C82" t="s">
        <v>26</v>
      </c>
      <c r="D82" t="s">
        <v>26</v>
      </c>
      <c r="E82" t="s">
        <v>26</v>
      </c>
      <c r="F82" t="s">
        <v>26</v>
      </c>
      <c r="G82" t="s">
        <v>26</v>
      </c>
      <c r="H82" t="s">
        <v>26</v>
      </c>
      <c r="I82" t="s">
        <v>26</v>
      </c>
      <c r="J82" t="s">
        <v>26</v>
      </c>
      <c r="K82" t="s">
        <v>26</v>
      </c>
      <c r="L82" t="s">
        <v>26</v>
      </c>
      <c r="M82" t="s">
        <v>26</v>
      </c>
      <c r="N82" t="s">
        <v>26</v>
      </c>
      <c r="O82" t="s">
        <v>26</v>
      </c>
      <c r="P82" t="s">
        <v>26</v>
      </c>
      <c r="Q82" t="s">
        <v>26</v>
      </c>
      <c r="R82" t="s">
        <v>26</v>
      </c>
      <c r="S82" t="s">
        <v>26</v>
      </c>
      <c r="T82" t="s">
        <v>26</v>
      </c>
      <c r="U82" t="s">
        <v>26</v>
      </c>
      <c r="V82" t="s">
        <v>26</v>
      </c>
      <c r="W82" t="s">
        <v>26</v>
      </c>
      <c r="X82" t="s">
        <v>26</v>
      </c>
      <c r="Y82" t="s">
        <v>26</v>
      </c>
      <c r="Z82" t="s">
        <v>26</v>
      </c>
      <c r="AA82" t="s">
        <v>26</v>
      </c>
      <c r="AB82" t="s">
        <v>26</v>
      </c>
      <c r="AC82" t="s">
        <v>26</v>
      </c>
      <c r="AD82" t="s">
        <v>26</v>
      </c>
      <c r="AE82" t="s">
        <v>26</v>
      </c>
      <c r="AF82" t="s">
        <v>26</v>
      </c>
      <c r="AG82" t="s">
        <v>26</v>
      </c>
      <c r="AH82" t="s">
        <v>26</v>
      </c>
      <c r="AI82" t="s">
        <v>26</v>
      </c>
      <c r="AJ82" t="s">
        <v>26</v>
      </c>
      <c r="AK82" t="s">
        <v>26</v>
      </c>
      <c r="AL82" t="s">
        <v>26</v>
      </c>
      <c r="AM82" t="s">
        <v>26</v>
      </c>
      <c r="AN82" t="s">
        <v>26</v>
      </c>
      <c r="AO82" t="s">
        <v>26</v>
      </c>
      <c r="AP82" t="s">
        <v>26</v>
      </c>
      <c r="AQ82" t="s">
        <v>26</v>
      </c>
      <c r="AR82" t="s">
        <v>26</v>
      </c>
      <c r="AS82" t="s">
        <v>26</v>
      </c>
      <c r="AT82" t="s">
        <v>26</v>
      </c>
      <c r="AU82" t="s">
        <v>26</v>
      </c>
      <c r="AV82" t="s">
        <v>26</v>
      </c>
      <c r="AW82" t="s">
        <v>26</v>
      </c>
      <c r="AX82" t="s">
        <v>26</v>
      </c>
      <c r="AY82" t="s">
        <v>26</v>
      </c>
      <c r="AZ82" t="s">
        <v>26</v>
      </c>
      <c r="BA82" t="s">
        <v>26</v>
      </c>
      <c r="BB82" t="s">
        <v>26</v>
      </c>
      <c r="BC82" t="s">
        <v>26</v>
      </c>
      <c r="BD82" t="s">
        <v>26</v>
      </c>
      <c r="BE82" t="s">
        <v>26</v>
      </c>
      <c r="BF82" t="s">
        <v>26</v>
      </c>
      <c r="BG82" t="s">
        <v>26</v>
      </c>
      <c r="BH82" t="s">
        <v>26</v>
      </c>
      <c r="BI82" t="s">
        <v>26</v>
      </c>
      <c r="BJ82" t="s">
        <v>26</v>
      </c>
      <c r="BK82" t="s">
        <v>26</v>
      </c>
      <c r="BL82" t="s">
        <v>26</v>
      </c>
      <c r="BM82" t="s">
        <v>26</v>
      </c>
      <c r="BN82" t="s">
        <v>26</v>
      </c>
      <c r="BO82" t="s">
        <v>26</v>
      </c>
      <c r="BP82" t="s">
        <v>26</v>
      </c>
      <c r="BQ82" t="s">
        <v>26</v>
      </c>
      <c r="BR82" t="s">
        <v>26</v>
      </c>
      <c r="BS82" t="s">
        <v>26</v>
      </c>
      <c r="BT82" t="s">
        <v>26</v>
      </c>
      <c r="BU82" t="s">
        <v>26</v>
      </c>
      <c r="BV82" t="s">
        <v>26</v>
      </c>
      <c r="BW82" t="s">
        <v>26</v>
      </c>
      <c r="BX82" t="s">
        <v>26</v>
      </c>
      <c r="BY82" t="s">
        <v>26</v>
      </c>
      <c r="BZ82" t="s">
        <v>26</v>
      </c>
      <c r="CA82" t="s">
        <v>26</v>
      </c>
      <c r="CB82" t="s">
        <v>26</v>
      </c>
      <c r="CH82">
        <v>7.5</v>
      </c>
      <c r="CL82">
        <f t="shared" si="9"/>
        <v>1</v>
      </c>
      <c r="CM82" s="18">
        <f t="shared" si="10"/>
        <v>7.5</v>
      </c>
      <c r="CN82" t="str">
        <f t="shared" si="11"/>
        <v/>
      </c>
      <c r="CO82">
        <v>0</v>
      </c>
      <c r="CP82">
        <f t="shared" si="12"/>
        <v>1</v>
      </c>
      <c r="CQ82">
        <f t="shared" si="13"/>
        <v>1</v>
      </c>
      <c r="CR82" t="e">
        <f t="shared" si="14"/>
        <v>#DIV/0!</v>
      </c>
      <c r="CS82">
        <f t="shared" si="15"/>
        <v>0</v>
      </c>
    </row>
    <row r="83" spans="1:97" x14ac:dyDescent="0.35">
      <c r="A83" t="s">
        <v>392</v>
      </c>
      <c r="B83" t="s">
        <v>26</v>
      </c>
      <c r="C83" t="s">
        <v>26</v>
      </c>
      <c r="D83" t="s">
        <v>26</v>
      </c>
      <c r="E83" t="s">
        <v>26</v>
      </c>
      <c r="F83" t="s">
        <v>26</v>
      </c>
      <c r="G83" t="s">
        <v>26</v>
      </c>
      <c r="H83" t="s">
        <v>26</v>
      </c>
      <c r="I83" t="s">
        <v>26</v>
      </c>
      <c r="J83" t="s">
        <v>26</v>
      </c>
      <c r="K83" t="s">
        <v>26</v>
      </c>
      <c r="L83" t="s">
        <v>26</v>
      </c>
      <c r="M83" t="s">
        <v>26</v>
      </c>
      <c r="N83" t="s">
        <v>26</v>
      </c>
      <c r="O83" t="s">
        <v>26</v>
      </c>
      <c r="P83" t="s">
        <v>26</v>
      </c>
      <c r="Q83" t="s">
        <v>26</v>
      </c>
      <c r="R83" t="s">
        <v>26</v>
      </c>
      <c r="S83" t="s">
        <v>26</v>
      </c>
      <c r="T83" t="s">
        <v>26</v>
      </c>
      <c r="U83" t="s">
        <v>26</v>
      </c>
      <c r="V83" t="s">
        <v>26</v>
      </c>
      <c r="W83" t="s">
        <v>26</v>
      </c>
      <c r="X83" t="s">
        <v>26</v>
      </c>
      <c r="Y83" t="s">
        <v>26</v>
      </c>
      <c r="Z83" t="s">
        <v>26</v>
      </c>
      <c r="AA83" t="s">
        <v>26</v>
      </c>
      <c r="AB83" t="s">
        <v>26</v>
      </c>
      <c r="AC83" t="s">
        <v>26</v>
      </c>
      <c r="AD83" t="s">
        <v>26</v>
      </c>
      <c r="AE83" t="s">
        <v>26</v>
      </c>
      <c r="AF83" t="s">
        <v>26</v>
      </c>
      <c r="AG83" t="s">
        <v>26</v>
      </c>
      <c r="AH83" t="s">
        <v>26</v>
      </c>
      <c r="AI83" t="s">
        <v>26</v>
      </c>
      <c r="AJ83" t="s">
        <v>26</v>
      </c>
      <c r="AK83" t="s">
        <v>26</v>
      </c>
      <c r="AL83" t="s">
        <v>26</v>
      </c>
      <c r="AM83" t="s">
        <v>26</v>
      </c>
      <c r="AN83" t="s">
        <v>26</v>
      </c>
      <c r="AO83" t="s">
        <v>26</v>
      </c>
      <c r="AP83" t="s">
        <v>26</v>
      </c>
      <c r="AQ83" t="s">
        <v>26</v>
      </c>
      <c r="AR83" t="s">
        <v>26</v>
      </c>
      <c r="AS83" t="s">
        <v>26</v>
      </c>
      <c r="AT83" t="s">
        <v>26</v>
      </c>
      <c r="AU83" t="s">
        <v>26</v>
      </c>
      <c r="AV83" t="s">
        <v>26</v>
      </c>
      <c r="AW83" t="s">
        <v>26</v>
      </c>
      <c r="AX83" t="s">
        <v>26</v>
      </c>
      <c r="AY83" t="s">
        <v>26</v>
      </c>
      <c r="AZ83" t="s">
        <v>26</v>
      </c>
      <c r="BA83" t="s">
        <v>26</v>
      </c>
      <c r="BB83" t="s">
        <v>26</v>
      </c>
      <c r="BC83" t="s">
        <v>26</v>
      </c>
      <c r="BD83" t="s">
        <v>26</v>
      </c>
      <c r="BE83" t="s">
        <v>26</v>
      </c>
      <c r="BF83" t="s">
        <v>26</v>
      </c>
      <c r="BG83" t="s">
        <v>26</v>
      </c>
      <c r="BH83" t="s">
        <v>26</v>
      </c>
      <c r="BI83" t="s">
        <v>26</v>
      </c>
      <c r="BJ83" t="s">
        <v>26</v>
      </c>
      <c r="BK83" t="s">
        <v>26</v>
      </c>
      <c r="BL83" t="s">
        <v>26</v>
      </c>
      <c r="BM83" t="s">
        <v>26</v>
      </c>
      <c r="BN83" t="s">
        <v>26</v>
      </c>
      <c r="BO83" t="s">
        <v>26</v>
      </c>
      <c r="BP83" t="s">
        <v>26</v>
      </c>
      <c r="BQ83" t="s">
        <v>26</v>
      </c>
      <c r="BR83" t="s">
        <v>26</v>
      </c>
      <c r="BS83" t="s">
        <v>26</v>
      </c>
      <c r="BT83" t="s">
        <v>26</v>
      </c>
      <c r="BU83" t="s">
        <v>26</v>
      </c>
      <c r="BV83" t="s">
        <v>26</v>
      </c>
      <c r="BW83" t="s">
        <v>26</v>
      </c>
      <c r="BX83" t="s">
        <v>26</v>
      </c>
      <c r="BY83" t="s">
        <v>26</v>
      </c>
      <c r="BZ83" t="s">
        <v>26</v>
      </c>
      <c r="CA83" t="s">
        <v>26</v>
      </c>
      <c r="CB83" t="s">
        <v>26</v>
      </c>
      <c r="CI83">
        <v>7</v>
      </c>
      <c r="CL83">
        <f t="shared" ref="CL83" si="16">COUNT(B83:CI83)</f>
        <v>1</v>
      </c>
      <c r="CM83" s="18">
        <f t="shared" ref="CM83" si="17">AVERAGE(B83:CI83)</f>
        <v>7</v>
      </c>
      <c r="CN83" t="str">
        <f t="shared" ref="CN83" si="18">IF(CL83&gt;1,_xlfn.STDEV.S(B83:CF83),"")</f>
        <v/>
      </c>
      <c r="CO83">
        <v>0</v>
      </c>
      <c r="CP83">
        <f t="shared" si="12"/>
        <v>1</v>
      </c>
      <c r="CQ83">
        <f t="shared" ref="CQ83" si="19">IF(CO83=0,CP83,0)</f>
        <v>1</v>
      </c>
      <c r="CR83" t="e">
        <f t="shared" si="14"/>
        <v>#DIV/0!</v>
      </c>
      <c r="CS83">
        <f t="shared" si="15"/>
        <v>0</v>
      </c>
    </row>
  </sheetData>
  <autoFilter ref="A1:CQ83" xr:uid="{B9A4D56B-02EF-476F-9B0E-F093A198C591}">
    <sortState ref="A2:CQ80">
      <sortCondition descending="1" ref="CO1:CO80"/>
    </sortState>
  </autoFilter>
  <conditionalFormatting sqref="CL2:CL8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83">
    <cfRule type="colorScale" priority="8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L2:CL83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83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83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83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83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7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6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67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67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J8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workbookViewId="0">
      <selection activeCell="B16" sqref="B16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  <c r="N1" t="s">
        <v>383</v>
      </c>
      <c r="Q1" t="s">
        <v>334</v>
      </c>
      <c r="R1" t="s">
        <v>335</v>
      </c>
      <c r="S1" t="s">
        <v>337</v>
      </c>
      <c r="U1" t="s">
        <v>334</v>
      </c>
      <c r="V1" t="s">
        <v>335</v>
      </c>
      <c r="W1" t="s">
        <v>337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332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333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332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333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Z88"/>
  <sheetViews>
    <sheetView topLeftCell="A4" zoomScale="85" zoomScaleNormal="85" workbookViewId="0">
      <pane xSplit="1" topLeftCell="F1" activePane="topRight" state="frozen"/>
      <selection activeCell="A31" sqref="A31"/>
      <selection pane="topRight" activeCell="V88" sqref="V88"/>
    </sheetView>
  </sheetViews>
  <sheetFormatPr defaultRowHeight="14.5" x14ac:dyDescent="0.35"/>
  <cols>
    <col min="2" max="6" width="12.26953125" bestFit="1" customWidth="1"/>
    <col min="7" max="9" width="12.26953125" style="22" bestFit="1" customWidth="1"/>
    <col min="10" max="11" width="12.26953125" bestFit="1" customWidth="1"/>
    <col min="12" max="12" width="12.26953125" style="22" bestFit="1" customWidth="1"/>
    <col min="13" max="14" width="12.26953125" bestFit="1" customWidth="1"/>
    <col min="15" max="17" width="12.26953125" style="22" bestFit="1" customWidth="1"/>
    <col min="18" max="18" width="12.26953125" bestFit="1" customWidth="1"/>
    <col min="19" max="19" width="12.26953125" style="22" bestFit="1" customWidth="1"/>
    <col min="20" max="22" width="12.26953125" bestFit="1" customWidth="1"/>
    <col min="23" max="24" width="9.6328125" customWidth="1"/>
    <col min="26" max="26" width="16.6328125" bestFit="1" customWidth="1"/>
  </cols>
  <sheetData>
    <row r="1" spans="1:26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S1" s="22" t="s">
        <v>76</v>
      </c>
      <c r="T1" s="22" t="s">
        <v>331</v>
      </c>
      <c r="U1" s="22" t="s">
        <v>338</v>
      </c>
      <c r="V1" s="22" t="s">
        <v>341</v>
      </c>
      <c r="Z1" t="s">
        <v>349</v>
      </c>
    </row>
    <row r="2" spans="1:26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U2" s="19">
        <v>93.34</v>
      </c>
      <c r="V2" s="19">
        <v>78.34</v>
      </c>
      <c r="Z2" s="1">
        <v>46079</v>
      </c>
    </row>
    <row r="3" spans="1:26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19">
        <v>90.34</v>
      </c>
      <c r="U3" s="19">
        <v>93.34</v>
      </c>
      <c r="V3" s="21">
        <v>78.34</v>
      </c>
    </row>
    <row r="4" spans="1:26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26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19">
        <v>90.34</v>
      </c>
      <c r="U5" s="19">
        <v>93.34</v>
      </c>
      <c r="V5" s="21">
        <v>78.34</v>
      </c>
      <c r="W5" s="19"/>
      <c r="X5" s="19"/>
      <c r="Y5" t="s">
        <v>370</v>
      </c>
      <c r="Z5">
        <v>20</v>
      </c>
    </row>
    <row r="6" spans="1:26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U6" s="19">
        <v>93.34</v>
      </c>
      <c r="V6" s="21">
        <v>78.34</v>
      </c>
      <c r="Y6" t="s">
        <v>371</v>
      </c>
      <c r="Z6">
        <f>27*Z5</f>
        <v>540</v>
      </c>
    </row>
    <row r="7" spans="1:26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19">
        <v>90.34</v>
      </c>
      <c r="U7" s="19">
        <v>93.34</v>
      </c>
      <c r="V7" s="19"/>
      <c r="W7" s="19"/>
      <c r="X7" s="19"/>
      <c r="Y7" t="s">
        <v>372</v>
      </c>
      <c r="Z7">
        <f>1950-Z6</f>
        <v>1410</v>
      </c>
    </row>
    <row r="8" spans="1:26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Y8" t="s">
        <v>373</v>
      </c>
      <c r="Z8">
        <f>Z7/18</f>
        <v>78.333333333333329</v>
      </c>
    </row>
    <row r="9" spans="1:26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26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  <c r="U10" s="19">
        <v>93.34</v>
      </c>
      <c r="V10" s="21">
        <v>78.34</v>
      </c>
    </row>
    <row r="11" spans="1:26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  <c r="U11" s="19">
        <v>93.34</v>
      </c>
      <c r="V11" s="19">
        <v>78.34</v>
      </c>
    </row>
    <row r="12" spans="1:26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  <c r="U12" s="19">
        <v>93.34</v>
      </c>
      <c r="V12" s="19">
        <v>78.34</v>
      </c>
    </row>
    <row r="13" spans="1:26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19">
        <v>90.34</v>
      </c>
      <c r="U13" s="19">
        <v>93.34</v>
      </c>
      <c r="V13" s="21">
        <v>78.34</v>
      </c>
    </row>
    <row r="14" spans="1:26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19">
        <v>90.34</v>
      </c>
      <c r="U14" s="19">
        <v>93.34</v>
      </c>
      <c r="V14" s="21">
        <v>78.34</v>
      </c>
    </row>
    <row r="15" spans="1:26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  <c r="U15" s="19">
        <v>93.34</v>
      </c>
      <c r="V15" s="21">
        <v>78.34</v>
      </c>
    </row>
    <row r="16" spans="1:26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V16" s="19">
        <v>54</v>
      </c>
      <c r="Y16" s="60"/>
    </row>
    <row r="17" spans="1:25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U17" s="19">
        <v>27</v>
      </c>
      <c r="Y17" s="60"/>
    </row>
    <row r="18" spans="1:25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19">
        <v>93.34</v>
      </c>
      <c r="V18" s="21">
        <v>78.34</v>
      </c>
    </row>
    <row r="19" spans="1:25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  <c r="U19" s="19">
        <v>93.34</v>
      </c>
      <c r="V19" s="21">
        <v>78.34</v>
      </c>
    </row>
    <row r="20" spans="1:25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19">
        <v>27</v>
      </c>
      <c r="U20" s="19">
        <v>93.34</v>
      </c>
      <c r="V20" s="19">
        <v>78.34</v>
      </c>
    </row>
    <row r="21" spans="1:25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25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25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25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  <c r="U24" s="19">
        <v>93.34</v>
      </c>
      <c r="V24" s="19">
        <v>27</v>
      </c>
    </row>
    <row r="25" spans="1:25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25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19">
        <v>27</v>
      </c>
      <c r="T26" s="22"/>
      <c r="U26" s="22"/>
      <c r="V26" s="19"/>
      <c r="W26" s="19"/>
      <c r="X26" s="19"/>
    </row>
    <row r="27" spans="1:25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  <c r="V27" s="21">
        <v>27</v>
      </c>
    </row>
    <row r="28" spans="1:25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</row>
    <row r="29" spans="1:25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  <c r="U29" s="21">
        <v>27</v>
      </c>
    </row>
    <row r="30" spans="1:25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  <c r="U30" s="19">
        <v>93.34</v>
      </c>
      <c r="V30" s="21">
        <v>78.34</v>
      </c>
    </row>
    <row r="31" spans="1:25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25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21">
        <v>54</v>
      </c>
      <c r="U32" s="21">
        <v>54</v>
      </c>
      <c r="V32" s="21">
        <v>78.34</v>
      </c>
    </row>
    <row r="33" spans="1:22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2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</row>
    <row r="35" spans="1:22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  <c r="V35" s="21">
        <v>27</v>
      </c>
    </row>
    <row r="36" spans="1:22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</row>
    <row r="37" spans="1:22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</row>
    <row r="38" spans="1:22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</row>
    <row r="39" spans="1:22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  <c r="U39" s="19">
        <v>93.34</v>
      </c>
      <c r="V39" s="21">
        <v>78.34</v>
      </c>
    </row>
    <row r="40" spans="1:22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  <c r="S40" s="19">
        <v>27</v>
      </c>
    </row>
    <row r="41" spans="1:22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2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  <c r="U42" s="19">
        <v>27</v>
      </c>
      <c r="V42" s="19">
        <v>27</v>
      </c>
    </row>
    <row r="43" spans="1:22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  <c r="U43" s="21">
        <v>27</v>
      </c>
      <c r="V43" s="21">
        <v>27</v>
      </c>
    </row>
    <row r="44" spans="1:22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</row>
    <row r="45" spans="1:22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22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22" x14ac:dyDescent="0.35">
      <c r="A47" t="s">
        <v>81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19">
        <v>27</v>
      </c>
      <c r="U47" s="19">
        <v>27</v>
      </c>
      <c r="V47" s="21">
        <v>78.34</v>
      </c>
    </row>
    <row r="48" spans="1:22" x14ac:dyDescent="0.35">
      <c r="A48" t="s">
        <v>389</v>
      </c>
      <c r="C48" s="19"/>
      <c r="D48" s="19"/>
      <c r="E48" s="19"/>
      <c r="F48" s="19"/>
      <c r="G48" s="19">
        <v>25</v>
      </c>
      <c r="H48" s="19"/>
      <c r="I48" s="19"/>
      <c r="V48" s="21">
        <v>27</v>
      </c>
    </row>
    <row r="49" spans="1:22" x14ac:dyDescent="0.35">
      <c r="A49" t="s">
        <v>80</v>
      </c>
      <c r="G49" s="19">
        <v>25</v>
      </c>
      <c r="H49" s="19"/>
      <c r="I49" s="19"/>
    </row>
    <row r="50" spans="1:22" x14ac:dyDescent="0.35">
      <c r="A50" t="s">
        <v>83</v>
      </c>
      <c r="G50" s="19"/>
      <c r="H50" s="19">
        <v>25</v>
      </c>
      <c r="I50" s="19"/>
    </row>
    <row r="51" spans="1:22" x14ac:dyDescent="0.35">
      <c r="A51" t="s">
        <v>86</v>
      </c>
      <c r="G51" s="19"/>
      <c r="H51" s="19">
        <v>25</v>
      </c>
      <c r="I51" s="19"/>
    </row>
    <row r="52" spans="1:22" x14ac:dyDescent="0.35">
      <c r="A52" t="s">
        <v>85</v>
      </c>
      <c r="G52" s="19"/>
      <c r="H52" s="19">
        <v>25</v>
      </c>
      <c r="I52" s="19">
        <v>50</v>
      </c>
    </row>
    <row r="53" spans="1:22" x14ac:dyDescent="0.35">
      <c r="A53" t="s">
        <v>84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19">
        <v>54</v>
      </c>
      <c r="U53" s="19">
        <v>93.34</v>
      </c>
      <c r="V53" s="21">
        <v>78.34</v>
      </c>
    </row>
    <row r="54" spans="1:22" x14ac:dyDescent="0.35">
      <c r="A54" t="s">
        <v>340</v>
      </c>
      <c r="G54" s="19"/>
      <c r="H54" s="19"/>
      <c r="I54" s="19"/>
      <c r="J54" s="19">
        <v>25</v>
      </c>
      <c r="K54" s="19">
        <v>62.5</v>
      </c>
      <c r="L54" s="19">
        <v>79.17</v>
      </c>
    </row>
    <row r="55" spans="1:22" x14ac:dyDescent="0.35">
      <c r="A55" t="s">
        <v>339</v>
      </c>
      <c r="G55" s="19"/>
      <c r="H55" s="19"/>
      <c r="I55" s="19"/>
      <c r="J55" s="19">
        <v>25</v>
      </c>
      <c r="M55" s="19">
        <v>25</v>
      </c>
    </row>
    <row r="56" spans="1:22" x14ac:dyDescent="0.35">
      <c r="A56" t="s">
        <v>344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2" x14ac:dyDescent="0.35">
      <c r="A57" t="s">
        <v>342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  <c r="V57" s="21">
        <v>27</v>
      </c>
    </row>
    <row r="58" spans="1:22" x14ac:dyDescent="0.35">
      <c r="A58" t="s">
        <v>345</v>
      </c>
      <c r="G58"/>
      <c r="H58"/>
      <c r="I58"/>
      <c r="K58" s="19">
        <v>25</v>
      </c>
      <c r="L58" s="19"/>
      <c r="V58" s="21">
        <v>54</v>
      </c>
    </row>
    <row r="59" spans="1:22" x14ac:dyDescent="0.35">
      <c r="A59" t="s">
        <v>346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2" x14ac:dyDescent="0.35">
      <c r="A60" t="s">
        <v>347</v>
      </c>
      <c r="G60"/>
      <c r="H60"/>
      <c r="I60"/>
      <c r="K60" s="19">
        <v>25</v>
      </c>
      <c r="L60" s="19"/>
    </row>
    <row r="61" spans="1:22" x14ac:dyDescent="0.35">
      <c r="A61" t="s">
        <v>354</v>
      </c>
      <c r="G61"/>
      <c r="H61"/>
      <c r="I61"/>
      <c r="K61" s="19"/>
      <c r="L61" s="19">
        <v>25</v>
      </c>
    </row>
    <row r="62" spans="1:22" x14ac:dyDescent="0.35">
      <c r="A62" t="s">
        <v>356</v>
      </c>
      <c r="L62" s="19">
        <v>25</v>
      </c>
    </row>
    <row r="63" spans="1:22" x14ac:dyDescent="0.35">
      <c r="A63" t="s">
        <v>352</v>
      </c>
      <c r="L63" s="19">
        <v>25</v>
      </c>
    </row>
    <row r="64" spans="1:22" x14ac:dyDescent="0.35">
      <c r="A64" t="s">
        <v>350</v>
      </c>
      <c r="L64" s="19">
        <v>25</v>
      </c>
    </row>
    <row r="65" spans="1:22" x14ac:dyDescent="0.35">
      <c r="A65" t="s">
        <v>363</v>
      </c>
      <c r="L65" s="19"/>
      <c r="M65" s="19">
        <v>25</v>
      </c>
      <c r="U65" s="19">
        <v>27</v>
      </c>
    </row>
    <row r="66" spans="1:22" x14ac:dyDescent="0.35">
      <c r="A66" t="s">
        <v>361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2" x14ac:dyDescent="0.35">
      <c r="A67" t="s">
        <v>364</v>
      </c>
      <c r="L67" s="19"/>
      <c r="M67" s="19"/>
      <c r="N67" s="19">
        <v>27</v>
      </c>
      <c r="O67" s="19"/>
      <c r="P67" s="19">
        <v>27</v>
      </c>
      <c r="Q67" s="19"/>
    </row>
    <row r="68" spans="1:22" x14ac:dyDescent="0.35">
      <c r="A68" t="s">
        <v>365</v>
      </c>
      <c r="L68" s="19"/>
      <c r="M68" s="19"/>
      <c r="N68" s="19">
        <v>27</v>
      </c>
      <c r="O68" s="19"/>
      <c r="P68" s="19"/>
      <c r="Q68" s="19"/>
    </row>
    <row r="69" spans="1:22" x14ac:dyDescent="0.35">
      <c r="A69" t="s">
        <v>366</v>
      </c>
      <c r="L69" s="19"/>
      <c r="M69" s="19"/>
      <c r="N69" s="19">
        <v>27</v>
      </c>
      <c r="O69" s="19"/>
      <c r="P69" s="19"/>
      <c r="Q69" s="19"/>
    </row>
    <row r="70" spans="1:22" x14ac:dyDescent="0.35">
      <c r="A70" t="s">
        <v>368</v>
      </c>
      <c r="O70" s="19">
        <v>27</v>
      </c>
      <c r="P70" s="19"/>
      <c r="Q70" s="19"/>
      <c r="R70" s="19">
        <v>27</v>
      </c>
      <c r="S70" s="19"/>
      <c r="V70" s="21">
        <v>27</v>
      </c>
    </row>
    <row r="71" spans="1:22" x14ac:dyDescent="0.35">
      <c r="A71" t="s">
        <v>369</v>
      </c>
      <c r="O71" s="19">
        <v>54</v>
      </c>
      <c r="P71" s="19"/>
      <c r="Q71" s="19"/>
    </row>
    <row r="72" spans="1:22" x14ac:dyDescent="0.35">
      <c r="A72" t="s">
        <v>376</v>
      </c>
      <c r="O72" s="19"/>
      <c r="P72" s="19"/>
      <c r="Q72" s="19">
        <v>81</v>
      </c>
      <c r="R72" s="19">
        <f>27*2</f>
        <v>54</v>
      </c>
      <c r="S72" s="19">
        <v>54</v>
      </c>
    </row>
    <row r="73" spans="1:22" x14ac:dyDescent="0.35">
      <c r="A73" t="s">
        <v>374</v>
      </c>
      <c r="O73" s="19"/>
      <c r="P73" s="19"/>
      <c r="Q73" s="19">
        <v>27</v>
      </c>
    </row>
    <row r="74" spans="1:22" x14ac:dyDescent="0.35">
      <c r="A74" t="s">
        <v>375</v>
      </c>
      <c r="O74" s="19"/>
      <c r="P74" s="19"/>
      <c r="Q74" s="19">
        <v>27</v>
      </c>
    </row>
    <row r="75" spans="1:22" x14ac:dyDescent="0.35">
      <c r="A75" t="s">
        <v>377</v>
      </c>
      <c r="O75" s="19"/>
      <c r="P75" s="19"/>
      <c r="Q75" s="19"/>
      <c r="R75" s="19">
        <v>27</v>
      </c>
      <c r="S75" s="19"/>
    </row>
    <row r="76" spans="1:22" x14ac:dyDescent="0.35">
      <c r="A76" t="s">
        <v>378</v>
      </c>
      <c r="O76" s="19"/>
      <c r="P76" s="19"/>
      <c r="Q76" s="19"/>
      <c r="R76" s="19"/>
      <c r="S76" s="19">
        <v>54</v>
      </c>
      <c r="T76" s="19">
        <v>27</v>
      </c>
      <c r="U76" s="19">
        <v>27</v>
      </c>
      <c r="V76" s="21">
        <v>54</v>
      </c>
    </row>
    <row r="77" spans="1:22" x14ac:dyDescent="0.35">
      <c r="A77" t="s">
        <v>380</v>
      </c>
      <c r="O77" s="19"/>
      <c r="P77" s="19"/>
      <c r="Q77" s="19"/>
      <c r="R77" s="19"/>
      <c r="S77" s="19">
        <v>27</v>
      </c>
      <c r="T77" s="19">
        <v>27</v>
      </c>
    </row>
    <row r="78" spans="1:22" x14ac:dyDescent="0.35">
      <c r="A78" t="s">
        <v>381</v>
      </c>
      <c r="O78" s="19"/>
      <c r="P78" s="19"/>
      <c r="Q78" s="19"/>
      <c r="R78" s="19"/>
      <c r="S78" s="19"/>
      <c r="T78" s="19">
        <v>27</v>
      </c>
    </row>
    <row r="79" spans="1:22" x14ac:dyDescent="0.35">
      <c r="A79" t="s">
        <v>382</v>
      </c>
      <c r="O79" s="19"/>
      <c r="P79" s="19"/>
      <c r="Q79" s="19"/>
      <c r="R79" s="19"/>
      <c r="S79" s="19"/>
      <c r="T79" s="19">
        <v>27</v>
      </c>
    </row>
    <row r="80" spans="1:22" x14ac:dyDescent="0.35">
      <c r="A80" t="s">
        <v>385</v>
      </c>
      <c r="O80" s="19"/>
      <c r="P80" s="19"/>
      <c r="Q80" s="19"/>
      <c r="R80" s="19"/>
      <c r="S80" s="19"/>
      <c r="T80" s="19"/>
      <c r="U80" s="19">
        <v>27</v>
      </c>
      <c r="V80" s="19">
        <v>27</v>
      </c>
    </row>
    <row r="81" spans="1:22" x14ac:dyDescent="0.35">
      <c r="A81" t="s">
        <v>388</v>
      </c>
      <c r="O81" s="19"/>
      <c r="P81" s="19"/>
      <c r="Q81" s="19"/>
      <c r="R81" s="19"/>
      <c r="S81" s="19"/>
      <c r="T81" s="19"/>
      <c r="U81" s="19"/>
      <c r="V81" s="21">
        <f>27*3</f>
        <v>81</v>
      </c>
    </row>
    <row r="82" spans="1:22" x14ac:dyDescent="0.35">
      <c r="A82" t="s">
        <v>390</v>
      </c>
      <c r="O82" s="19"/>
      <c r="P82" s="19"/>
      <c r="Q82" s="19"/>
      <c r="R82" s="19"/>
      <c r="S82" s="19"/>
      <c r="T82" s="19"/>
      <c r="U82" s="19"/>
      <c r="V82" s="21">
        <v>27</v>
      </c>
    </row>
    <row r="83" spans="1:22" x14ac:dyDescent="0.35">
      <c r="A83" t="s">
        <v>392</v>
      </c>
      <c r="O83" s="19"/>
      <c r="P83" s="19"/>
      <c r="Q83" s="19"/>
      <c r="R83" s="19"/>
      <c r="S83" s="19"/>
      <c r="T83" s="19"/>
      <c r="U83" s="19"/>
      <c r="V83" s="21">
        <v>27</v>
      </c>
    </row>
    <row r="84" spans="1:22" x14ac:dyDescent="0.35">
      <c r="U84" s="22"/>
    </row>
    <row r="85" spans="1:22" x14ac:dyDescent="0.35">
      <c r="A85" t="s">
        <v>387</v>
      </c>
      <c r="B85" s="20">
        <f>SUM(B2:B80)</f>
        <v>1799.9999999999998</v>
      </c>
      <c r="C85" s="20">
        <f t="shared" ref="C85:U85" si="1">SUM(C2:C80)</f>
        <v>1800.1200000000001</v>
      </c>
      <c r="D85" s="20">
        <f t="shared" si="1"/>
        <v>1825.1200000000001</v>
      </c>
      <c r="E85" s="20">
        <f t="shared" si="1"/>
        <v>1775.04</v>
      </c>
      <c r="F85" s="20">
        <f t="shared" si="1"/>
        <v>1850.04</v>
      </c>
      <c r="G85" s="20">
        <f t="shared" si="1"/>
        <v>1800.0399999999997</v>
      </c>
      <c r="H85" s="20">
        <f t="shared" si="1"/>
        <v>1800.14</v>
      </c>
      <c r="I85" s="20">
        <f t="shared" si="1"/>
        <v>1800.0399999999997</v>
      </c>
      <c r="J85" s="20">
        <f t="shared" si="1"/>
        <v>1800.1599999999994</v>
      </c>
      <c r="K85" s="20">
        <f t="shared" si="1"/>
        <v>1825.0066666666664</v>
      </c>
      <c r="L85" s="20">
        <f t="shared" si="1"/>
        <v>1800.0600000000004</v>
      </c>
      <c r="M85" s="20">
        <f t="shared" si="1"/>
        <v>1800.0200000000004</v>
      </c>
      <c r="N85" s="20">
        <f t="shared" si="1"/>
        <v>1950.1199999999997</v>
      </c>
      <c r="O85" s="20">
        <f t="shared" si="1"/>
        <v>1950.1199999999997</v>
      </c>
      <c r="P85" s="20">
        <f t="shared" si="1"/>
        <v>1950.1199999999997</v>
      </c>
      <c r="Q85" s="20">
        <f t="shared" si="1"/>
        <v>1951.9399999999998</v>
      </c>
      <c r="R85" s="20">
        <f t="shared" si="1"/>
        <v>1952.1199999999997</v>
      </c>
      <c r="S85" s="20">
        <f t="shared" si="1"/>
        <v>1950.1199999999997</v>
      </c>
      <c r="T85" s="20">
        <f t="shared" si="1"/>
        <v>1950.1199999999997</v>
      </c>
      <c r="U85" s="20">
        <f t="shared" si="1"/>
        <v>1950.1199999999997</v>
      </c>
      <c r="V85" s="20">
        <f>SUM(V2:V83)</f>
        <v>1950.12</v>
      </c>
    </row>
    <row r="86" spans="1:22" x14ac:dyDescent="0.35">
      <c r="A86" t="s">
        <v>74</v>
      </c>
      <c r="B86" s="20">
        <f>SUM(B3:B28)</f>
        <v>1716.6666666666665</v>
      </c>
      <c r="C86" s="20">
        <f>SUM(C3:C35)</f>
        <v>1729.2800000000002</v>
      </c>
      <c r="D86" s="20">
        <f>SUM(D3:D38)</f>
        <v>1754.2800000000002</v>
      </c>
      <c r="E86" s="20">
        <f>SUM(E3:E41)</f>
        <v>1697.26</v>
      </c>
      <c r="F86" s="20">
        <f>SUM(F3:F44)</f>
        <v>1772.26</v>
      </c>
      <c r="G86" s="20">
        <f>SUM(G3:G49)</f>
        <v>1722.2599999999998</v>
      </c>
      <c r="H86" s="20">
        <f>SUM(H3:H53)</f>
        <v>1715.41</v>
      </c>
      <c r="I86" s="20">
        <f>SUM(I3:I53)</f>
        <v>1722.2599999999998</v>
      </c>
      <c r="J86" s="20">
        <f>SUM(J3:J56)</f>
        <v>1714.0399999999995</v>
      </c>
      <c r="K86" s="20">
        <f>SUM(K3:K59)</f>
        <v>1716.6733333333332</v>
      </c>
      <c r="L86" s="20">
        <f>SUM(L3:L59)</f>
        <v>1620.8900000000003</v>
      </c>
      <c r="M86" s="20">
        <f>SUM(M3:M69)</f>
        <v>1723.6300000000003</v>
      </c>
      <c r="N86" s="20">
        <f>SUM(N3:N69)</f>
        <v>1861.2799999999997</v>
      </c>
      <c r="O86" s="20">
        <f>SUM(O3:O71)</f>
        <v>1865.7799999999997</v>
      </c>
      <c r="P86" s="20">
        <f>SUM(P3:P71)</f>
        <v>1864.2799999999997</v>
      </c>
      <c r="Q86" s="20">
        <f>SUM(Q3:Q74)</f>
        <v>1869.11</v>
      </c>
      <c r="R86" s="20">
        <f>SUM(R3:R75)</f>
        <v>1870.7799999999997</v>
      </c>
      <c r="S86" s="20">
        <f>SUM(S3:S77)</f>
        <v>1864.2799999999997</v>
      </c>
      <c r="T86" s="20">
        <f>SUM(T3:T79)</f>
        <v>1859.7799999999997</v>
      </c>
      <c r="U86" s="20">
        <f>SUM(U3:U80)</f>
        <v>1856.7799999999997</v>
      </c>
      <c r="V86" s="20">
        <f>SUM(V3:V80)</f>
        <v>1736.78</v>
      </c>
    </row>
    <row r="87" spans="1:22" x14ac:dyDescent="0.35">
      <c r="A87" t="s">
        <v>75</v>
      </c>
      <c r="B87" s="20">
        <f>25*12+83.34*17</f>
        <v>1716.78</v>
      </c>
      <c r="C87" s="20">
        <f>22*25+70.84*17</f>
        <v>1754.28</v>
      </c>
      <c r="D87" s="20">
        <f>20*25+70.84*17</f>
        <v>1704.28</v>
      </c>
      <c r="E87" s="20">
        <f>15*25+77.78*17</f>
        <v>1697.26</v>
      </c>
      <c r="F87" s="20">
        <f>18*25+77.78*17</f>
        <v>1772.26</v>
      </c>
      <c r="G87" s="23">
        <f>17*77.78+25*16</f>
        <v>1722.26</v>
      </c>
      <c r="H87" s="23">
        <f>11*25+84.73*17</f>
        <v>1715.41</v>
      </c>
      <c r="I87" s="23">
        <f>17*25+77.78*17</f>
        <v>1747.26</v>
      </c>
      <c r="J87" s="23">
        <f>10*25+86.12*17</f>
        <v>1714.04</v>
      </c>
      <c r="K87" s="23">
        <f>14*25+83.33*17</f>
        <v>1766.61</v>
      </c>
      <c r="L87" s="23">
        <f>15*25+79.17*17</f>
        <v>1720.89</v>
      </c>
      <c r="M87" s="23">
        <f>17*25+76.39*17</f>
        <v>1723.63</v>
      </c>
      <c r="N87" s="23">
        <f>14*27+88.84*17</f>
        <v>1888.28</v>
      </c>
      <c r="O87" s="23">
        <f>16*27+84.34*17</f>
        <v>1865.78</v>
      </c>
      <c r="P87" s="23">
        <f>15*27+85.84*17</f>
        <v>1864.28</v>
      </c>
      <c r="Q87" s="23">
        <f>17*27+82.83*17</f>
        <v>1867.11</v>
      </c>
      <c r="R87" s="23">
        <f>18*27+82.83*17</f>
        <v>1894.11</v>
      </c>
      <c r="S87" s="23">
        <f>15*27+85.84*17</f>
        <v>1864.28</v>
      </c>
      <c r="T87" s="23">
        <f>10*27+85.84*17</f>
        <v>1729.28</v>
      </c>
      <c r="U87" s="23">
        <f>6*27+85.84*17</f>
        <v>1621.28</v>
      </c>
      <c r="V87" s="23">
        <f>5*27+85.84*3</f>
        <v>392.52</v>
      </c>
    </row>
    <row r="88" spans="1:22" x14ac:dyDescent="0.35">
      <c r="B88" s="24">
        <f t="shared" ref="B88:G88" si="2">B87/B86</f>
        <v>1.0000660194174757</v>
      </c>
      <c r="C88" s="24">
        <f t="shared" si="2"/>
        <v>1.0144568837897852</v>
      </c>
      <c r="D88" s="24">
        <f t="shared" si="2"/>
        <v>0.97149827849602099</v>
      </c>
      <c r="E88" s="24">
        <f t="shared" si="2"/>
        <v>1</v>
      </c>
      <c r="F88" s="24">
        <f t="shared" si="2"/>
        <v>1</v>
      </c>
      <c r="G88" s="24">
        <f t="shared" si="2"/>
        <v>1.0000000000000002</v>
      </c>
      <c r="H88" s="24">
        <f t="shared" ref="H88:I88" si="3">H87/H86</f>
        <v>1</v>
      </c>
      <c r="I88" s="24">
        <f t="shared" si="3"/>
        <v>1.0145158106209284</v>
      </c>
      <c r="J88" s="24">
        <f t="shared" ref="J88:K88" si="4">J87/J86</f>
        <v>1.0000000000000002</v>
      </c>
      <c r="K88" s="24">
        <f t="shared" si="4"/>
        <v>1.0290892074205538</v>
      </c>
      <c r="L88" s="24">
        <f t="shared" ref="L88:M88" si="5">L87/L86</f>
        <v>1.0616945011691106</v>
      </c>
      <c r="M88" s="24">
        <f t="shared" si="5"/>
        <v>0.99999999999999989</v>
      </c>
      <c r="N88" s="24">
        <f t="shared" ref="N88:O88" si="6">N87/N86</f>
        <v>1.0145061463079172</v>
      </c>
      <c r="O88" s="24">
        <f t="shared" si="6"/>
        <v>1.0000000000000002</v>
      </c>
      <c r="P88" s="24">
        <f t="shared" ref="P88" si="7">P87/P86</f>
        <v>1.0000000000000002</v>
      </c>
      <c r="Q88" s="24">
        <f>Q87/Q86</f>
        <v>0.99892997201876832</v>
      </c>
      <c r="R88" s="24">
        <f>R87/R86</f>
        <v>1.0124707341322872</v>
      </c>
      <c r="S88" s="24">
        <f>S87/S86</f>
        <v>1.0000000000000002</v>
      </c>
      <c r="T88" s="24">
        <f>T87/T86</f>
        <v>0.92983041004850042</v>
      </c>
      <c r="U88" s="24">
        <f>U87/U86</f>
        <v>0.87316752657827001</v>
      </c>
      <c r="V88" s="24">
        <f>V87/V86</f>
        <v>0.22600444500742753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55"/>
  <sheetViews>
    <sheetView topLeftCell="A225" workbookViewId="0">
      <selection activeCell="D255" sqref="D255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389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389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367</v>
      </c>
      <c r="F217" s="8" t="s">
        <v>56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16</v>
      </c>
      <c r="N217" s="10" t="s">
        <v>15</v>
      </c>
      <c r="O217" s="10" t="s">
        <v>376</v>
      </c>
      <c r="P217" s="10" t="s">
        <v>378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16</v>
      </c>
      <c r="F218" s="10" t="s">
        <v>15</v>
      </c>
      <c r="G218" s="10" t="s">
        <v>376</v>
      </c>
      <c r="H218" s="10" t="s">
        <v>378</v>
      </c>
      <c r="I218" s="11">
        <v>4</v>
      </c>
      <c r="J218" s="2">
        <v>3</v>
      </c>
      <c r="K218" s="2" t="s">
        <v>19</v>
      </c>
      <c r="L218" s="2" t="s">
        <v>82</v>
      </c>
      <c r="M218" s="2" t="s">
        <v>84</v>
      </c>
      <c r="N218" s="2" t="s">
        <v>6</v>
      </c>
      <c r="O218" s="2" t="s">
        <v>346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19</v>
      </c>
      <c r="D219" s="2" t="s">
        <v>82</v>
      </c>
      <c r="E219" s="2" t="s">
        <v>84</v>
      </c>
      <c r="F219" s="2" t="s">
        <v>6</v>
      </c>
      <c r="G219" s="2" t="s">
        <v>346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367</v>
      </c>
      <c r="N219" s="8" t="s">
        <v>56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63</v>
      </c>
      <c r="D220" s="8" t="s">
        <v>361</v>
      </c>
      <c r="E220" s="8" t="s">
        <v>9</v>
      </c>
      <c r="F220" s="8" t="s">
        <v>378</v>
      </c>
      <c r="G220" s="8" t="s">
        <v>16</v>
      </c>
      <c r="H220" s="8" t="s">
        <v>379</v>
      </c>
      <c r="I220" s="9">
        <v>7</v>
      </c>
      <c r="J220" s="10">
        <v>3</v>
      </c>
      <c r="K220" s="10" t="s">
        <v>82</v>
      </c>
      <c r="L220" s="10" t="s">
        <v>346</v>
      </c>
      <c r="M220" s="10" t="s">
        <v>46</v>
      </c>
      <c r="N220" s="10" t="s">
        <v>367</v>
      </c>
      <c r="O220" s="10" t="s">
        <v>60</v>
      </c>
      <c r="P220" s="10" t="s">
        <v>56</v>
      </c>
    </row>
    <row r="221" spans="1:17" x14ac:dyDescent="0.35">
      <c r="A221" s="14">
        <v>45987</v>
      </c>
      <c r="B221" s="3">
        <v>3</v>
      </c>
      <c r="C221" s="10" t="s">
        <v>82</v>
      </c>
      <c r="D221" s="10" t="s">
        <v>346</v>
      </c>
      <c r="E221" s="10" t="s">
        <v>46</v>
      </c>
      <c r="F221" s="10" t="s">
        <v>367</v>
      </c>
      <c r="G221" s="10" t="s">
        <v>60</v>
      </c>
      <c r="H221" s="10" t="s">
        <v>56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15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15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63</v>
      </c>
      <c r="L222" s="8" t="s">
        <v>361</v>
      </c>
      <c r="M222" s="8" t="s">
        <v>9</v>
      </c>
      <c r="N222" s="8" t="s">
        <v>378</v>
      </c>
      <c r="O222" s="8" t="s">
        <v>16</v>
      </c>
      <c r="P222" s="8" t="s">
        <v>379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81</v>
      </c>
      <c r="F223" s="8" t="s">
        <v>378</v>
      </c>
      <c r="G223" s="8" t="s">
        <v>379</v>
      </c>
      <c r="H223" s="8" t="s">
        <v>4</v>
      </c>
      <c r="I223" s="9">
        <v>3</v>
      </c>
      <c r="J223" s="10">
        <v>1</v>
      </c>
      <c r="K223" s="10" t="s">
        <v>20</v>
      </c>
      <c r="L223" s="10" t="s">
        <v>55</v>
      </c>
      <c r="M223" s="10" t="s">
        <v>10</v>
      </c>
      <c r="N223" s="10" t="s">
        <v>6</v>
      </c>
      <c r="O223" s="10" t="s">
        <v>11</v>
      </c>
      <c r="P223" s="10" t="s">
        <v>66</v>
      </c>
    </row>
    <row r="224" spans="1:17" x14ac:dyDescent="0.35">
      <c r="A224" s="14">
        <v>45994</v>
      </c>
      <c r="B224" s="3">
        <v>3</v>
      </c>
      <c r="C224" s="10" t="s">
        <v>20</v>
      </c>
      <c r="D224" s="10" t="s">
        <v>55</v>
      </c>
      <c r="E224" s="10" t="s">
        <v>10</v>
      </c>
      <c r="F224" s="10" t="s">
        <v>6</v>
      </c>
      <c r="G224" s="10" t="s">
        <v>11</v>
      </c>
      <c r="H224" s="10" t="s">
        <v>66</v>
      </c>
      <c r="I224" s="11">
        <v>2</v>
      </c>
      <c r="J224" s="2">
        <v>2</v>
      </c>
      <c r="K224" s="2" t="s">
        <v>16</v>
      </c>
      <c r="L224" s="2" t="s">
        <v>2</v>
      </c>
      <c r="M224" s="2" t="s">
        <v>5</v>
      </c>
      <c r="N224" s="2" t="s">
        <v>48</v>
      </c>
      <c r="O224" s="2" t="s">
        <v>381</v>
      </c>
      <c r="P224" s="2" t="s">
        <v>382</v>
      </c>
    </row>
    <row r="225" spans="1:16" x14ac:dyDescent="0.35">
      <c r="A225" s="14">
        <v>45994</v>
      </c>
      <c r="B225" s="5">
        <v>5</v>
      </c>
      <c r="C225" s="2" t="s">
        <v>16</v>
      </c>
      <c r="D225" s="2" t="s">
        <v>2</v>
      </c>
      <c r="E225" s="2" t="s">
        <v>5</v>
      </c>
      <c r="F225" s="2" t="s">
        <v>48</v>
      </c>
      <c r="G225" s="2" t="s">
        <v>381</v>
      </c>
      <c r="H225" s="2" t="s">
        <v>382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81</v>
      </c>
      <c r="N225" s="8" t="s">
        <v>378</v>
      </c>
      <c r="O225" s="8" t="s">
        <v>379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46</v>
      </c>
      <c r="F226" s="8" t="s">
        <v>6</v>
      </c>
      <c r="G226" s="8" t="s">
        <v>10</v>
      </c>
      <c r="H226" s="8" t="s">
        <v>20</v>
      </c>
      <c r="I226" s="9">
        <v>5</v>
      </c>
      <c r="J226" s="10">
        <v>5</v>
      </c>
      <c r="K226" s="10" t="s">
        <v>16</v>
      </c>
      <c r="L226" s="10" t="s">
        <v>9</v>
      </c>
      <c r="M226" s="10" t="s">
        <v>4</v>
      </c>
      <c r="N226" s="10" t="s">
        <v>15</v>
      </c>
      <c r="O226" s="10" t="s">
        <v>25</v>
      </c>
      <c r="P226" s="10" t="s">
        <v>56</v>
      </c>
    </row>
    <row r="227" spans="1:16" x14ac:dyDescent="0.35">
      <c r="A227" s="14">
        <v>46001</v>
      </c>
      <c r="B227" s="3">
        <v>5</v>
      </c>
      <c r="C227" s="10" t="s">
        <v>16</v>
      </c>
      <c r="D227" s="10" t="s">
        <v>9</v>
      </c>
      <c r="E227" s="10" t="s">
        <v>4</v>
      </c>
      <c r="F227" s="10" t="s">
        <v>15</v>
      </c>
      <c r="G227" s="10" t="s">
        <v>25</v>
      </c>
      <c r="H227" s="10" t="s">
        <v>56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84</v>
      </c>
      <c r="O227" s="2" t="s">
        <v>55</v>
      </c>
      <c r="P227" s="2" t="s">
        <v>82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84</v>
      </c>
      <c r="G228" s="2" t="s">
        <v>55</v>
      </c>
      <c r="H228" s="2" t="s">
        <v>82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46</v>
      </c>
      <c r="N228" s="8" t="s">
        <v>6</v>
      </c>
      <c r="O228" s="8" t="s">
        <v>10</v>
      </c>
      <c r="P228" s="8" t="s">
        <v>20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82</v>
      </c>
      <c r="G229" s="8" t="s">
        <v>11</v>
      </c>
      <c r="H229" s="8" t="s">
        <v>19</v>
      </c>
      <c r="I229" s="9">
        <v>3</v>
      </c>
      <c r="J229" s="10">
        <v>4</v>
      </c>
      <c r="K229" s="10" t="s">
        <v>56</v>
      </c>
      <c r="L229" s="10" t="s">
        <v>9</v>
      </c>
      <c r="M229" s="10" t="s">
        <v>84</v>
      </c>
      <c r="N229" s="10" t="s">
        <v>48</v>
      </c>
      <c r="O229" s="10" t="s">
        <v>367</v>
      </c>
      <c r="P229" s="10" t="s">
        <v>44</v>
      </c>
    </row>
    <row r="230" spans="1:16" x14ac:dyDescent="0.35">
      <c r="A230" s="14">
        <v>46008</v>
      </c>
      <c r="B230" s="3">
        <v>5</v>
      </c>
      <c r="C230" s="10" t="s">
        <v>56</v>
      </c>
      <c r="D230" s="10" t="s">
        <v>9</v>
      </c>
      <c r="E230" s="10" t="s">
        <v>84</v>
      </c>
      <c r="F230" s="10" t="s">
        <v>48</v>
      </c>
      <c r="G230" s="10" t="s">
        <v>367</v>
      </c>
      <c r="H230" s="10" t="s">
        <v>44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15</v>
      </c>
      <c r="N230" s="2" t="s">
        <v>5</v>
      </c>
      <c r="O230" s="2" t="s">
        <v>46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15</v>
      </c>
      <c r="F231" s="2" t="s">
        <v>5</v>
      </c>
      <c r="G231" s="2" t="s">
        <v>46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82</v>
      </c>
      <c r="O231" s="8" t="s">
        <v>11</v>
      </c>
      <c r="P231" s="8" t="s">
        <v>19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45</v>
      </c>
      <c r="E232" s="8" t="s">
        <v>15</v>
      </c>
      <c r="F232" s="8" t="s">
        <v>46</v>
      </c>
      <c r="G232" s="8" t="s">
        <v>25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56</v>
      </c>
      <c r="M232" s="10" t="s">
        <v>4</v>
      </c>
      <c r="N232" s="10" t="s">
        <v>19</v>
      </c>
      <c r="O232" s="10" t="s">
        <v>84</v>
      </c>
      <c r="P232" s="10" t="s">
        <v>44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56</v>
      </c>
      <c r="E233" s="10" t="s">
        <v>4</v>
      </c>
      <c r="F233" s="10" t="s">
        <v>19</v>
      </c>
      <c r="G233" s="10" t="s">
        <v>84</v>
      </c>
      <c r="H233" s="10" t="s">
        <v>44</v>
      </c>
      <c r="I233" s="11">
        <v>3</v>
      </c>
      <c r="J233" s="2">
        <v>7</v>
      </c>
      <c r="K233" s="2" t="s">
        <v>82</v>
      </c>
      <c r="L233" s="2" t="s">
        <v>10</v>
      </c>
      <c r="M233" s="2" t="s">
        <v>11</v>
      </c>
      <c r="N233" s="2" t="s">
        <v>2</v>
      </c>
      <c r="O233" s="2" t="s">
        <v>16</v>
      </c>
      <c r="P233" s="2" t="s">
        <v>20</v>
      </c>
    </row>
    <row r="234" spans="1:16" x14ac:dyDescent="0.35">
      <c r="A234" s="14">
        <v>46029</v>
      </c>
      <c r="B234" s="5">
        <v>5</v>
      </c>
      <c r="C234" s="2" t="s">
        <v>82</v>
      </c>
      <c r="D234" s="2" t="s">
        <v>10</v>
      </c>
      <c r="E234" s="2" t="s">
        <v>11</v>
      </c>
      <c r="F234" s="2" t="s">
        <v>2</v>
      </c>
      <c r="G234" s="2" t="s">
        <v>16</v>
      </c>
      <c r="H234" s="2" t="s">
        <v>20</v>
      </c>
      <c r="I234" s="5">
        <v>6</v>
      </c>
      <c r="J234" s="8">
        <v>3</v>
      </c>
      <c r="K234" s="8" t="s">
        <v>1</v>
      </c>
      <c r="L234" s="8" t="s">
        <v>45</v>
      </c>
      <c r="M234" s="8" t="s">
        <v>15</v>
      </c>
      <c r="N234" s="8" t="s">
        <v>46</v>
      </c>
      <c r="O234" s="8" t="s">
        <v>25</v>
      </c>
      <c r="P234" s="8" t="s">
        <v>6</v>
      </c>
    </row>
    <row r="235" spans="1:16" x14ac:dyDescent="0.35">
      <c r="A235" s="14">
        <v>46036</v>
      </c>
      <c r="B235" s="3">
        <v>3</v>
      </c>
      <c r="C235" s="8" t="s">
        <v>9</v>
      </c>
      <c r="D235" s="8" t="s">
        <v>11</v>
      </c>
      <c r="E235" s="8" t="s">
        <v>16</v>
      </c>
      <c r="F235" s="8" t="s">
        <v>84</v>
      </c>
      <c r="G235" s="8" t="s">
        <v>66</v>
      </c>
      <c r="H235" s="8" t="s">
        <v>362</v>
      </c>
      <c r="I235" s="9">
        <v>3</v>
      </c>
      <c r="J235" s="10">
        <v>0</v>
      </c>
      <c r="K235" s="10" t="s">
        <v>1</v>
      </c>
      <c r="L235" s="10" t="s">
        <v>2</v>
      </c>
      <c r="M235" s="10" t="s">
        <v>4</v>
      </c>
      <c r="N235" s="10" t="s">
        <v>6</v>
      </c>
      <c r="O235" s="10" t="s">
        <v>44</v>
      </c>
      <c r="P235" s="10" t="s">
        <v>5</v>
      </c>
    </row>
    <row r="236" spans="1:16" x14ac:dyDescent="0.35">
      <c r="A236" s="14">
        <v>46036</v>
      </c>
      <c r="B236" s="3">
        <v>5</v>
      </c>
      <c r="C236" s="10" t="s">
        <v>1</v>
      </c>
      <c r="D236" s="10" t="s">
        <v>2</v>
      </c>
      <c r="E236" s="10" t="s">
        <v>4</v>
      </c>
      <c r="F236" s="10" t="s">
        <v>6</v>
      </c>
      <c r="G236" s="10" t="s">
        <v>44</v>
      </c>
      <c r="H236" s="10" t="s">
        <v>5</v>
      </c>
      <c r="I236" s="11">
        <v>3</v>
      </c>
      <c r="J236" s="2">
        <v>7</v>
      </c>
      <c r="K236" s="2" t="s">
        <v>82</v>
      </c>
      <c r="L236" s="2" t="s">
        <v>10</v>
      </c>
      <c r="M236" s="2" t="s">
        <v>20</v>
      </c>
      <c r="N236" s="2" t="s">
        <v>19</v>
      </c>
      <c r="O236" s="2" t="s">
        <v>56</v>
      </c>
      <c r="P236" s="2" t="s">
        <v>46</v>
      </c>
    </row>
    <row r="237" spans="1:16" x14ac:dyDescent="0.35">
      <c r="A237" s="14">
        <v>46036</v>
      </c>
      <c r="B237" s="5">
        <v>5</v>
      </c>
      <c r="C237" s="2" t="s">
        <v>82</v>
      </c>
      <c r="D237" s="2" t="s">
        <v>10</v>
      </c>
      <c r="E237" s="2" t="s">
        <v>20</v>
      </c>
      <c r="F237" s="2" t="s">
        <v>19</v>
      </c>
      <c r="G237" s="2" t="s">
        <v>56</v>
      </c>
      <c r="H237" s="2" t="s">
        <v>46</v>
      </c>
      <c r="I237" s="5">
        <v>7</v>
      </c>
      <c r="J237" s="8">
        <v>3</v>
      </c>
      <c r="K237" s="8" t="s">
        <v>9</v>
      </c>
      <c r="L237" s="8" t="s">
        <v>11</v>
      </c>
      <c r="M237" s="8" t="s">
        <v>16</v>
      </c>
      <c r="N237" s="8" t="s">
        <v>84</v>
      </c>
      <c r="O237" s="8" t="s">
        <v>66</v>
      </c>
      <c r="P237" s="8" t="s">
        <v>362</v>
      </c>
    </row>
    <row r="238" spans="1:16" x14ac:dyDescent="0.35">
      <c r="A238" s="14">
        <v>46043</v>
      </c>
      <c r="B238" s="3">
        <v>3</v>
      </c>
      <c r="C238" s="8" t="s">
        <v>16</v>
      </c>
      <c r="D238" s="8" t="s">
        <v>44</v>
      </c>
      <c r="E238" s="8" t="s">
        <v>378</v>
      </c>
      <c r="F238" s="8" t="s">
        <v>81</v>
      </c>
      <c r="G238" s="8" t="s">
        <v>385</v>
      </c>
      <c r="H238" s="8"/>
      <c r="I238" s="9">
        <v>4</v>
      </c>
      <c r="J238" s="10">
        <v>2</v>
      </c>
      <c r="K238" s="10" t="s">
        <v>9</v>
      </c>
      <c r="L238" s="10" t="s">
        <v>19</v>
      </c>
      <c r="M238" s="10" t="s">
        <v>6</v>
      </c>
      <c r="N238" s="10" t="s">
        <v>25</v>
      </c>
      <c r="O238" s="10" t="s">
        <v>10</v>
      </c>
      <c r="P238" s="10"/>
    </row>
    <row r="239" spans="1:16" x14ac:dyDescent="0.35">
      <c r="A239" s="14">
        <v>46043</v>
      </c>
      <c r="B239" s="3">
        <v>5</v>
      </c>
      <c r="C239" s="10" t="s">
        <v>9</v>
      </c>
      <c r="D239" s="10" t="s">
        <v>19</v>
      </c>
      <c r="E239" s="10" t="s">
        <v>6</v>
      </c>
      <c r="F239" s="10" t="s">
        <v>25</v>
      </c>
      <c r="G239" s="10" t="s">
        <v>10</v>
      </c>
      <c r="H239" s="10"/>
      <c r="I239" s="11">
        <v>4</v>
      </c>
      <c r="J239" s="2">
        <v>7</v>
      </c>
      <c r="K239" s="2" t="s">
        <v>5</v>
      </c>
      <c r="L239" s="2" t="s">
        <v>56</v>
      </c>
      <c r="M239" s="2" t="s">
        <v>2</v>
      </c>
      <c r="N239" s="2" t="s">
        <v>46</v>
      </c>
      <c r="O239" s="2" t="s">
        <v>4</v>
      </c>
      <c r="P239" s="2"/>
    </row>
    <row r="240" spans="1:16" x14ac:dyDescent="0.35">
      <c r="A240" s="14">
        <v>46043</v>
      </c>
      <c r="B240" s="5">
        <v>6</v>
      </c>
      <c r="C240" s="2" t="s">
        <v>5</v>
      </c>
      <c r="D240" s="2" t="s">
        <v>56</v>
      </c>
      <c r="E240" s="2" t="s">
        <v>2</v>
      </c>
      <c r="F240" s="2" t="s">
        <v>46</v>
      </c>
      <c r="G240" s="2" t="s">
        <v>4</v>
      </c>
      <c r="H240" s="2"/>
      <c r="I240" s="5">
        <v>6</v>
      </c>
      <c r="J240" s="8">
        <v>3</v>
      </c>
      <c r="K240" s="8" t="s">
        <v>16</v>
      </c>
      <c r="L240" s="8" t="s">
        <v>44</v>
      </c>
      <c r="M240" s="8" t="s">
        <v>378</v>
      </c>
      <c r="N240" s="8" t="s">
        <v>81</v>
      </c>
      <c r="O240" s="8" t="s">
        <v>385</v>
      </c>
      <c r="P240" s="8"/>
    </row>
    <row r="241" spans="1:16" x14ac:dyDescent="0.35">
      <c r="A241" s="14">
        <v>46050</v>
      </c>
      <c r="B241" s="3">
        <v>5</v>
      </c>
      <c r="C241" s="8" t="s">
        <v>1</v>
      </c>
      <c r="D241" s="8" t="s">
        <v>9</v>
      </c>
      <c r="E241" s="8" t="s">
        <v>56</v>
      </c>
      <c r="F241" s="8" t="s">
        <v>25</v>
      </c>
      <c r="G241" s="8" t="s">
        <v>19</v>
      </c>
      <c r="H241" s="8"/>
      <c r="I241" s="9">
        <v>5</v>
      </c>
      <c r="J241" s="10">
        <v>4</v>
      </c>
      <c r="K241" s="10" t="s">
        <v>16</v>
      </c>
      <c r="L241" s="10" t="s">
        <v>10</v>
      </c>
      <c r="M241" s="10" t="s">
        <v>82</v>
      </c>
      <c r="N241" s="10" t="s">
        <v>63</v>
      </c>
      <c r="O241" s="10" t="s">
        <v>4</v>
      </c>
      <c r="P241" s="10"/>
    </row>
    <row r="242" spans="1:16" x14ac:dyDescent="0.35">
      <c r="A242" s="14">
        <v>46050</v>
      </c>
      <c r="B242" s="3">
        <v>4</v>
      </c>
      <c r="C242" s="10" t="s">
        <v>16</v>
      </c>
      <c r="D242" s="10" t="s">
        <v>10</v>
      </c>
      <c r="E242" s="10" t="s">
        <v>82</v>
      </c>
      <c r="F242" s="10" t="s">
        <v>63</v>
      </c>
      <c r="G242" s="10" t="s">
        <v>4</v>
      </c>
      <c r="H242" s="10"/>
      <c r="I242" s="11">
        <v>3</v>
      </c>
      <c r="J242" s="2">
        <v>1</v>
      </c>
      <c r="K242" s="2" t="s">
        <v>5</v>
      </c>
      <c r="L242" s="2" t="s">
        <v>46</v>
      </c>
      <c r="M242" s="2" t="s">
        <v>14</v>
      </c>
      <c r="N242" s="2" t="s">
        <v>20</v>
      </c>
      <c r="O242" s="2" t="s">
        <v>2</v>
      </c>
      <c r="P242" s="2"/>
    </row>
    <row r="243" spans="1:16" x14ac:dyDescent="0.35">
      <c r="A243" s="14">
        <v>46050</v>
      </c>
      <c r="B243" s="5">
        <v>4</v>
      </c>
      <c r="C243" s="2" t="s">
        <v>5</v>
      </c>
      <c r="D243" s="2" t="s">
        <v>46</v>
      </c>
      <c r="E243" s="2" t="s">
        <v>14</v>
      </c>
      <c r="F243" s="2" t="s">
        <v>20</v>
      </c>
      <c r="G243" s="2" t="s">
        <v>2</v>
      </c>
      <c r="H243" s="2"/>
      <c r="I243" s="5">
        <v>3</v>
      </c>
      <c r="J243" s="8">
        <v>8</v>
      </c>
      <c r="K243" s="8" t="s">
        <v>1</v>
      </c>
      <c r="L243" s="8" t="s">
        <v>9</v>
      </c>
      <c r="M243" s="8" t="s">
        <v>56</v>
      </c>
      <c r="N243" s="8" t="s">
        <v>25</v>
      </c>
      <c r="O243" s="8" t="s">
        <v>19</v>
      </c>
      <c r="P243" s="8"/>
    </row>
    <row r="244" spans="1:16" x14ac:dyDescent="0.35">
      <c r="A244" s="14">
        <v>46057</v>
      </c>
      <c r="B244" s="3">
        <v>6</v>
      </c>
      <c r="C244" s="8" t="s">
        <v>16</v>
      </c>
      <c r="D244" s="8" t="s">
        <v>81</v>
      </c>
      <c r="E244" s="8" t="s">
        <v>9</v>
      </c>
      <c r="F244" s="8" t="s">
        <v>10</v>
      </c>
      <c r="G244" s="8" t="s">
        <v>2</v>
      </c>
      <c r="H244" s="8"/>
      <c r="I244" s="9">
        <v>4</v>
      </c>
      <c r="J244" s="10">
        <v>9</v>
      </c>
      <c r="K244" s="10" t="s">
        <v>56</v>
      </c>
      <c r="L244" s="10" t="s">
        <v>5</v>
      </c>
      <c r="M244" s="10" t="s">
        <v>82</v>
      </c>
      <c r="N244" s="10" t="s">
        <v>44</v>
      </c>
      <c r="O244" s="10" t="s">
        <v>388</v>
      </c>
      <c r="P244" s="10"/>
    </row>
    <row r="245" spans="1:16" x14ac:dyDescent="0.35">
      <c r="A245" s="14">
        <v>46057</v>
      </c>
      <c r="B245" s="3">
        <v>5</v>
      </c>
      <c r="C245" s="10" t="s">
        <v>56</v>
      </c>
      <c r="D245" s="10" t="s">
        <v>5</v>
      </c>
      <c r="E245" s="10" t="s">
        <v>82</v>
      </c>
      <c r="F245" s="10" t="s">
        <v>44</v>
      </c>
      <c r="G245" s="10" t="s">
        <v>388</v>
      </c>
      <c r="H245" s="10"/>
      <c r="I245" s="11">
        <v>7</v>
      </c>
      <c r="J245" s="2">
        <v>4</v>
      </c>
      <c r="K245" s="2" t="s">
        <v>1</v>
      </c>
      <c r="L245" s="2" t="s">
        <v>4</v>
      </c>
      <c r="M245" s="2" t="s">
        <v>378</v>
      </c>
      <c r="N245" s="2" t="s">
        <v>368</v>
      </c>
      <c r="O245" s="2" t="s">
        <v>52</v>
      </c>
      <c r="P245" s="2"/>
    </row>
    <row r="246" spans="1:16" x14ac:dyDescent="0.35">
      <c r="A246" s="14">
        <v>46057</v>
      </c>
      <c r="B246" s="5">
        <v>2</v>
      </c>
      <c r="C246" s="2" t="s">
        <v>1</v>
      </c>
      <c r="D246" s="2" t="s">
        <v>4</v>
      </c>
      <c r="E246" s="2" t="s">
        <v>378</v>
      </c>
      <c r="F246" s="2" t="s">
        <v>368</v>
      </c>
      <c r="G246" s="2" t="s">
        <v>52</v>
      </c>
      <c r="H246" s="2"/>
      <c r="I246" s="5">
        <v>1</v>
      </c>
      <c r="J246" s="8">
        <v>4</v>
      </c>
      <c r="K246" s="8" t="s">
        <v>16</v>
      </c>
      <c r="L246" s="8" t="s">
        <v>81</v>
      </c>
      <c r="M246" s="8" t="s">
        <v>9</v>
      </c>
      <c r="N246" s="8" t="s">
        <v>10</v>
      </c>
      <c r="O246" s="8" t="s">
        <v>2</v>
      </c>
      <c r="P246" s="8"/>
    </row>
    <row r="247" spans="1:16" x14ac:dyDescent="0.35">
      <c r="A247" s="14">
        <v>46064</v>
      </c>
      <c r="B247" s="3">
        <v>3</v>
      </c>
      <c r="C247" s="8" t="s">
        <v>4</v>
      </c>
      <c r="D247" s="8" t="s">
        <v>56</v>
      </c>
      <c r="E247" s="8" t="s">
        <v>48</v>
      </c>
      <c r="F247" s="8" t="s">
        <v>81</v>
      </c>
      <c r="G247" s="8" t="s">
        <v>82</v>
      </c>
      <c r="H247" s="8" t="s">
        <v>46</v>
      </c>
      <c r="I247" s="9">
        <v>0</v>
      </c>
      <c r="J247" s="10">
        <v>4</v>
      </c>
      <c r="K247" s="10" t="s">
        <v>5</v>
      </c>
      <c r="L247" s="10" t="s">
        <v>16</v>
      </c>
      <c r="M247" s="10" t="s">
        <v>44</v>
      </c>
      <c r="N247" s="10" t="s">
        <v>389</v>
      </c>
      <c r="O247" s="10" t="s">
        <v>385</v>
      </c>
      <c r="P247" s="10" t="s">
        <v>390</v>
      </c>
    </row>
    <row r="248" spans="1:16" x14ac:dyDescent="0.35">
      <c r="A248" s="14">
        <v>46064</v>
      </c>
      <c r="B248" s="3">
        <v>4</v>
      </c>
      <c r="C248" s="10" t="s">
        <v>5</v>
      </c>
      <c r="D248" s="10" t="s">
        <v>16</v>
      </c>
      <c r="E248" s="10" t="s">
        <v>44</v>
      </c>
      <c r="F248" s="10" t="s">
        <v>389</v>
      </c>
      <c r="G248" s="10" t="s">
        <v>385</v>
      </c>
      <c r="H248" s="10" t="s">
        <v>390</v>
      </c>
      <c r="I248" s="11">
        <v>6</v>
      </c>
      <c r="J248" s="2">
        <v>3</v>
      </c>
      <c r="K248" s="2" t="s">
        <v>1</v>
      </c>
      <c r="L248" s="2" t="s">
        <v>19</v>
      </c>
      <c r="M248" s="2" t="s">
        <v>10</v>
      </c>
      <c r="N248" s="2" t="s">
        <v>378</v>
      </c>
      <c r="O248" s="2" t="s">
        <v>24</v>
      </c>
      <c r="P248" s="2" t="s">
        <v>388</v>
      </c>
    </row>
    <row r="249" spans="1:16" x14ac:dyDescent="0.35">
      <c r="A249" s="14">
        <v>46064</v>
      </c>
      <c r="B249" s="5">
        <v>2</v>
      </c>
      <c r="C249" s="2" t="s">
        <v>1</v>
      </c>
      <c r="D249" s="2" t="s">
        <v>19</v>
      </c>
      <c r="E249" s="2" t="s">
        <v>10</v>
      </c>
      <c r="F249" s="2" t="s">
        <v>378</v>
      </c>
      <c r="G249" s="2" t="s">
        <v>24</v>
      </c>
      <c r="H249" s="2" t="s">
        <v>388</v>
      </c>
      <c r="I249" s="5">
        <v>2</v>
      </c>
      <c r="J249" s="8">
        <v>1</v>
      </c>
      <c r="K249" s="8" t="s">
        <v>4</v>
      </c>
      <c r="L249" s="8" t="s">
        <v>56</v>
      </c>
      <c r="M249" s="8" t="s">
        <v>48</v>
      </c>
      <c r="N249" s="8" t="s">
        <v>81</v>
      </c>
      <c r="O249" s="8" t="s">
        <v>82</v>
      </c>
      <c r="P249" s="8" t="s">
        <v>46</v>
      </c>
    </row>
    <row r="250" spans="1:16" x14ac:dyDescent="0.35">
      <c r="A250" s="14">
        <v>46071</v>
      </c>
      <c r="B250" s="3">
        <v>2</v>
      </c>
      <c r="C250" s="8" t="s">
        <v>15</v>
      </c>
      <c r="D250" s="8" t="s">
        <v>9</v>
      </c>
      <c r="E250" s="8" t="s">
        <v>66</v>
      </c>
      <c r="F250" s="8" t="s">
        <v>4</v>
      </c>
      <c r="G250" s="8" t="s">
        <v>44</v>
      </c>
      <c r="H250" s="8" t="s">
        <v>392</v>
      </c>
      <c r="I250" s="9">
        <v>4</v>
      </c>
      <c r="J250" s="10">
        <v>0</v>
      </c>
      <c r="K250" s="10" t="s">
        <v>56</v>
      </c>
      <c r="L250" s="10" t="s">
        <v>367</v>
      </c>
      <c r="M250" s="10" t="s">
        <v>81</v>
      </c>
      <c r="N250" s="10" t="s">
        <v>48</v>
      </c>
      <c r="O250" s="10" t="s">
        <v>63</v>
      </c>
      <c r="P250" s="10" t="s">
        <v>20</v>
      </c>
    </row>
    <row r="251" spans="1:16" x14ac:dyDescent="0.35">
      <c r="A251" s="14">
        <v>46071</v>
      </c>
      <c r="B251" s="3">
        <v>4</v>
      </c>
      <c r="C251" s="10" t="s">
        <v>56</v>
      </c>
      <c r="D251" s="10" t="s">
        <v>367</v>
      </c>
      <c r="E251" s="10" t="s">
        <v>81</v>
      </c>
      <c r="F251" s="10" t="s">
        <v>48</v>
      </c>
      <c r="G251" s="10" t="s">
        <v>63</v>
      </c>
      <c r="H251" s="10" t="s">
        <v>20</v>
      </c>
      <c r="I251" s="11">
        <v>4</v>
      </c>
      <c r="J251" s="2">
        <v>3</v>
      </c>
      <c r="K251" s="2" t="s">
        <v>1</v>
      </c>
      <c r="L251" s="2" t="s">
        <v>10</v>
      </c>
      <c r="M251" s="2" t="s">
        <v>5</v>
      </c>
      <c r="N251" s="2" t="s">
        <v>19</v>
      </c>
      <c r="O251" s="2" t="s">
        <v>46</v>
      </c>
      <c r="P251" s="2" t="s">
        <v>393</v>
      </c>
    </row>
    <row r="252" spans="1:16" x14ac:dyDescent="0.35">
      <c r="A252" s="14">
        <v>46071</v>
      </c>
      <c r="B252" s="5">
        <v>4</v>
      </c>
      <c r="C252" s="2" t="s">
        <v>1</v>
      </c>
      <c r="D252" s="2" t="s">
        <v>10</v>
      </c>
      <c r="E252" s="2" t="s">
        <v>5</v>
      </c>
      <c r="F252" s="2" t="s">
        <v>19</v>
      </c>
      <c r="G252" s="2" t="s">
        <v>46</v>
      </c>
      <c r="H252" s="2" t="s">
        <v>393</v>
      </c>
      <c r="I252" s="5">
        <v>3</v>
      </c>
      <c r="J252" s="8">
        <v>1</v>
      </c>
      <c r="K252" s="8" t="s">
        <v>15</v>
      </c>
      <c r="L252" s="8" t="s">
        <v>9</v>
      </c>
      <c r="M252" s="8" t="s">
        <v>66</v>
      </c>
      <c r="N252" s="8" t="s">
        <v>4</v>
      </c>
      <c r="O252" s="8" t="s">
        <v>44</v>
      </c>
      <c r="P252" s="8" t="s">
        <v>392</v>
      </c>
    </row>
    <row r="253" spans="1:16" x14ac:dyDescent="0.35">
      <c r="A253" s="14">
        <v>46078</v>
      </c>
      <c r="B253" s="3">
        <v>3</v>
      </c>
      <c r="C253" s="8" t="s">
        <v>10</v>
      </c>
      <c r="D253" s="8" t="s">
        <v>56</v>
      </c>
      <c r="E253" s="8" t="s">
        <v>15</v>
      </c>
      <c r="F253" s="8" t="s">
        <v>5</v>
      </c>
      <c r="G253" s="8" t="s">
        <v>84</v>
      </c>
      <c r="H253" s="8" t="s">
        <v>393</v>
      </c>
      <c r="I253" s="9">
        <v>2</v>
      </c>
      <c r="J253" s="10">
        <v>2</v>
      </c>
      <c r="K253" s="10" t="s">
        <v>1</v>
      </c>
      <c r="L253" s="10" t="s">
        <v>388</v>
      </c>
      <c r="M253" s="10" t="s">
        <v>19</v>
      </c>
      <c r="N253" s="10" t="s">
        <v>367</v>
      </c>
      <c r="O253" s="10" t="s">
        <v>46</v>
      </c>
      <c r="P253" s="10" t="s">
        <v>48</v>
      </c>
    </row>
    <row r="254" spans="1:16" x14ac:dyDescent="0.35">
      <c r="A254" s="14">
        <v>46078</v>
      </c>
      <c r="B254" s="3">
        <v>4</v>
      </c>
      <c r="C254" s="10" t="s">
        <v>1</v>
      </c>
      <c r="D254" s="10" t="s">
        <v>388</v>
      </c>
      <c r="E254" s="10" t="s">
        <v>19</v>
      </c>
      <c r="F254" s="10" t="s">
        <v>367</v>
      </c>
      <c r="G254" s="10" t="s">
        <v>46</v>
      </c>
      <c r="H254" s="10" t="s">
        <v>48</v>
      </c>
      <c r="I254" s="11">
        <v>3</v>
      </c>
      <c r="J254" s="2">
        <v>3</v>
      </c>
      <c r="K254" s="2" t="s">
        <v>9</v>
      </c>
      <c r="L254" s="2" t="s">
        <v>81</v>
      </c>
      <c r="M254" s="2" t="s">
        <v>82</v>
      </c>
      <c r="N254" s="2" t="s">
        <v>44</v>
      </c>
      <c r="O254" s="61" t="s">
        <v>2</v>
      </c>
      <c r="P254" s="2" t="s">
        <v>342</v>
      </c>
    </row>
    <row r="255" spans="1:16" x14ac:dyDescent="0.35">
      <c r="A255" s="14">
        <v>46078</v>
      </c>
      <c r="B255" s="5">
        <v>3</v>
      </c>
      <c r="C255" s="2" t="s">
        <v>9</v>
      </c>
      <c r="D255" s="2" t="s">
        <v>81</v>
      </c>
      <c r="E255" s="2" t="s">
        <v>82</v>
      </c>
      <c r="F255" s="2" t="s">
        <v>44</v>
      </c>
      <c r="G255" s="61" t="s">
        <v>2</v>
      </c>
      <c r="H255" s="2" t="s">
        <v>342</v>
      </c>
      <c r="I255" s="5">
        <v>1</v>
      </c>
      <c r="J255" s="8">
        <v>4</v>
      </c>
      <c r="K255" s="8" t="s">
        <v>10</v>
      </c>
      <c r="L255" s="8" t="s">
        <v>56</v>
      </c>
      <c r="M255" s="8" t="s">
        <v>15</v>
      </c>
      <c r="N255" s="8" t="s">
        <v>5</v>
      </c>
      <c r="O255" s="8" t="s">
        <v>84</v>
      </c>
      <c r="P255" s="8" t="s">
        <v>393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BQ83"/>
  <sheetViews>
    <sheetView topLeftCell="A34" zoomScaleNormal="100" workbookViewId="0">
      <pane xSplit="1" topLeftCell="BI1" activePane="topRight" state="frozen"/>
      <selection pane="topRight" activeCell="BQ74" sqref="BQ74"/>
    </sheetView>
  </sheetViews>
  <sheetFormatPr defaultRowHeight="14.5" x14ac:dyDescent="0.35"/>
  <cols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69" width="10.453125" bestFit="1" customWidth="1"/>
  </cols>
  <sheetData>
    <row r="1" spans="1:69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  <c r="BK1" s="1">
        <v>46036</v>
      </c>
      <c r="BL1" s="1">
        <v>46043</v>
      </c>
      <c r="BM1" s="1">
        <v>46050</v>
      </c>
      <c r="BN1" s="1">
        <v>46057</v>
      </c>
      <c r="BO1" s="1">
        <v>46064</v>
      </c>
      <c r="BP1" s="1">
        <v>46071</v>
      </c>
      <c r="BQ1" s="1">
        <v>46078</v>
      </c>
    </row>
    <row r="2" spans="1:69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  <c r="BL2">
        <v>1</v>
      </c>
    </row>
    <row r="3" spans="1:69" x14ac:dyDescent="0.35">
      <c r="A3" t="s">
        <v>24</v>
      </c>
      <c r="BO3">
        <v>2</v>
      </c>
    </row>
    <row r="4" spans="1:69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69" hidden="1" x14ac:dyDescent="0.35">
      <c r="A5" t="s">
        <v>365</v>
      </c>
    </row>
    <row r="6" spans="1:69" x14ac:dyDescent="0.35">
      <c r="A6" t="s">
        <v>77</v>
      </c>
      <c r="G6">
        <v>3</v>
      </c>
    </row>
    <row r="7" spans="1:69" x14ac:dyDescent="0.35">
      <c r="A7" t="s">
        <v>364</v>
      </c>
      <c r="AH7">
        <v>3</v>
      </c>
      <c r="AQ7">
        <v>2</v>
      </c>
    </row>
    <row r="8" spans="1:69" x14ac:dyDescent="0.35">
      <c r="A8" t="s">
        <v>7</v>
      </c>
      <c r="K8">
        <v>1</v>
      </c>
    </row>
    <row r="9" spans="1:69" x14ac:dyDescent="0.35">
      <c r="A9" t="s">
        <v>353</v>
      </c>
      <c r="G9">
        <v>1</v>
      </c>
    </row>
    <row r="10" spans="1:69" hidden="1" x14ac:dyDescent="0.35">
      <c r="A10" t="s">
        <v>347</v>
      </c>
    </row>
    <row r="11" spans="1:69" x14ac:dyDescent="0.35">
      <c r="A11" t="s">
        <v>48</v>
      </c>
    </row>
    <row r="12" spans="1:69" x14ac:dyDescent="0.35">
      <c r="A12" t="s">
        <v>382</v>
      </c>
    </row>
    <row r="13" spans="1:69" x14ac:dyDescent="0.35">
      <c r="A13" t="s">
        <v>362</v>
      </c>
      <c r="BK13">
        <v>1</v>
      </c>
    </row>
    <row r="14" spans="1:69" hidden="1" x14ac:dyDescent="0.35">
      <c r="A14" t="s">
        <v>18</v>
      </c>
    </row>
    <row r="15" spans="1:69" x14ac:dyDescent="0.35">
      <c r="A15" t="s">
        <v>25</v>
      </c>
      <c r="C15">
        <v>1</v>
      </c>
      <c r="E15">
        <v>1</v>
      </c>
      <c r="G15">
        <v>1</v>
      </c>
      <c r="J15">
        <v>3</v>
      </c>
      <c r="K15">
        <v>3</v>
      </c>
      <c r="M15">
        <v>1</v>
      </c>
      <c r="R15">
        <v>1</v>
      </c>
      <c r="V15">
        <v>1</v>
      </c>
      <c r="AE15">
        <v>1</v>
      </c>
      <c r="AF15">
        <v>1</v>
      </c>
      <c r="AH15">
        <v>2</v>
      </c>
      <c r="AT15">
        <v>1</v>
      </c>
      <c r="BA15">
        <v>1</v>
      </c>
      <c r="BH15">
        <v>1</v>
      </c>
      <c r="BM15">
        <v>1</v>
      </c>
    </row>
    <row r="16" spans="1:69" x14ac:dyDescent="0.35">
      <c r="A16" t="s">
        <v>14</v>
      </c>
      <c r="E16">
        <v>1</v>
      </c>
      <c r="F16">
        <v>1</v>
      </c>
      <c r="J16">
        <v>1</v>
      </c>
      <c r="P16">
        <v>1</v>
      </c>
      <c r="S16">
        <v>1</v>
      </c>
      <c r="W16">
        <v>1</v>
      </c>
      <c r="Z16">
        <v>2</v>
      </c>
      <c r="AA16">
        <v>0.5</v>
      </c>
      <c r="AK16">
        <v>1</v>
      </c>
      <c r="AR16">
        <v>2</v>
      </c>
      <c r="AX16">
        <v>1</v>
      </c>
    </row>
    <row r="17" spans="1:69" x14ac:dyDescent="0.35">
      <c r="A17" t="s">
        <v>378</v>
      </c>
      <c r="BL17">
        <v>1</v>
      </c>
    </row>
    <row r="18" spans="1:69" x14ac:dyDescent="0.35">
      <c r="A18" t="s">
        <v>54</v>
      </c>
      <c r="C18">
        <v>2</v>
      </c>
      <c r="D18">
        <v>3</v>
      </c>
      <c r="V18">
        <v>2</v>
      </c>
    </row>
    <row r="19" spans="1:69" x14ac:dyDescent="0.35">
      <c r="A19" t="s">
        <v>66</v>
      </c>
      <c r="D19">
        <v>2</v>
      </c>
      <c r="I19">
        <v>3</v>
      </c>
      <c r="J19">
        <v>1</v>
      </c>
      <c r="T19">
        <v>1</v>
      </c>
      <c r="W19">
        <v>1</v>
      </c>
      <c r="X19">
        <v>1</v>
      </c>
      <c r="Y19">
        <v>1</v>
      </c>
      <c r="Z19">
        <v>1</v>
      </c>
      <c r="AA19">
        <v>1</v>
      </c>
      <c r="AC19">
        <v>1</v>
      </c>
      <c r="AD19">
        <v>1</v>
      </c>
      <c r="AH19">
        <v>1</v>
      </c>
      <c r="AI19">
        <v>1</v>
      </c>
      <c r="BA19">
        <v>3</v>
      </c>
      <c r="BG19">
        <v>1</v>
      </c>
      <c r="BP19">
        <v>1</v>
      </c>
    </row>
    <row r="20" spans="1:69" x14ac:dyDescent="0.35">
      <c r="A20" t="s">
        <v>84</v>
      </c>
      <c r="I20">
        <v>2</v>
      </c>
      <c r="J20">
        <v>1</v>
      </c>
      <c r="L20">
        <v>3</v>
      </c>
      <c r="N20">
        <v>2</v>
      </c>
      <c r="O20">
        <v>2</v>
      </c>
      <c r="P20">
        <v>1</v>
      </c>
      <c r="S20">
        <v>2</v>
      </c>
      <c r="V20">
        <v>4</v>
      </c>
      <c r="W20">
        <v>6</v>
      </c>
      <c r="X20">
        <v>3</v>
      </c>
      <c r="AB20">
        <v>1</v>
      </c>
      <c r="AC20">
        <v>2</v>
      </c>
      <c r="AD20">
        <v>3</v>
      </c>
      <c r="AE20">
        <v>1</v>
      </c>
      <c r="AH20">
        <v>4</v>
      </c>
      <c r="AI20">
        <v>5</v>
      </c>
      <c r="AK20">
        <v>1</v>
      </c>
      <c r="AL20">
        <v>1</v>
      </c>
      <c r="AN20">
        <v>2</v>
      </c>
      <c r="AU20">
        <v>4</v>
      </c>
      <c r="AV20">
        <v>1</v>
      </c>
      <c r="AX20">
        <v>1</v>
      </c>
      <c r="BH20">
        <v>1</v>
      </c>
      <c r="BI20">
        <v>2</v>
      </c>
      <c r="BK20">
        <v>2</v>
      </c>
      <c r="BQ20">
        <v>2</v>
      </c>
    </row>
    <row r="21" spans="1:69" x14ac:dyDescent="0.35">
      <c r="A21" t="s">
        <v>392</v>
      </c>
      <c r="BP21">
        <v>2</v>
      </c>
    </row>
    <row r="22" spans="1:69" x14ac:dyDescent="0.35">
      <c r="A22" t="s">
        <v>15</v>
      </c>
      <c r="F22">
        <v>1</v>
      </c>
      <c r="H22">
        <v>2</v>
      </c>
      <c r="I22">
        <v>1</v>
      </c>
      <c r="AK22">
        <v>1</v>
      </c>
      <c r="AL22">
        <v>4</v>
      </c>
      <c r="AO22">
        <v>2</v>
      </c>
      <c r="AR22">
        <v>3</v>
      </c>
      <c r="AS22">
        <v>2</v>
      </c>
      <c r="AT22">
        <v>1</v>
      </c>
      <c r="AY22">
        <v>1</v>
      </c>
      <c r="BE22">
        <v>2</v>
      </c>
      <c r="BF22">
        <v>1</v>
      </c>
      <c r="BI22">
        <v>2</v>
      </c>
    </row>
    <row r="23" spans="1:69" x14ac:dyDescent="0.35">
      <c r="A23" t="s">
        <v>375</v>
      </c>
      <c r="AW23">
        <v>1</v>
      </c>
    </row>
    <row r="24" spans="1:69" x14ac:dyDescent="0.35">
      <c r="A24" t="s">
        <v>6</v>
      </c>
      <c r="B24">
        <v>3</v>
      </c>
      <c r="E24">
        <v>2</v>
      </c>
      <c r="H24">
        <v>1</v>
      </c>
      <c r="L24">
        <v>2</v>
      </c>
      <c r="M24">
        <v>2</v>
      </c>
      <c r="N24">
        <v>6</v>
      </c>
      <c r="O24">
        <v>1</v>
      </c>
      <c r="Q24">
        <v>3</v>
      </c>
      <c r="R24">
        <v>1</v>
      </c>
      <c r="S24">
        <v>1</v>
      </c>
      <c r="T24">
        <v>3</v>
      </c>
      <c r="U24">
        <v>3</v>
      </c>
      <c r="V24">
        <v>6</v>
      </c>
      <c r="W24">
        <v>2</v>
      </c>
      <c r="X24">
        <v>3</v>
      </c>
      <c r="Y24">
        <v>1</v>
      </c>
      <c r="Z24">
        <v>3.5</v>
      </c>
      <c r="AA24">
        <v>3.5</v>
      </c>
      <c r="AB24">
        <v>3</v>
      </c>
      <c r="AC24">
        <v>1</v>
      </c>
      <c r="AE24">
        <v>10</v>
      </c>
      <c r="AF24">
        <v>3</v>
      </c>
      <c r="AG24">
        <v>3</v>
      </c>
      <c r="AH24">
        <v>2</v>
      </c>
      <c r="AJ24">
        <v>3</v>
      </c>
      <c r="AK24">
        <v>3</v>
      </c>
      <c r="AL24">
        <v>5</v>
      </c>
      <c r="AN24">
        <v>1</v>
      </c>
      <c r="AO24">
        <v>6</v>
      </c>
      <c r="AP24">
        <v>4</v>
      </c>
      <c r="AQ24">
        <v>3</v>
      </c>
      <c r="AR24">
        <v>4</v>
      </c>
      <c r="AS24">
        <v>2</v>
      </c>
      <c r="AT24">
        <v>4</v>
      </c>
      <c r="AU24">
        <v>4</v>
      </c>
      <c r="AV24">
        <v>6</v>
      </c>
      <c r="AW24">
        <v>1</v>
      </c>
      <c r="AY24">
        <v>4</v>
      </c>
      <c r="AZ24">
        <v>1</v>
      </c>
      <c r="BA24">
        <v>3</v>
      </c>
      <c r="BC24">
        <v>5</v>
      </c>
      <c r="BD24">
        <v>2</v>
      </c>
      <c r="BE24">
        <v>3</v>
      </c>
      <c r="BF24">
        <v>3</v>
      </c>
      <c r="BG24">
        <v>3</v>
      </c>
      <c r="BH24">
        <v>1</v>
      </c>
      <c r="BI24">
        <v>5</v>
      </c>
      <c r="BJ24">
        <v>1</v>
      </c>
      <c r="BK24">
        <v>1</v>
      </c>
      <c r="BL24">
        <v>2</v>
      </c>
    </row>
    <row r="25" spans="1:69" x14ac:dyDescent="0.35">
      <c r="A25" t="s">
        <v>342</v>
      </c>
      <c r="T25">
        <v>4</v>
      </c>
      <c r="AH25">
        <v>1</v>
      </c>
      <c r="AK25">
        <v>1</v>
      </c>
      <c r="BQ25">
        <v>2</v>
      </c>
    </row>
    <row r="26" spans="1:69" hidden="1" x14ac:dyDescent="0.35">
      <c r="A26" t="s">
        <v>52</v>
      </c>
    </row>
    <row r="27" spans="1:69" x14ac:dyDescent="0.35">
      <c r="A27" t="s">
        <v>389</v>
      </c>
    </row>
    <row r="28" spans="1:69" x14ac:dyDescent="0.35">
      <c r="A28" t="s">
        <v>12</v>
      </c>
      <c r="N28">
        <v>2</v>
      </c>
      <c r="U28">
        <v>1</v>
      </c>
      <c r="AI28">
        <v>1</v>
      </c>
    </row>
    <row r="29" spans="1:69" x14ac:dyDescent="0.35">
      <c r="A29" t="s">
        <v>4</v>
      </c>
      <c r="E29">
        <v>1</v>
      </c>
      <c r="F29">
        <v>3</v>
      </c>
      <c r="H29">
        <v>1</v>
      </c>
      <c r="J29">
        <v>1</v>
      </c>
      <c r="K29">
        <v>3</v>
      </c>
      <c r="P29">
        <v>3</v>
      </c>
      <c r="U29">
        <v>3</v>
      </c>
      <c r="W29">
        <v>1</v>
      </c>
      <c r="AD29">
        <v>1</v>
      </c>
      <c r="AF29">
        <v>1</v>
      </c>
      <c r="AH29">
        <v>1</v>
      </c>
      <c r="AI29">
        <v>1</v>
      </c>
      <c r="AJ29">
        <v>2</v>
      </c>
      <c r="AO29">
        <v>2</v>
      </c>
      <c r="AP29">
        <v>2</v>
      </c>
      <c r="AQ29">
        <v>4</v>
      </c>
      <c r="AR29">
        <v>2</v>
      </c>
      <c r="AT29">
        <v>1</v>
      </c>
      <c r="AU29">
        <v>2</v>
      </c>
      <c r="AV29">
        <v>1</v>
      </c>
      <c r="AW29">
        <v>1</v>
      </c>
      <c r="AX29">
        <v>1</v>
      </c>
      <c r="AZ29">
        <v>2</v>
      </c>
      <c r="BA29">
        <v>2</v>
      </c>
      <c r="BB29">
        <v>1</v>
      </c>
      <c r="BD29">
        <v>2</v>
      </c>
      <c r="BE29">
        <v>3</v>
      </c>
      <c r="BF29">
        <v>1</v>
      </c>
      <c r="BG29">
        <v>1</v>
      </c>
      <c r="BJ29">
        <v>1</v>
      </c>
      <c r="BK29">
        <v>1</v>
      </c>
      <c r="BL29">
        <v>1</v>
      </c>
      <c r="BM29">
        <v>2</v>
      </c>
    </row>
    <row r="30" spans="1:69" x14ac:dyDescent="0.35">
      <c r="A30" t="s">
        <v>361</v>
      </c>
      <c r="AD30">
        <v>2</v>
      </c>
      <c r="AM30">
        <v>1</v>
      </c>
      <c r="AU30">
        <v>1</v>
      </c>
      <c r="BF30">
        <v>3</v>
      </c>
    </row>
    <row r="31" spans="1:69" x14ac:dyDescent="0.35">
      <c r="A31" t="s">
        <v>390</v>
      </c>
      <c r="BO31">
        <v>3</v>
      </c>
    </row>
    <row r="32" spans="1:69" x14ac:dyDescent="0.35">
      <c r="A32" t="s">
        <v>1</v>
      </c>
      <c r="B32">
        <v>1</v>
      </c>
      <c r="C32">
        <v>1</v>
      </c>
      <c r="D32">
        <v>1</v>
      </c>
      <c r="E32">
        <v>1</v>
      </c>
      <c r="F32">
        <v>2</v>
      </c>
      <c r="I32">
        <v>2</v>
      </c>
      <c r="J32">
        <v>1</v>
      </c>
      <c r="K32">
        <v>2</v>
      </c>
      <c r="L32">
        <v>1</v>
      </c>
      <c r="M32">
        <v>2</v>
      </c>
      <c r="N32">
        <v>1</v>
      </c>
      <c r="O32">
        <v>1</v>
      </c>
      <c r="P32">
        <v>2</v>
      </c>
      <c r="R32">
        <v>1</v>
      </c>
      <c r="T32">
        <v>1</v>
      </c>
      <c r="U32">
        <v>2</v>
      </c>
      <c r="Y32">
        <v>2</v>
      </c>
      <c r="AB32">
        <v>2</v>
      </c>
      <c r="AD32">
        <v>1</v>
      </c>
      <c r="AH32">
        <v>1</v>
      </c>
      <c r="AJ32">
        <v>1</v>
      </c>
      <c r="AN32">
        <v>2</v>
      </c>
      <c r="AO32">
        <v>1</v>
      </c>
      <c r="AP32">
        <v>2</v>
      </c>
      <c r="AQ32">
        <v>1</v>
      </c>
      <c r="AS32">
        <v>2</v>
      </c>
      <c r="AW32">
        <v>1</v>
      </c>
      <c r="AX32">
        <v>1</v>
      </c>
      <c r="AY32">
        <v>2</v>
      </c>
      <c r="AZ32">
        <v>2</v>
      </c>
      <c r="BA32">
        <v>1</v>
      </c>
      <c r="BB32">
        <v>2</v>
      </c>
      <c r="BC32">
        <v>4</v>
      </c>
      <c r="BD32">
        <v>1</v>
      </c>
      <c r="BE32">
        <v>1</v>
      </c>
      <c r="BG32">
        <v>2</v>
      </c>
      <c r="BH32">
        <v>3</v>
      </c>
      <c r="BJ32">
        <v>1</v>
      </c>
      <c r="BM32">
        <v>3</v>
      </c>
      <c r="BN32">
        <v>1</v>
      </c>
      <c r="BP32">
        <v>1</v>
      </c>
    </row>
    <row r="33" spans="1:69" hidden="1" x14ac:dyDescent="0.35">
      <c r="A33" t="s">
        <v>351</v>
      </c>
      <c r="Z33">
        <v>1</v>
      </c>
    </row>
    <row r="34" spans="1:69" x14ac:dyDescent="0.35">
      <c r="A34" t="s">
        <v>9</v>
      </c>
      <c r="C34">
        <v>1</v>
      </c>
      <c r="D34">
        <v>1</v>
      </c>
      <c r="G34">
        <v>2</v>
      </c>
      <c r="H34">
        <v>2</v>
      </c>
      <c r="I34">
        <v>1</v>
      </c>
      <c r="J34">
        <v>1</v>
      </c>
      <c r="K34">
        <v>2</v>
      </c>
      <c r="L34">
        <v>5</v>
      </c>
      <c r="M34">
        <v>1</v>
      </c>
      <c r="O34">
        <v>4</v>
      </c>
      <c r="P34">
        <v>1</v>
      </c>
      <c r="Q34">
        <v>2</v>
      </c>
      <c r="T34">
        <v>6</v>
      </c>
      <c r="X34">
        <v>2</v>
      </c>
      <c r="Y34">
        <v>2</v>
      </c>
      <c r="Z34">
        <v>1</v>
      </c>
      <c r="AA34">
        <v>1</v>
      </c>
      <c r="AB34">
        <v>1</v>
      </c>
      <c r="AC34">
        <v>3</v>
      </c>
      <c r="AF34">
        <v>4</v>
      </c>
      <c r="AI34">
        <v>1</v>
      </c>
      <c r="AL34">
        <v>1</v>
      </c>
      <c r="AN34">
        <v>1</v>
      </c>
      <c r="AR34">
        <v>2</v>
      </c>
      <c r="AS34">
        <v>3</v>
      </c>
      <c r="AT34">
        <v>1</v>
      </c>
      <c r="AW34">
        <v>2</v>
      </c>
      <c r="AX34">
        <v>5</v>
      </c>
      <c r="AY34">
        <v>3</v>
      </c>
      <c r="AZ34">
        <v>1</v>
      </c>
      <c r="BA34">
        <v>3</v>
      </c>
      <c r="BB34">
        <v>2</v>
      </c>
      <c r="BD34">
        <v>3</v>
      </c>
      <c r="BF34">
        <v>3</v>
      </c>
      <c r="BG34">
        <v>4</v>
      </c>
      <c r="BH34">
        <v>3</v>
      </c>
      <c r="BI34">
        <v>2</v>
      </c>
      <c r="BJ34">
        <v>1</v>
      </c>
      <c r="BL34">
        <v>1</v>
      </c>
      <c r="BM34">
        <v>2</v>
      </c>
      <c r="BN34">
        <v>1</v>
      </c>
      <c r="BP34">
        <v>1</v>
      </c>
      <c r="BQ34">
        <v>2</v>
      </c>
    </row>
    <row r="35" spans="1:69" x14ac:dyDescent="0.35">
      <c r="A35" t="s">
        <v>381</v>
      </c>
      <c r="BG35">
        <v>2</v>
      </c>
    </row>
    <row r="36" spans="1:69" x14ac:dyDescent="0.35">
      <c r="A36" t="s">
        <v>20</v>
      </c>
      <c r="B36">
        <v>1</v>
      </c>
      <c r="D36">
        <v>1</v>
      </c>
      <c r="F36">
        <v>2</v>
      </c>
      <c r="G36">
        <v>2</v>
      </c>
      <c r="H36">
        <v>4</v>
      </c>
      <c r="J36">
        <v>2</v>
      </c>
      <c r="K36">
        <v>2</v>
      </c>
      <c r="L36">
        <v>1</v>
      </c>
      <c r="M36">
        <v>1</v>
      </c>
      <c r="P36">
        <v>1</v>
      </c>
      <c r="Q36">
        <v>1</v>
      </c>
      <c r="R36">
        <v>3</v>
      </c>
      <c r="S36">
        <v>2</v>
      </c>
      <c r="T36">
        <v>2</v>
      </c>
      <c r="U36">
        <v>2</v>
      </c>
      <c r="W36">
        <v>3</v>
      </c>
      <c r="X36">
        <v>3</v>
      </c>
      <c r="Y36">
        <v>2</v>
      </c>
      <c r="AA36">
        <v>2</v>
      </c>
      <c r="AB36">
        <v>2</v>
      </c>
      <c r="AC36">
        <v>2</v>
      </c>
      <c r="AE36">
        <v>2</v>
      </c>
      <c r="AF36">
        <v>1</v>
      </c>
      <c r="AG36">
        <v>2</v>
      </c>
      <c r="AJ36">
        <v>4</v>
      </c>
      <c r="AK36">
        <v>2</v>
      </c>
      <c r="AM36">
        <v>1</v>
      </c>
      <c r="AN36">
        <v>1</v>
      </c>
      <c r="AO36">
        <v>1</v>
      </c>
      <c r="AP36">
        <v>1</v>
      </c>
      <c r="AU36">
        <v>1</v>
      </c>
      <c r="AV36">
        <v>1</v>
      </c>
      <c r="AW36">
        <v>2</v>
      </c>
      <c r="BA36">
        <v>1</v>
      </c>
      <c r="BH36">
        <v>2</v>
      </c>
      <c r="BJ36">
        <v>2</v>
      </c>
      <c r="BK36">
        <v>3</v>
      </c>
      <c r="BP36">
        <v>2</v>
      </c>
    </row>
    <row r="37" spans="1:69" x14ac:dyDescent="0.35">
      <c r="A37" t="s">
        <v>80</v>
      </c>
      <c r="F37">
        <v>1</v>
      </c>
    </row>
    <row r="38" spans="1:69" hidden="1" x14ac:dyDescent="0.35">
      <c r="A38" t="s">
        <v>61</v>
      </c>
      <c r="D38">
        <v>1</v>
      </c>
    </row>
    <row r="39" spans="1:69" x14ac:dyDescent="0.35">
      <c r="A39" t="s">
        <v>374</v>
      </c>
      <c r="AW39">
        <v>2</v>
      </c>
    </row>
    <row r="40" spans="1:69" x14ac:dyDescent="0.35">
      <c r="A40" t="s">
        <v>19</v>
      </c>
      <c r="B40">
        <v>2</v>
      </c>
      <c r="C40">
        <v>1</v>
      </c>
      <c r="D40">
        <v>1</v>
      </c>
      <c r="F40">
        <v>4</v>
      </c>
      <c r="G40">
        <v>3</v>
      </c>
      <c r="H40">
        <v>1</v>
      </c>
      <c r="I40">
        <v>1</v>
      </c>
      <c r="M40">
        <v>2</v>
      </c>
      <c r="N40">
        <v>3</v>
      </c>
      <c r="T40">
        <v>1</v>
      </c>
      <c r="X40">
        <v>1</v>
      </c>
      <c r="AA40">
        <v>2</v>
      </c>
      <c r="AB40">
        <v>2</v>
      </c>
      <c r="AC40">
        <v>1</v>
      </c>
      <c r="AD40">
        <v>2</v>
      </c>
      <c r="AE40">
        <v>1</v>
      </c>
      <c r="AG40">
        <v>1</v>
      </c>
      <c r="AH40">
        <v>2</v>
      </c>
      <c r="AJ40">
        <v>1</v>
      </c>
      <c r="AM40">
        <v>4</v>
      </c>
      <c r="AN40">
        <v>1</v>
      </c>
      <c r="AP40">
        <v>1</v>
      </c>
      <c r="AR40">
        <v>1</v>
      </c>
      <c r="AS40">
        <v>1</v>
      </c>
      <c r="AT40">
        <v>1</v>
      </c>
      <c r="AV40">
        <v>1</v>
      </c>
      <c r="AZ40">
        <v>2</v>
      </c>
      <c r="BA40">
        <v>1</v>
      </c>
      <c r="BC40">
        <v>3</v>
      </c>
      <c r="BD40">
        <v>1</v>
      </c>
      <c r="BI40">
        <v>1</v>
      </c>
      <c r="BJ40">
        <v>1</v>
      </c>
      <c r="BK40">
        <v>3</v>
      </c>
      <c r="BL40">
        <v>2</v>
      </c>
      <c r="BM40">
        <v>5</v>
      </c>
      <c r="BO40">
        <v>1</v>
      </c>
      <c r="BP40">
        <v>3</v>
      </c>
      <c r="BQ40">
        <v>3</v>
      </c>
    </row>
    <row r="41" spans="1:69" x14ac:dyDescent="0.35">
      <c r="A41" t="s">
        <v>43</v>
      </c>
      <c r="AQ41">
        <v>2</v>
      </c>
    </row>
    <row r="42" spans="1:69" x14ac:dyDescent="0.35">
      <c r="A42" t="s">
        <v>68</v>
      </c>
      <c r="E42">
        <v>1</v>
      </c>
      <c r="I42">
        <v>1</v>
      </c>
      <c r="N42">
        <v>1</v>
      </c>
      <c r="W42">
        <v>2</v>
      </c>
      <c r="AQ42">
        <v>1</v>
      </c>
    </row>
    <row r="43" spans="1:69" hidden="1" x14ac:dyDescent="0.35">
      <c r="A43" t="s">
        <v>53</v>
      </c>
      <c r="N43">
        <v>1</v>
      </c>
    </row>
    <row r="44" spans="1:69" x14ac:dyDescent="0.35">
      <c r="A44" t="s">
        <v>368</v>
      </c>
      <c r="AM44">
        <v>5</v>
      </c>
      <c r="BB44">
        <v>9</v>
      </c>
      <c r="BN44">
        <v>2</v>
      </c>
    </row>
    <row r="45" spans="1:69" x14ac:dyDescent="0.35">
      <c r="A45" t="s">
        <v>345</v>
      </c>
      <c r="U45">
        <v>1</v>
      </c>
    </row>
    <row r="46" spans="1:69" x14ac:dyDescent="0.35">
      <c r="A46" t="s">
        <v>343</v>
      </c>
      <c r="AN46">
        <v>1</v>
      </c>
    </row>
    <row r="47" spans="1:69" x14ac:dyDescent="0.35">
      <c r="A47" t="s">
        <v>344</v>
      </c>
      <c r="X47">
        <v>1</v>
      </c>
      <c r="Y47">
        <v>2</v>
      </c>
      <c r="AF47">
        <v>2</v>
      </c>
    </row>
    <row r="48" spans="1:69" x14ac:dyDescent="0.35">
      <c r="A48" t="s">
        <v>10</v>
      </c>
      <c r="B48">
        <v>2</v>
      </c>
      <c r="C48">
        <v>3</v>
      </c>
      <c r="F48">
        <v>2</v>
      </c>
      <c r="I48">
        <v>2</v>
      </c>
      <c r="J48">
        <v>2</v>
      </c>
      <c r="K48">
        <v>1</v>
      </c>
      <c r="L48">
        <v>1</v>
      </c>
      <c r="M48">
        <v>1</v>
      </c>
      <c r="O48">
        <v>2</v>
      </c>
      <c r="R48">
        <v>3</v>
      </c>
      <c r="S48">
        <v>1</v>
      </c>
      <c r="T48">
        <v>1</v>
      </c>
      <c r="V48">
        <v>1</v>
      </c>
      <c r="W48">
        <v>3</v>
      </c>
      <c r="X48">
        <v>1</v>
      </c>
      <c r="Y48">
        <v>1</v>
      </c>
      <c r="Z48">
        <v>1.5</v>
      </c>
      <c r="AC48">
        <v>1</v>
      </c>
      <c r="AD48">
        <v>2</v>
      </c>
      <c r="AE48">
        <v>1</v>
      </c>
      <c r="AF48">
        <v>2</v>
      </c>
      <c r="AH48">
        <v>2</v>
      </c>
      <c r="AL48">
        <v>3</v>
      </c>
      <c r="AP48">
        <v>2</v>
      </c>
      <c r="AQ48">
        <v>4</v>
      </c>
      <c r="AR48">
        <v>3</v>
      </c>
      <c r="AS48">
        <v>0.5</v>
      </c>
      <c r="AU48">
        <v>2</v>
      </c>
      <c r="AV48">
        <v>1</v>
      </c>
      <c r="BC48">
        <v>1</v>
      </c>
      <c r="BD48">
        <v>1</v>
      </c>
      <c r="BE48">
        <v>7</v>
      </c>
      <c r="BH48">
        <v>1</v>
      </c>
      <c r="BI48">
        <v>1</v>
      </c>
      <c r="BJ48">
        <v>3</v>
      </c>
      <c r="BK48">
        <v>3</v>
      </c>
      <c r="BL48">
        <v>1</v>
      </c>
      <c r="BM48">
        <v>1</v>
      </c>
      <c r="BN48">
        <v>4</v>
      </c>
      <c r="BP48">
        <v>1</v>
      </c>
      <c r="BQ48">
        <v>3</v>
      </c>
    </row>
    <row r="49" spans="1:69" x14ac:dyDescent="0.35">
      <c r="A49" t="s">
        <v>46</v>
      </c>
      <c r="B49">
        <v>1</v>
      </c>
      <c r="O49">
        <v>3</v>
      </c>
      <c r="P49">
        <v>1</v>
      </c>
      <c r="Q49">
        <v>2</v>
      </c>
      <c r="AM49">
        <v>1</v>
      </c>
      <c r="AN49">
        <v>1</v>
      </c>
      <c r="AP49">
        <v>1</v>
      </c>
      <c r="AS49">
        <v>1</v>
      </c>
      <c r="AV49">
        <v>1</v>
      </c>
      <c r="AX49">
        <v>5</v>
      </c>
      <c r="AY49">
        <v>1</v>
      </c>
      <c r="BA49">
        <v>2</v>
      </c>
      <c r="BB49">
        <v>4</v>
      </c>
      <c r="BE49">
        <v>3</v>
      </c>
      <c r="BF49">
        <v>2</v>
      </c>
      <c r="BH49">
        <v>3</v>
      </c>
      <c r="BK49">
        <v>1</v>
      </c>
    </row>
    <row r="50" spans="1:69" x14ac:dyDescent="0.35">
      <c r="A50" t="s">
        <v>377</v>
      </c>
    </row>
    <row r="51" spans="1:69" x14ac:dyDescent="0.35">
      <c r="A51" t="s">
        <v>3</v>
      </c>
      <c r="F51">
        <v>3</v>
      </c>
      <c r="L51">
        <v>1</v>
      </c>
      <c r="S51">
        <v>3</v>
      </c>
      <c r="AH51">
        <v>1</v>
      </c>
    </row>
    <row r="52" spans="1:69" hidden="1" x14ac:dyDescent="0.35">
      <c r="A52" t="s">
        <v>350</v>
      </c>
    </row>
    <row r="53" spans="1:69" x14ac:dyDescent="0.35">
      <c r="A53" t="s">
        <v>56</v>
      </c>
      <c r="C53">
        <v>3</v>
      </c>
      <c r="E53">
        <v>2</v>
      </c>
      <c r="F53">
        <v>1</v>
      </c>
      <c r="G53">
        <v>2</v>
      </c>
      <c r="I53">
        <v>1</v>
      </c>
      <c r="J53">
        <v>1</v>
      </c>
      <c r="K53">
        <v>1</v>
      </c>
      <c r="L53">
        <v>1</v>
      </c>
      <c r="M53">
        <v>1</v>
      </c>
      <c r="P53">
        <v>1</v>
      </c>
      <c r="R53">
        <v>1</v>
      </c>
      <c r="S53">
        <v>4</v>
      </c>
      <c r="T53">
        <v>1</v>
      </c>
      <c r="V53">
        <v>1</v>
      </c>
      <c r="W53">
        <v>2</v>
      </c>
      <c r="Z53">
        <v>2</v>
      </c>
      <c r="AA53">
        <v>1</v>
      </c>
      <c r="AB53">
        <v>4</v>
      </c>
      <c r="AC53">
        <v>1</v>
      </c>
      <c r="AD53">
        <v>1</v>
      </c>
      <c r="AX53">
        <v>1</v>
      </c>
      <c r="AY53">
        <v>1</v>
      </c>
      <c r="AZ53">
        <v>2</v>
      </c>
      <c r="BD53">
        <v>1</v>
      </c>
      <c r="BF53">
        <v>1</v>
      </c>
      <c r="BH53">
        <v>1</v>
      </c>
      <c r="BI53">
        <v>1</v>
      </c>
      <c r="BJ53">
        <v>2</v>
      </c>
      <c r="BK53">
        <v>1</v>
      </c>
      <c r="BL53">
        <v>2</v>
      </c>
      <c r="BM53">
        <v>2</v>
      </c>
      <c r="BN53">
        <v>2</v>
      </c>
      <c r="BO53">
        <v>1</v>
      </c>
      <c r="BP53">
        <v>1</v>
      </c>
    </row>
    <row r="54" spans="1:69" x14ac:dyDescent="0.35">
      <c r="A54" t="s">
        <v>369</v>
      </c>
      <c r="AN54">
        <v>3</v>
      </c>
    </row>
    <row r="55" spans="1:69" x14ac:dyDescent="0.35">
      <c r="A55" t="s">
        <v>388</v>
      </c>
      <c r="BN55">
        <v>3</v>
      </c>
      <c r="BO55">
        <v>2</v>
      </c>
      <c r="BQ55">
        <v>2</v>
      </c>
    </row>
    <row r="56" spans="1:69" x14ac:dyDescent="0.35">
      <c r="A56" t="s">
        <v>60</v>
      </c>
      <c r="B56">
        <v>2</v>
      </c>
      <c r="BF56">
        <v>1</v>
      </c>
    </row>
    <row r="57" spans="1:69" x14ac:dyDescent="0.35">
      <c r="A57" t="s">
        <v>340</v>
      </c>
      <c r="Q57">
        <v>1</v>
      </c>
      <c r="U57">
        <v>1</v>
      </c>
      <c r="W57">
        <v>1</v>
      </c>
      <c r="X57">
        <v>3</v>
      </c>
      <c r="Y57">
        <v>1</v>
      </c>
      <c r="Z57">
        <v>1</v>
      </c>
    </row>
    <row r="58" spans="1:69" x14ac:dyDescent="0.35">
      <c r="A58" t="s">
        <v>339</v>
      </c>
    </row>
    <row r="59" spans="1:69" x14ac:dyDescent="0.35">
      <c r="A59" t="s">
        <v>11</v>
      </c>
    </row>
    <row r="60" spans="1:69" x14ac:dyDescent="0.35">
      <c r="A60" t="s">
        <v>55</v>
      </c>
      <c r="B60">
        <v>2</v>
      </c>
      <c r="C60">
        <v>1</v>
      </c>
      <c r="D60">
        <v>1</v>
      </c>
      <c r="E60">
        <v>1</v>
      </c>
      <c r="F60">
        <v>3</v>
      </c>
      <c r="G60">
        <v>2</v>
      </c>
      <c r="H60">
        <v>3</v>
      </c>
      <c r="J60">
        <v>1</v>
      </c>
      <c r="K60">
        <v>1</v>
      </c>
      <c r="M60">
        <v>3</v>
      </c>
      <c r="N60">
        <v>4</v>
      </c>
      <c r="X60">
        <v>6</v>
      </c>
      <c r="Y60">
        <v>5</v>
      </c>
      <c r="Z60">
        <v>1</v>
      </c>
      <c r="AD60">
        <v>2</v>
      </c>
      <c r="AG60">
        <v>3</v>
      </c>
      <c r="AJ60">
        <v>2</v>
      </c>
      <c r="AM60">
        <v>2</v>
      </c>
      <c r="AO60">
        <v>3</v>
      </c>
      <c r="AQ60">
        <v>2</v>
      </c>
      <c r="AT60">
        <v>1</v>
      </c>
      <c r="AU60">
        <v>4</v>
      </c>
      <c r="AV60">
        <v>2</v>
      </c>
      <c r="AX60">
        <v>1</v>
      </c>
      <c r="AY60">
        <v>2</v>
      </c>
      <c r="AZ60">
        <v>1</v>
      </c>
      <c r="BA60">
        <v>4</v>
      </c>
      <c r="BB60">
        <v>2</v>
      </c>
      <c r="BH60">
        <v>1</v>
      </c>
    </row>
    <row r="61" spans="1:69" x14ac:dyDescent="0.35">
      <c r="A61" t="s">
        <v>21</v>
      </c>
    </row>
    <row r="62" spans="1:69" x14ac:dyDescent="0.35">
      <c r="A62" t="s">
        <v>81</v>
      </c>
      <c r="G62">
        <v>3</v>
      </c>
      <c r="K62">
        <v>1</v>
      </c>
      <c r="BG62">
        <v>2</v>
      </c>
      <c r="BN62">
        <v>4</v>
      </c>
      <c r="BP62">
        <v>1</v>
      </c>
    </row>
    <row r="63" spans="1:69" x14ac:dyDescent="0.35">
      <c r="A63" t="s">
        <v>63</v>
      </c>
      <c r="B63">
        <v>2</v>
      </c>
      <c r="D63">
        <v>1</v>
      </c>
      <c r="AF63">
        <v>2</v>
      </c>
      <c r="AQ63">
        <v>3</v>
      </c>
      <c r="BF63">
        <v>1</v>
      </c>
      <c r="BM63">
        <v>1</v>
      </c>
    </row>
    <row r="64" spans="1:69" hidden="1" x14ac:dyDescent="0.35">
      <c r="A64" t="s">
        <v>83</v>
      </c>
    </row>
    <row r="65" spans="1:69" x14ac:dyDescent="0.35">
      <c r="A65" t="s">
        <v>22</v>
      </c>
      <c r="Y65">
        <v>1</v>
      </c>
      <c r="AB65">
        <v>2</v>
      </c>
      <c r="AD65">
        <v>3</v>
      </c>
      <c r="AI65">
        <v>1</v>
      </c>
      <c r="AR65">
        <v>4</v>
      </c>
      <c r="AV65">
        <v>3</v>
      </c>
      <c r="BA65">
        <v>2</v>
      </c>
      <c r="BB65">
        <v>5</v>
      </c>
      <c r="BE65">
        <v>6</v>
      </c>
    </row>
    <row r="66" spans="1:69" x14ac:dyDescent="0.35">
      <c r="A66" t="s">
        <v>376</v>
      </c>
      <c r="AU66">
        <v>1</v>
      </c>
      <c r="AV66">
        <v>1</v>
      </c>
      <c r="AW66">
        <v>3</v>
      </c>
      <c r="AX66">
        <v>1</v>
      </c>
      <c r="AZ66">
        <v>1</v>
      </c>
      <c r="BC66">
        <v>2</v>
      </c>
    </row>
    <row r="67" spans="1:69" x14ac:dyDescent="0.35">
      <c r="A67" t="s">
        <v>44</v>
      </c>
      <c r="N67">
        <v>3</v>
      </c>
      <c r="S67">
        <v>2</v>
      </c>
      <c r="AG67">
        <v>2</v>
      </c>
      <c r="AI67">
        <v>1</v>
      </c>
      <c r="AP67">
        <v>2</v>
      </c>
      <c r="AQ67">
        <v>1</v>
      </c>
      <c r="AR67">
        <v>3</v>
      </c>
      <c r="AW67">
        <v>1</v>
      </c>
      <c r="BA67">
        <v>1</v>
      </c>
      <c r="BE67">
        <v>1</v>
      </c>
      <c r="BI67">
        <v>2</v>
      </c>
      <c r="BL67">
        <v>2</v>
      </c>
      <c r="BN67">
        <v>2</v>
      </c>
      <c r="BO67">
        <v>1</v>
      </c>
      <c r="BP67">
        <v>1</v>
      </c>
    </row>
    <row r="68" spans="1:69" x14ac:dyDescent="0.35">
      <c r="A68" t="s">
        <v>379</v>
      </c>
      <c r="BF68">
        <v>1</v>
      </c>
      <c r="BG68">
        <v>1</v>
      </c>
    </row>
    <row r="69" spans="1:69" x14ac:dyDescent="0.35">
      <c r="A69" t="s">
        <v>8</v>
      </c>
      <c r="B69">
        <v>1</v>
      </c>
      <c r="H69">
        <v>1</v>
      </c>
      <c r="J69">
        <v>2</v>
      </c>
      <c r="Q69">
        <v>2</v>
      </c>
    </row>
    <row r="70" spans="1:69" hidden="1" x14ac:dyDescent="0.35">
      <c r="A70" t="s">
        <v>354</v>
      </c>
    </row>
    <row r="71" spans="1:69" x14ac:dyDescent="0.35">
      <c r="A71" t="s">
        <v>82</v>
      </c>
      <c r="B71">
        <v>2</v>
      </c>
      <c r="C71">
        <v>2</v>
      </c>
      <c r="D71">
        <v>1</v>
      </c>
      <c r="E71">
        <v>2</v>
      </c>
      <c r="F71">
        <v>1</v>
      </c>
      <c r="G71">
        <v>2</v>
      </c>
      <c r="H71">
        <v>2</v>
      </c>
      <c r="I71">
        <v>3</v>
      </c>
      <c r="J71">
        <v>4</v>
      </c>
      <c r="L71">
        <v>4</v>
      </c>
      <c r="M71">
        <v>1</v>
      </c>
      <c r="N71">
        <v>2</v>
      </c>
      <c r="O71">
        <v>1</v>
      </c>
      <c r="P71">
        <v>1</v>
      </c>
      <c r="Q71">
        <v>1</v>
      </c>
      <c r="R71">
        <v>3</v>
      </c>
      <c r="S71">
        <v>3</v>
      </c>
      <c r="U71">
        <v>3</v>
      </c>
      <c r="V71">
        <v>1</v>
      </c>
      <c r="W71">
        <v>3</v>
      </c>
      <c r="AC71">
        <v>1</v>
      </c>
      <c r="AF71">
        <v>1</v>
      </c>
      <c r="AH71">
        <v>2</v>
      </c>
      <c r="AI71">
        <v>3</v>
      </c>
      <c r="AJ71">
        <v>1</v>
      </c>
      <c r="AK71">
        <v>4</v>
      </c>
      <c r="AL71">
        <v>3</v>
      </c>
      <c r="AN71">
        <v>1</v>
      </c>
      <c r="AP71">
        <v>2</v>
      </c>
      <c r="AT71">
        <v>2</v>
      </c>
      <c r="AU71">
        <v>3</v>
      </c>
      <c r="AV71">
        <v>1</v>
      </c>
      <c r="AW71">
        <v>1</v>
      </c>
      <c r="AX71">
        <v>1</v>
      </c>
      <c r="AY71">
        <v>1</v>
      </c>
      <c r="AZ71">
        <v>2</v>
      </c>
      <c r="BC71">
        <v>2</v>
      </c>
      <c r="BD71">
        <v>1</v>
      </c>
      <c r="BF71">
        <v>2</v>
      </c>
      <c r="BH71">
        <v>3</v>
      </c>
      <c r="BI71">
        <v>1</v>
      </c>
      <c r="BJ71">
        <v>2</v>
      </c>
      <c r="BK71">
        <v>3</v>
      </c>
      <c r="BM71">
        <v>2</v>
      </c>
      <c r="BN71">
        <v>3</v>
      </c>
    </row>
    <row r="72" spans="1:69" x14ac:dyDescent="0.35">
      <c r="A72" t="s">
        <v>49</v>
      </c>
      <c r="G72">
        <v>2</v>
      </c>
    </row>
    <row r="73" spans="1:69" x14ac:dyDescent="0.35">
      <c r="A73" t="s">
        <v>385</v>
      </c>
    </row>
    <row r="74" spans="1:69" x14ac:dyDescent="0.35">
      <c r="A74" t="s">
        <v>85</v>
      </c>
      <c r="K74">
        <v>4</v>
      </c>
      <c r="L74">
        <v>2</v>
      </c>
      <c r="M74">
        <v>5</v>
      </c>
    </row>
    <row r="75" spans="1:69" x14ac:dyDescent="0.35">
      <c r="A75" t="s">
        <v>5</v>
      </c>
      <c r="B75">
        <v>1</v>
      </c>
      <c r="C75">
        <v>2</v>
      </c>
      <c r="D75">
        <v>2</v>
      </c>
      <c r="E75">
        <v>3</v>
      </c>
      <c r="F75">
        <v>2</v>
      </c>
      <c r="G75">
        <v>3</v>
      </c>
      <c r="H75">
        <v>1</v>
      </c>
      <c r="M75">
        <v>4</v>
      </c>
      <c r="N75">
        <v>6</v>
      </c>
      <c r="P75">
        <v>2</v>
      </c>
      <c r="Q75">
        <v>1</v>
      </c>
      <c r="R75">
        <v>2</v>
      </c>
      <c r="S75">
        <v>3</v>
      </c>
      <c r="V75">
        <v>2</v>
      </c>
      <c r="W75">
        <v>1</v>
      </c>
      <c r="X75">
        <v>1</v>
      </c>
      <c r="Y75">
        <v>4</v>
      </c>
      <c r="Z75">
        <v>5</v>
      </c>
      <c r="AA75">
        <v>1</v>
      </c>
      <c r="AB75">
        <v>3</v>
      </c>
      <c r="AC75">
        <v>4</v>
      </c>
      <c r="AD75">
        <v>3</v>
      </c>
      <c r="AE75">
        <v>3</v>
      </c>
      <c r="AF75">
        <v>2</v>
      </c>
      <c r="AG75">
        <v>5</v>
      </c>
      <c r="AH75">
        <v>7</v>
      </c>
      <c r="AI75">
        <v>3</v>
      </c>
      <c r="AJ75">
        <v>1</v>
      </c>
      <c r="AK75">
        <v>1</v>
      </c>
      <c r="AL75">
        <v>6</v>
      </c>
      <c r="AR75">
        <v>3</v>
      </c>
      <c r="AS75">
        <v>2</v>
      </c>
      <c r="AV75">
        <v>2</v>
      </c>
      <c r="AW75">
        <v>1</v>
      </c>
      <c r="AX75">
        <v>4</v>
      </c>
      <c r="AY75">
        <v>3</v>
      </c>
      <c r="AZ75">
        <v>4</v>
      </c>
      <c r="BA75">
        <v>5</v>
      </c>
      <c r="BB75">
        <v>6</v>
      </c>
      <c r="BC75">
        <v>2</v>
      </c>
      <c r="BD75">
        <v>2</v>
      </c>
      <c r="BE75">
        <v>7</v>
      </c>
      <c r="BG75">
        <v>4</v>
      </c>
      <c r="BH75">
        <v>3</v>
      </c>
      <c r="BI75">
        <v>4</v>
      </c>
      <c r="BK75">
        <v>1</v>
      </c>
      <c r="BL75">
        <v>8</v>
      </c>
      <c r="BM75">
        <v>4</v>
      </c>
      <c r="BN75">
        <v>5</v>
      </c>
      <c r="BO75">
        <v>3</v>
      </c>
      <c r="BP75">
        <v>1</v>
      </c>
      <c r="BQ75">
        <v>1</v>
      </c>
    </row>
    <row r="76" spans="1:69" x14ac:dyDescent="0.35">
      <c r="A76" t="s">
        <v>45</v>
      </c>
      <c r="K76">
        <v>1</v>
      </c>
      <c r="BJ76">
        <v>1</v>
      </c>
    </row>
    <row r="77" spans="1:69" x14ac:dyDescent="0.35">
      <c r="A77" t="s">
        <v>367</v>
      </c>
      <c r="B77">
        <v>1</v>
      </c>
      <c r="D77">
        <v>1</v>
      </c>
      <c r="E77">
        <v>3</v>
      </c>
      <c r="O77">
        <v>2</v>
      </c>
      <c r="P77">
        <v>2</v>
      </c>
      <c r="Q77">
        <v>1</v>
      </c>
      <c r="R77">
        <v>1</v>
      </c>
      <c r="AD77">
        <v>1</v>
      </c>
      <c r="AE77">
        <v>1</v>
      </c>
      <c r="AG77">
        <v>1</v>
      </c>
      <c r="AH77">
        <v>2</v>
      </c>
      <c r="AL77">
        <v>3</v>
      </c>
      <c r="AM77">
        <v>2</v>
      </c>
      <c r="AN77">
        <v>1</v>
      </c>
      <c r="AO77">
        <v>1</v>
      </c>
      <c r="AR77">
        <v>1</v>
      </c>
      <c r="AS77">
        <v>1</v>
      </c>
      <c r="AT77">
        <v>1</v>
      </c>
      <c r="AV77">
        <v>1</v>
      </c>
      <c r="AW77">
        <v>2</v>
      </c>
      <c r="BD77">
        <v>1</v>
      </c>
      <c r="BF77">
        <v>1</v>
      </c>
      <c r="BI77">
        <v>1</v>
      </c>
    </row>
    <row r="78" spans="1:69" hidden="1" x14ac:dyDescent="0.35">
      <c r="A78" t="s">
        <v>352</v>
      </c>
      <c r="Z78">
        <v>1</v>
      </c>
    </row>
    <row r="79" spans="1:69" hidden="1" x14ac:dyDescent="0.35">
      <c r="A79" t="s">
        <v>366</v>
      </c>
    </row>
    <row r="80" spans="1:69" x14ac:dyDescent="0.35">
      <c r="A80" t="s">
        <v>17</v>
      </c>
      <c r="F80">
        <v>2</v>
      </c>
      <c r="J80">
        <v>1</v>
      </c>
      <c r="K80">
        <v>1</v>
      </c>
    </row>
    <row r="81" spans="1:67" hidden="1" x14ac:dyDescent="0.35">
      <c r="A81" t="s">
        <v>86</v>
      </c>
      <c r="K81">
        <v>5</v>
      </c>
    </row>
    <row r="82" spans="1:67" x14ac:dyDescent="0.35">
      <c r="A82" t="s">
        <v>16</v>
      </c>
      <c r="C82">
        <v>4</v>
      </c>
      <c r="D82">
        <v>3</v>
      </c>
      <c r="F82">
        <v>2</v>
      </c>
      <c r="G82">
        <v>5</v>
      </c>
      <c r="H82">
        <v>3</v>
      </c>
      <c r="I82">
        <v>2</v>
      </c>
      <c r="J82">
        <v>5</v>
      </c>
      <c r="K82">
        <v>3</v>
      </c>
      <c r="L82">
        <v>2</v>
      </c>
      <c r="M82">
        <v>3</v>
      </c>
      <c r="O82">
        <v>5</v>
      </c>
      <c r="P82">
        <v>5</v>
      </c>
      <c r="Q82">
        <v>3</v>
      </c>
      <c r="R82">
        <v>2</v>
      </c>
      <c r="S82">
        <v>3</v>
      </c>
      <c r="T82">
        <v>1</v>
      </c>
      <c r="U82">
        <v>1</v>
      </c>
      <c r="V82">
        <v>3</v>
      </c>
      <c r="W82">
        <v>3</v>
      </c>
      <c r="X82">
        <v>5</v>
      </c>
      <c r="Y82">
        <v>4</v>
      </c>
      <c r="Z82">
        <v>1</v>
      </c>
      <c r="AA82">
        <v>3</v>
      </c>
      <c r="AC82">
        <v>1</v>
      </c>
      <c r="AE82">
        <v>4</v>
      </c>
      <c r="AF82">
        <v>2</v>
      </c>
      <c r="AG82">
        <v>3</v>
      </c>
      <c r="AH82">
        <v>2</v>
      </c>
      <c r="AI82">
        <v>2</v>
      </c>
      <c r="AJ82">
        <v>7</v>
      </c>
      <c r="AK82">
        <v>3</v>
      </c>
      <c r="AL82">
        <v>5</v>
      </c>
      <c r="AM82">
        <v>1</v>
      </c>
      <c r="AN82">
        <v>4</v>
      </c>
      <c r="AO82">
        <v>3</v>
      </c>
      <c r="AP82">
        <v>6</v>
      </c>
      <c r="AQ82">
        <v>4</v>
      </c>
      <c r="AR82">
        <v>5</v>
      </c>
      <c r="AS82">
        <v>3</v>
      </c>
      <c r="AT82">
        <v>2</v>
      </c>
      <c r="AU82">
        <v>2</v>
      </c>
      <c r="AW82">
        <v>3</v>
      </c>
      <c r="AY82">
        <v>1</v>
      </c>
      <c r="AZ82">
        <v>3</v>
      </c>
      <c r="BB82">
        <v>4</v>
      </c>
      <c r="BC82">
        <v>4</v>
      </c>
      <c r="BD82">
        <v>3</v>
      </c>
      <c r="BF82">
        <v>2</v>
      </c>
      <c r="BG82">
        <v>4</v>
      </c>
      <c r="BH82">
        <v>5</v>
      </c>
      <c r="BJ82">
        <v>4</v>
      </c>
      <c r="BK82">
        <v>2</v>
      </c>
      <c r="BL82">
        <v>4</v>
      </c>
      <c r="BM82">
        <v>1</v>
      </c>
      <c r="BN82">
        <v>2</v>
      </c>
      <c r="BO82">
        <v>3</v>
      </c>
    </row>
    <row r="83" spans="1:67" hidden="1" x14ac:dyDescent="0.35">
      <c r="A83" t="s">
        <v>47</v>
      </c>
    </row>
  </sheetData>
  <autoFilter ref="A1:AB83" xr:uid="{130C2564-D265-4C41-A3E0-02A62EDAC91D}">
    <sortState ref="A2:AB83">
      <sortCondition ref="A1:A83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K1" activePane="topRight" state="frozen"/>
      <selection pane="topRight" activeCell="AE17" sqref="AE17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2026-02-26T18:28:55Z</dcterms:modified>
</cp:coreProperties>
</file>