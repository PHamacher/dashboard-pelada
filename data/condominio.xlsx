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5416d5ad4be8d97/Documentos antigo/Projetos_jl/Streamlit/Dashboard Pelada/data/"/>
    </mc:Choice>
  </mc:AlternateContent>
  <xr:revisionPtr revIDLastSave="0" documentId="14_{A1B3B906-E661-414D-BCC5-34D6B6413D4C}" xr6:coauthVersionLast="36" xr6:coauthVersionMax="36" xr10:uidLastSave="{00000000-0000-0000-0000-000000000000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artilharia!$A$1:$AB$79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notas!$CC$1:$CG$77</definedName>
  </definedNames>
  <calcPr calcId="191029"/>
</workbook>
</file>

<file path=xl/calcChain.xml><?xml version="1.0" encoding="utf-8"?>
<calcChain xmlns="http://schemas.openxmlformats.org/spreadsheetml/2006/main">
  <c r="CC78" i="1" l="1"/>
  <c r="CD78" i="1"/>
  <c r="CE78" i="1"/>
  <c r="CG78" i="1"/>
  <c r="CC79" i="1"/>
  <c r="CD79" i="1"/>
  <c r="CE79" i="1"/>
  <c r="CG79" i="1"/>
  <c r="Q81" i="4" l="1"/>
  <c r="R81" i="4"/>
  <c r="S81" i="4"/>
  <c r="CH45" i="1" l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H21" i="1" s="1"/>
  <c r="CG22" i="1"/>
  <c r="CG23" i="1"/>
  <c r="CG24" i="1"/>
  <c r="CG25" i="1"/>
  <c r="CG26" i="1"/>
  <c r="CH26" i="1" s="1"/>
  <c r="CG27" i="1"/>
  <c r="CG28" i="1"/>
  <c r="CH28" i="1" s="1"/>
  <c r="CG29" i="1"/>
  <c r="CH29" i="1" s="1"/>
  <c r="CG30" i="1"/>
  <c r="CG31" i="1"/>
  <c r="CG32" i="1"/>
  <c r="CG33" i="1"/>
  <c r="CH33" i="1" s="1"/>
  <c r="CG34" i="1"/>
  <c r="CG35" i="1"/>
  <c r="CG36" i="1"/>
  <c r="CG37" i="1"/>
  <c r="CG38" i="1"/>
  <c r="CG39" i="1"/>
  <c r="CG40" i="1"/>
  <c r="CG41" i="1"/>
  <c r="CG42" i="1"/>
  <c r="CH42" i="1" s="1"/>
  <c r="CG43" i="1"/>
  <c r="CG44" i="1"/>
  <c r="CG45" i="1"/>
  <c r="CG46" i="1"/>
  <c r="CG47" i="1"/>
  <c r="CG48" i="1"/>
  <c r="CG49" i="1"/>
  <c r="CH49" i="1" s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H76" i="1" s="1"/>
  <c r="CG77" i="1"/>
  <c r="CH77" i="1" s="1"/>
  <c r="CG2" i="1"/>
  <c r="S80" i="4"/>
  <c r="S82" i="4" s="1"/>
  <c r="CC76" i="1"/>
  <c r="CE76" i="1" s="1"/>
  <c r="CD76" i="1"/>
  <c r="CC77" i="1"/>
  <c r="CE77" i="1" s="1"/>
  <c r="CD77" i="1"/>
  <c r="P81" i="4" l="1"/>
  <c r="R80" i="4" l="1"/>
  <c r="R32" i="4"/>
  <c r="R73" i="4"/>
  <c r="R26" i="4"/>
  <c r="R54" i="4"/>
  <c r="R17" i="4"/>
  <c r="R82" i="4" l="1"/>
  <c r="CD3" i="1" l="1"/>
  <c r="CD20" i="1"/>
  <c r="CD4" i="1"/>
  <c r="CD5" i="1"/>
  <c r="CD6" i="1"/>
  <c r="CD7" i="1"/>
  <c r="CD8" i="1"/>
  <c r="CD22" i="1"/>
  <c r="CD9" i="1"/>
  <c r="CD10" i="1"/>
  <c r="CD11" i="1"/>
  <c r="CD18" i="1"/>
  <c r="CD12" i="1"/>
  <c r="CD13" i="1"/>
  <c r="CD21" i="1"/>
  <c r="CD19" i="1"/>
  <c r="CD14" i="1"/>
  <c r="CD15" i="1"/>
  <c r="CD16" i="1"/>
  <c r="CD17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2" i="1"/>
  <c r="CC3" i="1"/>
  <c r="CE3" i="1" s="1"/>
  <c r="CC20" i="1"/>
  <c r="CE20" i="1" s="1"/>
  <c r="CC4" i="1"/>
  <c r="CE4" i="1" s="1"/>
  <c r="CC5" i="1"/>
  <c r="CE5" i="1" s="1"/>
  <c r="CC6" i="1"/>
  <c r="CE6" i="1" s="1"/>
  <c r="CC7" i="1"/>
  <c r="CE7" i="1" s="1"/>
  <c r="CC8" i="1"/>
  <c r="CE8" i="1" s="1"/>
  <c r="CC22" i="1"/>
  <c r="CE22" i="1" s="1"/>
  <c r="CC9" i="1"/>
  <c r="CE9" i="1" s="1"/>
  <c r="CC10" i="1"/>
  <c r="CE10" i="1" s="1"/>
  <c r="CC11" i="1"/>
  <c r="CE11" i="1" s="1"/>
  <c r="CC18" i="1"/>
  <c r="CE18" i="1" s="1"/>
  <c r="CC12" i="1"/>
  <c r="CE12" i="1" s="1"/>
  <c r="CC13" i="1"/>
  <c r="CE13" i="1" s="1"/>
  <c r="CC21" i="1"/>
  <c r="CE21" i="1" s="1"/>
  <c r="CC19" i="1"/>
  <c r="CE19" i="1" s="1"/>
  <c r="CC14" i="1"/>
  <c r="CE14" i="1" s="1"/>
  <c r="CC15" i="1"/>
  <c r="CE15" i="1" s="1"/>
  <c r="CC16" i="1"/>
  <c r="CE16" i="1" s="1"/>
  <c r="CC17" i="1"/>
  <c r="CE17" i="1" s="1"/>
  <c r="CC23" i="1"/>
  <c r="CE23" i="1" s="1"/>
  <c r="CC24" i="1"/>
  <c r="CE24" i="1" s="1"/>
  <c r="CC25" i="1"/>
  <c r="CE25" i="1" s="1"/>
  <c r="CC26" i="1"/>
  <c r="CE26" i="1" s="1"/>
  <c r="CC27" i="1"/>
  <c r="CE27" i="1" s="1"/>
  <c r="CC28" i="1"/>
  <c r="CE28" i="1" s="1"/>
  <c r="CC29" i="1"/>
  <c r="CE29" i="1" s="1"/>
  <c r="CC30" i="1"/>
  <c r="CE30" i="1" s="1"/>
  <c r="CC31" i="1"/>
  <c r="CE31" i="1" s="1"/>
  <c r="CC32" i="1"/>
  <c r="CE32" i="1" s="1"/>
  <c r="CC33" i="1"/>
  <c r="CE33" i="1" s="1"/>
  <c r="CC34" i="1"/>
  <c r="CE34" i="1" s="1"/>
  <c r="CC35" i="1"/>
  <c r="CE35" i="1" s="1"/>
  <c r="CC36" i="1"/>
  <c r="CE36" i="1" s="1"/>
  <c r="CC37" i="1"/>
  <c r="CE37" i="1" s="1"/>
  <c r="CC38" i="1"/>
  <c r="CE38" i="1" s="1"/>
  <c r="CC39" i="1"/>
  <c r="CE39" i="1" s="1"/>
  <c r="CC40" i="1"/>
  <c r="CE40" i="1" s="1"/>
  <c r="CC41" i="1"/>
  <c r="CE41" i="1" s="1"/>
  <c r="CC42" i="1"/>
  <c r="CE42" i="1" s="1"/>
  <c r="CC43" i="1"/>
  <c r="CE43" i="1" s="1"/>
  <c r="CC44" i="1"/>
  <c r="CE44" i="1" s="1"/>
  <c r="CC45" i="1"/>
  <c r="CE45" i="1" s="1"/>
  <c r="CC46" i="1"/>
  <c r="CE46" i="1" s="1"/>
  <c r="CC47" i="1"/>
  <c r="CE47" i="1" s="1"/>
  <c r="CC48" i="1"/>
  <c r="CE48" i="1" s="1"/>
  <c r="CC49" i="1"/>
  <c r="CE49" i="1" s="1"/>
  <c r="CC50" i="1"/>
  <c r="CE50" i="1" s="1"/>
  <c r="CC51" i="1"/>
  <c r="CE51" i="1" s="1"/>
  <c r="CC52" i="1"/>
  <c r="CE52" i="1" s="1"/>
  <c r="CC53" i="1"/>
  <c r="CE53" i="1" s="1"/>
  <c r="CC54" i="1"/>
  <c r="CE54" i="1" s="1"/>
  <c r="CC55" i="1"/>
  <c r="CE55" i="1" s="1"/>
  <c r="CC56" i="1"/>
  <c r="CE56" i="1" s="1"/>
  <c r="CC57" i="1"/>
  <c r="CE57" i="1" s="1"/>
  <c r="CC58" i="1"/>
  <c r="CE58" i="1" s="1"/>
  <c r="CC59" i="1"/>
  <c r="CE59" i="1" s="1"/>
  <c r="CC60" i="1"/>
  <c r="CE60" i="1" s="1"/>
  <c r="CC61" i="1"/>
  <c r="CE61" i="1" s="1"/>
  <c r="CC62" i="1"/>
  <c r="CE62" i="1" s="1"/>
  <c r="CC63" i="1"/>
  <c r="CE63" i="1" s="1"/>
  <c r="CC64" i="1"/>
  <c r="CE64" i="1" s="1"/>
  <c r="CC65" i="1"/>
  <c r="CE65" i="1" s="1"/>
  <c r="CC66" i="1"/>
  <c r="CE66" i="1" s="1"/>
  <c r="CC67" i="1"/>
  <c r="CE67" i="1" s="1"/>
  <c r="CC68" i="1"/>
  <c r="CE68" i="1" s="1"/>
  <c r="CC69" i="1"/>
  <c r="CE69" i="1" s="1"/>
  <c r="CC70" i="1"/>
  <c r="CE70" i="1" s="1"/>
  <c r="CC71" i="1"/>
  <c r="CE71" i="1" s="1"/>
  <c r="CC72" i="1"/>
  <c r="CE72" i="1" s="1"/>
  <c r="CC73" i="1"/>
  <c r="CE73" i="1" s="1"/>
  <c r="CC74" i="1"/>
  <c r="CE74" i="1" s="1"/>
  <c r="CC75" i="1"/>
  <c r="CE75" i="1" s="1"/>
  <c r="CC2" i="1"/>
  <c r="CE2" i="1" l="1"/>
  <c r="Q82" i="4" l="1"/>
  <c r="Q80" i="4" l="1"/>
  <c r="O81" i="4" l="1"/>
  <c r="P43" i="4" l="1"/>
  <c r="P80" i="4" s="1"/>
  <c r="P82" i="4" s="1"/>
  <c r="N81" i="4" l="1"/>
  <c r="K81" i="4"/>
  <c r="O30" i="4" l="1"/>
  <c r="O60" i="4"/>
  <c r="O80" i="4"/>
  <c r="W6" i="4"/>
  <c r="O82" i="4" l="1"/>
  <c r="M81" i="4" l="1"/>
  <c r="L81" i="4" l="1"/>
  <c r="W7" i="4"/>
  <c r="W8" i="4" s="1"/>
  <c r="M80" i="4"/>
  <c r="N80" i="4"/>
  <c r="N82" i="4" l="1"/>
  <c r="M82" i="4" l="1"/>
  <c r="L80" i="4" l="1"/>
  <c r="L82" i="4" l="1"/>
  <c r="J81" i="4" l="1"/>
  <c r="I81" i="4"/>
  <c r="K54" i="4" l="1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0" i="4" s="1"/>
  <c r="K2" i="4"/>
  <c r="K82" i="4" l="1"/>
  <c r="J80" i="4" l="1"/>
  <c r="J82" i="4" l="1"/>
  <c r="E81" i="4" l="1"/>
  <c r="G81" i="4" l="1"/>
  <c r="H81" i="4"/>
  <c r="I80" i="4" l="1"/>
  <c r="I82" i="4" s="1"/>
  <c r="D81" i="4" l="1"/>
  <c r="C81" i="4"/>
  <c r="B10" i="6" l="1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E33" i="6" l="1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I5" i="6" l="1"/>
  <c r="J5" i="6" s="1"/>
  <c r="H6" i="6"/>
  <c r="F81" i="4"/>
  <c r="H80" i="4"/>
  <c r="H7" i="6" l="1"/>
  <c r="I6" i="6"/>
  <c r="J6" i="6" s="1"/>
  <c r="H82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I7" i="6" l="1"/>
  <c r="J7" i="6" s="1"/>
  <c r="H8" i="6"/>
  <c r="AH12" i="3"/>
  <c r="AI12" i="3"/>
  <c r="AH40" i="3"/>
  <c r="AI40" i="3"/>
  <c r="H9" i="6" l="1"/>
  <c r="I8" i="6"/>
  <c r="J8" i="6" s="1"/>
  <c r="AH52" i="3"/>
  <c r="AI52" i="3"/>
  <c r="AH53" i="3"/>
  <c r="AI53" i="3"/>
  <c r="H10" i="6" l="1"/>
  <c r="I9" i="6"/>
  <c r="J9" i="6" s="1"/>
  <c r="G80" i="4"/>
  <c r="I10" i="6" l="1"/>
  <c r="J10" i="6" s="1"/>
  <c r="H11" i="6"/>
  <c r="G82" i="4"/>
  <c r="B81" i="4"/>
  <c r="E80" i="4"/>
  <c r="D80" i="4"/>
  <c r="C80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2" i="4" l="1"/>
  <c r="F80" i="4"/>
  <c r="H12" i="6"/>
  <c r="I11" i="6"/>
  <c r="J11" i="6" s="1"/>
  <c r="C82" i="4"/>
  <c r="D82" i="4"/>
  <c r="B80" i="4"/>
  <c r="B82" i="4" s="1"/>
  <c r="F82" i="4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<sst xmlns="http://schemas.openxmlformats.org/spreadsheetml/2006/main" count="4640" uniqueCount="384">
  <si>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</si>
  <si>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</si>
  <si>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</si>
  <si>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</si>
  <si>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</si>
  <si>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</si>
  <si>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</si>
  <si>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</si>
  <si>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</si>
  <si>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</si>
  <si>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</si>
  <si>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</si>
  <si>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</si>
  <si>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</si>
  <si>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</si>
  <si>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</si>
  <si>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</si>
  <si>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</si>
  <si>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</si>
  <si>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</si>
  <si>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</si>
  <si>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</si>
  <si>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</si>
  <si>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</si>
  <si>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</si>
  <si>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</si>
  <si>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</si>
  <si>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</si>
  <si>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</si>
  <si>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</si>
  <si>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</si>
  <si>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</si>
  <si>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</si>
  <si>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</si>
  <si>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</si>
  <si>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</si>
  <si>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</si>
  <si>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</si>
  <si>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</si>
  <si>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</si>
  <si>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</si>
  <si>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</si>
  <si>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</si>
  <si>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</si>
  <si>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</si>
  <si>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</si>
  <si>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</si>
  <si>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</si>
  <si>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</si>
  <si>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</si>
  <si>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</si>
  <si>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</si>
  <si>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</si>
  <si>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</si>
  <si>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</si>
  <si>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</si>
  <si>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</si>
  <si>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</si>
  <si>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</si>
  <si>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</si>
  <si>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</si>
  <si>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</si>
  <si>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</si>
  <si>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</si>
  <si>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</si>
  <si>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</si>
  <si>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</si>
  <si>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</si>
  <si>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</si>
  <si>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</si>
  <si>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</si>
  <si>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</si>
  <si>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</si>
  <si>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</si>
  <si>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</si>
  <si>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</si>
  <si>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</si>
  <si>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</si>
  <si>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</si>
  <si>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</si>
  <si>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</si>
  <si>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</si>
  <si>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</si>
  <si>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</si>
  <si>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</si>
  <si>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</si>
  <si>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</si>
  <si>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</si>
  <si>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</si>
  <si>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</si>
  <si>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</si>
  <si>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</si>
  <si>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</si>
  <si>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</si>
  <si>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</si>
  <si>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</si>
  <si>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</si>
  <si>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</si>
  <si>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</si>
  <si>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</si>
  <si>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</si>
  <si>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</si>
  <si>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</si>
  <si>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</si>
  <si>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</si>
  <si>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</si>
  <si>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</si>
  <si>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</si>
  <si>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</si>
  <si>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</si>
  <si>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</si>
  <si>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</si>
  <si>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</si>
  <si>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</si>
  <si>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</si>
  <si>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</si>
  <si>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</si>
  <si>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</si>
  <si>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</si>
  <si>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</si>
  <si>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</si>
  <si>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</si>
  <si>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</si>
  <si>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</si>
  <si>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</si>
  <si>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</si>
  <si>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</si>
  <si>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</si>
  <si>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</si>
  <si>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</si>
  <si>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</si>
  <si>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</si>
  <si>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</si>
  <si>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</si>
  <si>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</si>
  <si>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</si>
  <si>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</si>
  <si>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</si>
  <si>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</si>
  <si>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</si>
  <si>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</si>
  <si>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</si>
  <si>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</si>
  <si>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</si>
  <si>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</si>
  <si>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</si>
  <si>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</si>
  <si>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</si>
  <si>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</si>
  <si>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</si>
  <si>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</si>
  <si>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</si>
  <si>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</si>
  <si>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</si>
  <si>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</si>
  <si>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</si>
  <si>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</si>
  <si>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</si>
  <si>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</si>
  <si>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</si>
  <si>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</si>
  <si>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</si>
  <si>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</si>
  <si>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</si>
  <si>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</si>
  <si>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</si>
  <si>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</si>
  <si>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</si>
  <si>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</si>
  <si>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</si>
  <si>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</si>
  <si>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</si>
  <si>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</si>
  <si>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</si>
  <si>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</si>
  <si>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</si>
  <si>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</si>
  <si>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</si>
  <si>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</si>
  <si>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</si>
  <si>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</si>
  <si>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</si>
  <si>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</si>
  <si>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</si>
  <si>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</si>
  <si>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</si>
  <si>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</si>
  <si>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</si>
  <si>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</si>
  <si>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</si>
  <si>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</si>
  <si>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</si>
  <si>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</si>
  <si>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</si>
  <si>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</si>
  <si>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</si>
  <si>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</si>
  <si>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</si>
  <si>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</si>
  <si>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</si>
  <si>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</si>
  <si>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</si>
  <si>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</si>
  <si>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</si>
  <si>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</si>
  <si>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</si>
  <si>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</si>
  <si>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</si>
  <si>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</si>
  <si>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</si>
  <si>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</si>
  <si>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</si>
  <si>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</si>
  <si>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</si>
  <si>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</si>
  <si>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</si>
  <si>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</si>
  <si>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</si>
  <si>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</si>
  <si>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</si>
  <si>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</si>
  <si>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</si>
  <si>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</si>
  <si>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</si>
  <si>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</si>
  <si>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</si>
  <si>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</si>
  <si>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</si>
  <si>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</si>
  <si>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</si>
  <si>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</si>
  <si>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</si>
  <si>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</si>
  <si>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</si>
  <si>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</si>
  <si>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</si>
  <si>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</si>
  <si>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</si>
  <si>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</si>
  <si>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</si>
  <si>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</si>
  <si>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</si>
  <si>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</si>
  <si>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</si>
  <si>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</si>
  <si>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</si>
  <si>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</si>
  <si>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</si>
  <si>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</si>
  <si>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</si>
  <si>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</si>
  <si>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</si>
  <si>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</si>
  <si>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</si>
  <si>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</si>
  <si>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</si>
  <si>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</si>
  <si>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</si>
  <si>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</si>
  <si>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</si>
  <si>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</si>
  <si>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</si>
  <si>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</si>
  <si>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</si>
  <si>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</si>
  <si>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</si>
  <si>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</si>
  <si>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</si>
  <si>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</si>
  <si>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</si>
  <si>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</si>
  <si>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</si>
  <si>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</si>
  <si>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</si>
  <si>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</si>
  <si>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</si>
  <si>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</si>
  <si>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</si>
  <si>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</si>
  <si>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</si>
  <si>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</si>
  <si>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</si>
  <si>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</si>
  <si>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</si>
  <si>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</si>
  <si>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</si>
  <si>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</si>
  <si>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</si>
  <si>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</si>
  <si>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</si>
  <si>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</si>
  <si>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</si>
  <si>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</si>
  <si>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</si>
  <si>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</si>
  <si>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</si>
  <si>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</si>
  <si>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</si>
  <si>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</si>
  <si>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</si>
  <si>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</si>
  <si>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</si>
  <si>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</si>
  <si>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</si>
  <si>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</si>
  <si>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</si>
  <si>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</si>
  <si>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</si>
  <si>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</si>
  <si>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</si>
  <si>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</si>
  <si>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</si>
  <si>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</si>
  <si>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</si>
  <si>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</si>
  <si>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</si>
  <si>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</si>
  <si>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</si>
  <si>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</si>
  <si>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</si>
  <si>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</si>
  <si>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</si>
  <si>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</si>
  <si>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</si>
  <si>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</si>
  <si>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</si>
  <si>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</si>
  <si>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</si>
  <si>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</si>
  <si>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</si>
  <si>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</si>
  <si>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</si>
  <si>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</si>
  <si>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</si>
  <si>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</si>
  <si>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</si>
  <si>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</si>
  <si>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</si>
  <si>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</si>
  <si>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</si>
  <si>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</si>
  <si>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</si>
  <si>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</si>
  <si>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</si>
  <si>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</si>
  <si>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</si>
  <si>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</si>
  <si>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</si>
  <si>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</si>
  <si>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</si>
  <si>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</si>
  <si>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</si>
  <si>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</si>
  <si>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</si>
  <si>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</si>
  <si>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</si>
  <si>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</si>
  <si>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</si>
  <si>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</si>
  <si>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</si>
  <si>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</si>
  <si>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</si>
  <si>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</si>
  <si>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</si>
  <si>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</si>
  <si>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</si>
  <si>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</si>
  <si>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</si>
  <si>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</si>
  <si>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</si>
  <si>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</si>
  <si>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</si>
  <si>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</si>
  <si>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</si>
  <si>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</si>
  <si>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</si>
  <si>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</si>
  <si>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</si>
  <si>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</si>
  <si>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</si>
  <si>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</si>
  <si>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nov</t>
  </si>
  <si>
    <t>Juninho</t>
  </si>
  <si>
    <t>Caio Yuri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</si>
</sst>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79"/>
  <sheetViews>
    <sheetView zoomScale="85" zoomScaleNormal="85" workbookViewId="0">
      <pane xSplit="1" topLeftCell="BJ1" activePane="topRight" state="frozen"/>
      <selection pane="topRight" activeCell="CA21" sqref="CA21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80" width="11" customWidth="1"/>
  </cols>
  <sheetData>
    <row r="1" spans="1:85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/>
      <c r="CC1" t="s">
        <v>57</v>
      </c>
      <c r="CD1" t="s">
        <v>58</v>
      </c>
      <c r="CE1" t="s">
        <v>59</v>
      </c>
      <c r="CF1" t="s">
        <v>62</v>
      </c>
      <c r="CG1" t="s">
        <v>381</v>
      </c>
    </row>
    <row r="2" spans="1:85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BZ2">
        <v>5.5</v>
      </c>
      <c r="CA2">
        <v>5</v>
      </c>
      <c r="CC2">
        <f t="shared" ref="CC2:CC33" si="0">COUNT(B2:CB2)</f>
        <v>73</v>
      </c>
      <c r="CD2" s="18">
        <f t="shared" ref="CD2:CD33" si="1">AVERAGE(B2:CB2)</f>
        <v>5.6917808219178081</v>
      </c>
      <c r="CE2">
        <f t="shared" ref="CE2:CE33" si="2">IF(CC2&gt;1,_xlfn.STDEV.S(B2:CB2),"")</f>
        <v>1.0295297503468825</v>
      </c>
      <c r="CF2">
        <v>1</v>
      </c>
      <c r="CG2">
        <f t="shared" ref="CG2:CG65" si="3">COUNT(BV2:BY2)</f>
        <v>4</v>
      </c>
    </row>
    <row r="3" spans="1:85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BZ3">
        <v>4.5</v>
      </c>
      <c r="CA3">
        <v>4.5</v>
      </c>
      <c r="CC3">
        <f t="shared" si="0"/>
        <v>69</v>
      </c>
      <c r="CD3" s="18">
        <f t="shared" si="1"/>
        <v>5.3840579710144931</v>
      </c>
      <c r="CE3">
        <f t="shared" si="2"/>
        <v>0.88759807882347153</v>
      </c>
      <c r="CF3">
        <v>1</v>
      </c>
      <c r="CG3">
        <f t="shared" si="3"/>
        <v>3</v>
      </c>
    </row>
    <row r="4" spans="1:85" x14ac:dyDescent="0.35">
      <c r="A4" t="s">
        <v>82</v>
      </c>
      <c r="B4">
        <v>9</v>
      </c>
      <c r="C4" t="s">
        <v>26</v>
      </c>
      <c r="D4">
        <v>7.5</v>
      </c>
      <c r="E4">
        <v>7</v>
      </c>
      <c r="F4">
        <v>6</v>
      </c>
      <c r="G4">
        <v>7</v>
      </c>
      <c r="H4">
        <v>6</v>
      </c>
      <c r="I4">
        <v>7</v>
      </c>
      <c r="J4">
        <v>7</v>
      </c>
      <c r="K4">
        <v>7</v>
      </c>
      <c r="L4">
        <v>6</v>
      </c>
      <c r="M4">
        <v>6</v>
      </c>
      <c r="N4">
        <v>7</v>
      </c>
      <c r="O4">
        <v>7</v>
      </c>
      <c r="P4">
        <v>7</v>
      </c>
      <c r="Q4">
        <v>7</v>
      </c>
      <c r="R4">
        <v>7.5</v>
      </c>
      <c r="S4">
        <v>7</v>
      </c>
      <c r="T4">
        <v>7.5</v>
      </c>
      <c r="U4">
        <v>7</v>
      </c>
      <c r="V4">
        <v>7</v>
      </c>
      <c r="W4">
        <v>7</v>
      </c>
      <c r="X4">
        <v>6</v>
      </c>
      <c r="Y4">
        <v>6</v>
      </c>
      <c r="Z4">
        <v>6</v>
      </c>
      <c r="AA4">
        <v>7</v>
      </c>
      <c r="AB4">
        <v>7</v>
      </c>
      <c r="AC4">
        <v>7</v>
      </c>
      <c r="AD4" t="s">
        <v>26</v>
      </c>
      <c r="AE4">
        <v>7</v>
      </c>
      <c r="AF4">
        <v>6</v>
      </c>
      <c r="AG4">
        <v>6</v>
      </c>
      <c r="AH4">
        <v>5</v>
      </c>
      <c r="AI4">
        <v>6.5</v>
      </c>
      <c r="AJ4">
        <v>5.5</v>
      </c>
      <c r="AK4">
        <v>6.5</v>
      </c>
      <c r="AL4">
        <v>5.5</v>
      </c>
      <c r="AN4">
        <v>6.5</v>
      </c>
      <c r="AO4">
        <v>5.5</v>
      </c>
      <c r="AP4">
        <v>6</v>
      </c>
      <c r="AV4">
        <v>5</v>
      </c>
      <c r="AY4">
        <v>6</v>
      </c>
      <c r="BA4">
        <v>5</v>
      </c>
      <c r="BB4">
        <v>6</v>
      </c>
      <c r="BC4">
        <v>5</v>
      </c>
      <c r="BD4">
        <v>6.5</v>
      </c>
      <c r="BE4">
        <v>6</v>
      </c>
      <c r="BF4">
        <v>5</v>
      </c>
      <c r="BG4">
        <v>5.5</v>
      </c>
      <c r="BH4">
        <v>5.5</v>
      </c>
      <c r="BI4">
        <v>5</v>
      </c>
      <c r="BL4">
        <v>5</v>
      </c>
      <c r="BM4">
        <v>5.5</v>
      </c>
      <c r="BN4">
        <v>6.5</v>
      </c>
      <c r="BO4">
        <v>6</v>
      </c>
      <c r="BP4">
        <v>5</v>
      </c>
      <c r="BQ4">
        <v>5</v>
      </c>
      <c r="BR4">
        <v>5.5</v>
      </c>
      <c r="BS4">
        <v>5.5</v>
      </c>
      <c r="BV4">
        <v>5.5</v>
      </c>
      <c r="BW4">
        <v>5</v>
      </c>
      <c r="BY4">
        <v>5.5</v>
      </c>
      <c r="CA4">
        <v>5.5</v>
      </c>
      <c r="CC4">
        <f t="shared" si="0"/>
        <v>61</v>
      </c>
      <c r="CD4" s="18">
        <f t="shared" si="1"/>
        <v>6.1885245901639347</v>
      </c>
      <c r="CE4">
        <f t="shared" si="2"/>
        <v>0.86199349584857365</v>
      </c>
      <c r="CF4">
        <v>1</v>
      </c>
      <c r="CG4">
        <f t="shared" si="3"/>
        <v>3</v>
      </c>
    </row>
    <row r="5" spans="1:85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BZ5">
        <v>5</v>
      </c>
      <c r="CA5">
        <v>5</v>
      </c>
      <c r="CC5">
        <f t="shared" si="0"/>
        <v>64</v>
      </c>
      <c r="CD5" s="18">
        <f t="shared" si="1"/>
        <v>5.8671875</v>
      </c>
      <c r="CE5">
        <f t="shared" si="2"/>
        <v>1.020590350090776</v>
      </c>
      <c r="CF5">
        <v>1</v>
      </c>
      <c r="CG5">
        <f t="shared" si="3"/>
        <v>4</v>
      </c>
    </row>
    <row r="6" spans="1:85" x14ac:dyDescent="0.35">
      <c r="A6" t="s">
        <v>4</v>
      </c>
      <c r="B6">
        <v>4.5</v>
      </c>
      <c r="C6" t="s">
        <v>26</v>
      </c>
      <c r="D6">
        <v>6</v>
      </c>
      <c r="E6">
        <v>5.5</v>
      </c>
      <c r="F6">
        <v>6</v>
      </c>
      <c r="G6" t="s">
        <v>26</v>
      </c>
      <c r="H6">
        <v>7</v>
      </c>
      <c r="I6">
        <v>5.5</v>
      </c>
      <c r="J6">
        <v>6</v>
      </c>
      <c r="K6">
        <v>5.5</v>
      </c>
      <c r="L6">
        <v>7</v>
      </c>
      <c r="M6">
        <v>6</v>
      </c>
      <c r="N6">
        <v>7</v>
      </c>
      <c r="O6">
        <v>5.5</v>
      </c>
      <c r="P6">
        <v>5.5</v>
      </c>
      <c r="Q6">
        <v>7</v>
      </c>
      <c r="R6">
        <v>6</v>
      </c>
      <c r="S6">
        <v>6</v>
      </c>
      <c r="T6">
        <v>7</v>
      </c>
      <c r="U6">
        <v>6</v>
      </c>
      <c r="V6">
        <v>5.5</v>
      </c>
      <c r="W6">
        <v>5.5</v>
      </c>
      <c r="X6">
        <v>6</v>
      </c>
      <c r="Y6">
        <v>5.5</v>
      </c>
      <c r="Z6" t="s">
        <v>26</v>
      </c>
      <c r="AA6">
        <v>7</v>
      </c>
      <c r="AB6">
        <v>6</v>
      </c>
      <c r="AC6">
        <v>6</v>
      </c>
      <c r="AD6">
        <v>6</v>
      </c>
      <c r="AE6">
        <v>6.5</v>
      </c>
      <c r="AF6">
        <v>6</v>
      </c>
      <c r="AG6">
        <v>6</v>
      </c>
      <c r="AH6">
        <v>5</v>
      </c>
      <c r="AI6">
        <v>6</v>
      </c>
      <c r="AL6">
        <v>3</v>
      </c>
      <c r="AM6">
        <v>4</v>
      </c>
      <c r="AN6">
        <v>5.5</v>
      </c>
      <c r="AO6">
        <v>5</v>
      </c>
      <c r="AP6">
        <v>4.5</v>
      </c>
      <c r="AV6">
        <v>4</v>
      </c>
      <c r="AW6">
        <v>4.5</v>
      </c>
      <c r="AX6">
        <v>4.5</v>
      </c>
      <c r="AY6">
        <v>5</v>
      </c>
      <c r="AZ6">
        <v>4</v>
      </c>
      <c r="BA6">
        <v>5</v>
      </c>
      <c r="BB6">
        <v>5</v>
      </c>
      <c r="BC6">
        <v>6</v>
      </c>
      <c r="BH6">
        <v>5.5</v>
      </c>
      <c r="BI6">
        <v>5.5</v>
      </c>
      <c r="BJ6">
        <v>5.5</v>
      </c>
      <c r="BK6">
        <v>5</v>
      </c>
      <c r="BL6">
        <v>4.5</v>
      </c>
      <c r="BM6">
        <v>5</v>
      </c>
      <c r="BN6">
        <v>6</v>
      </c>
      <c r="BO6">
        <v>5</v>
      </c>
      <c r="BP6">
        <v>5</v>
      </c>
      <c r="BQ6">
        <v>5</v>
      </c>
      <c r="BR6">
        <v>5</v>
      </c>
      <c r="BS6">
        <v>5</v>
      </c>
      <c r="BT6">
        <v>5.5</v>
      </c>
      <c r="BU6">
        <v>5.5</v>
      </c>
      <c r="BV6">
        <v>5</v>
      </c>
      <c r="BW6">
        <v>5.5</v>
      </c>
      <c r="BX6">
        <v>5</v>
      </c>
      <c r="BY6">
        <v>5</v>
      </c>
      <c r="BZ6">
        <v>5</v>
      </c>
      <c r="CA6">
        <v>5</v>
      </c>
      <c r="CC6">
        <f t="shared" si="0"/>
        <v>64</v>
      </c>
      <c r="CD6" s="18">
        <f t="shared" si="1"/>
        <v>5.4609375</v>
      </c>
      <c r="CE6">
        <f t="shared" si="2"/>
        <v>0.80329029473724356</v>
      </c>
      <c r="CF6">
        <v>1</v>
      </c>
      <c r="CG6">
        <f t="shared" si="3"/>
        <v>4</v>
      </c>
    </row>
    <row r="7" spans="1:85" x14ac:dyDescent="0.35">
      <c r="A7" t="s">
        <v>9</v>
      </c>
      <c r="B7">
        <v>7</v>
      </c>
      <c r="C7" t="s">
        <v>26</v>
      </c>
      <c r="D7">
        <v>7</v>
      </c>
      <c r="E7">
        <v>6</v>
      </c>
      <c r="F7">
        <v>7.5</v>
      </c>
      <c r="G7">
        <v>7</v>
      </c>
      <c r="H7">
        <v>7</v>
      </c>
      <c r="I7" t="s">
        <v>26</v>
      </c>
      <c r="J7">
        <v>6</v>
      </c>
      <c r="K7" t="s">
        <v>26</v>
      </c>
      <c r="L7">
        <v>7</v>
      </c>
      <c r="M7">
        <v>7</v>
      </c>
      <c r="N7">
        <v>7.5</v>
      </c>
      <c r="O7">
        <v>6</v>
      </c>
      <c r="P7">
        <v>6</v>
      </c>
      <c r="Q7">
        <v>7</v>
      </c>
      <c r="R7" t="s">
        <v>26</v>
      </c>
      <c r="S7">
        <v>6</v>
      </c>
      <c r="T7">
        <v>7.5</v>
      </c>
      <c r="U7" t="s">
        <v>26</v>
      </c>
      <c r="V7">
        <v>6</v>
      </c>
      <c r="W7">
        <v>7</v>
      </c>
      <c r="X7">
        <v>7</v>
      </c>
      <c r="Y7" t="s">
        <v>26</v>
      </c>
      <c r="Z7">
        <v>7.5</v>
      </c>
      <c r="AA7">
        <v>7</v>
      </c>
      <c r="AB7">
        <v>7</v>
      </c>
      <c r="AC7">
        <v>6</v>
      </c>
      <c r="AD7">
        <v>7</v>
      </c>
      <c r="AE7">
        <v>8</v>
      </c>
      <c r="AF7">
        <v>6.5</v>
      </c>
      <c r="AH7">
        <v>7.5</v>
      </c>
      <c r="AI7">
        <v>5.5</v>
      </c>
      <c r="AJ7">
        <v>5.5</v>
      </c>
      <c r="AK7">
        <v>5.5</v>
      </c>
      <c r="AM7">
        <v>7</v>
      </c>
      <c r="AQ7">
        <v>5</v>
      </c>
      <c r="AR7">
        <v>5.5</v>
      </c>
      <c r="AS7">
        <v>5</v>
      </c>
      <c r="AT7">
        <v>5.5</v>
      </c>
      <c r="AU7">
        <v>5.5</v>
      </c>
      <c r="AV7">
        <v>5.5</v>
      </c>
      <c r="AX7">
        <v>6</v>
      </c>
      <c r="AY7">
        <v>6.5</v>
      </c>
      <c r="AZ7">
        <v>5.5</v>
      </c>
      <c r="BA7">
        <v>5.5</v>
      </c>
      <c r="BB7">
        <v>4.5</v>
      </c>
      <c r="BC7">
        <v>4</v>
      </c>
      <c r="BD7">
        <v>4.5</v>
      </c>
      <c r="BE7">
        <v>5.5</v>
      </c>
      <c r="BF7">
        <v>5</v>
      </c>
      <c r="BG7">
        <v>5</v>
      </c>
      <c r="BH7">
        <v>5</v>
      </c>
      <c r="BK7">
        <v>5</v>
      </c>
      <c r="BL7">
        <v>5.5</v>
      </c>
      <c r="BM7">
        <v>5</v>
      </c>
      <c r="BP7">
        <v>5.5</v>
      </c>
      <c r="BQ7">
        <v>7</v>
      </c>
      <c r="BR7">
        <v>6</v>
      </c>
      <c r="BS7">
        <v>5.5</v>
      </c>
      <c r="BT7">
        <v>5.5</v>
      </c>
      <c r="BU7">
        <v>5.5</v>
      </c>
      <c r="BW7">
        <v>6</v>
      </c>
      <c r="BY7">
        <v>6</v>
      </c>
      <c r="BZ7">
        <v>6</v>
      </c>
      <c r="CA7">
        <v>5.5</v>
      </c>
      <c r="CC7">
        <f t="shared" si="0"/>
        <v>60</v>
      </c>
      <c r="CD7" s="18">
        <f t="shared" si="1"/>
        <v>6.0750000000000002</v>
      </c>
      <c r="CE7">
        <f t="shared" si="2"/>
        <v>0.91050833259713337</v>
      </c>
      <c r="CF7">
        <v>1</v>
      </c>
      <c r="CG7">
        <f t="shared" si="3"/>
        <v>2</v>
      </c>
    </row>
    <row r="8" spans="1:85" x14ac:dyDescent="0.35">
      <c r="A8" t="s">
        <v>5</v>
      </c>
      <c r="B8">
        <v>10</v>
      </c>
      <c r="C8">
        <v>8.5</v>
      </c>
      <c r="D8">
        <v>8.5</v>
      </c>
      <c r="E8">
        <v>7.5</v>
      </c>
      <c r="F8">
        <v>7</v>
      </c>
      <c r="G8">
        <v>7.5</v>
      </c>
      <c r="H8">
        <v>7</v>
      </c>
      <c r="I8" t="s">
        <v>26</v>
      </c>
      <c r="J8">
        <v>8.5</v>
      </c>
      <c r="K8">
        <v>7.5</v>
      </c>
      <c r="L8">
        <v>8.5</v>
      </c>
      <c r="M8">
        <v>7</v>
      </c>
      <c r="N8">
        <v>7.5</v>
      </c>
      <c r="O8">
        <v>7.5</v>
      </c>
      <c r="P8">
        <v>7</v>
      </c>
      <c r="Q8">
        <v>7</v>
      </c>
      <c r="R8" t="s">
        <v>26</v>
      </c>
      <c r="S8" t="s">
        <v>26</v>
      </c>
      <c r="T8" t="s">
        <v>26</v>
      </c>
      <c r="U8">
        <v>7</v>
      </c>
      <c r="V8">
        <v>6</v>
      </c>
      <c r="W8">
        <v>7.5</v>
      </c>
      <c r="X8">
        <v>7</v>
      </c>
      <c r="Y8">
        <v>7</v>
      </c>
      <c r="Z8">
        <v>7</v>
      </c>
      <c r="AA8">
        <v>7</v>
      </c>
      <c r="AB8" t="s">
        <v>26</v>
      </c>
      <c r="AC8" t="s">
        <v>26</v>
      </c>
      <c r="AD8" t="s">
        <v>26</v>
      </c>
      <c r="AF8">
        <v>6.5</v>
      </c>
      <c r="AG8">
        <v>10</v>
      </c>
      <c r="AI8">
        <v>6.5</v>
      </c>
      <c r="AJ8">
        <v>5.5</v>
      </c>
      <c r="AK8">
        <v>6.5</v>
      </c>
      <c r="AL8">
        <v>6</v>
      </c>
      <c r="AO8">
        <v>6</v>
      </c>
      <c r="AP8">
        <v>5</v>
      </c>
      <c r="AQ8">
        <v>5.5</v>
      </c>
      <c r="AR8">
        <v>6.5</v>
      </c>
      <c r="AS8">
        <v>6</v>
      </c>
      <c r="AT8">
        <v>5.5</v>
      </c>
      <c r="AU8">
        <v>6.5</v>
      </c>
      <c r="AV8">
        <v>6</v>
      </c>
      <c r="AW8">
        <v>6</v>
      </c>
      <c r="AX8">
        <v>6</v>
      </c>
      <c r="AY8">
        <v>5.5</v>
      </c>
      <c r="AZ8">
        <v>7</v>
      </c>
      <c r="BA8">
        <v>8.5</v>
      </c>
      <c r="BB8">
        <v>5.5</v>
      </c>
      <c r="BC8">
        <v>4.5</v>
      </c>
      <c r="BD8">
        <v>5.5</v>
      </c>
      <c r="BE8">
        <v>6.5</v>
      </c>
      <c r="BF8">
        <v>5.5</v>
      </c>
      <c r="BG8">
        <v>5</v>
      </c>
      <c r="BK8">
        <v>5.5</v>
      </c>
      <c r="BL8">
        <v>6</v>
      </c>
      <c r="BO8">
        <v>5.5</v>
      </c>
      <c r="BP8">
        <v>5.5</v>
      </c>
      <c r="BQ8">
        <v>6</v>
      </c>
      <c r="BR8">
        <v>5.5</v>
      </c>
      <c r="BS8">
        <v>6</v>
      </c>
      <c r="BT8">
        <v>6</v>
      </c>
      <c r="BU8">
        <v>6.5</v>
      </c>
      <c r="BV8">
        <v>5.5</v>
      </c>
      <c r="BW8">
        <v>5.5</v>
      </c>
      <c r="BX8">
        <v>6.5</v>
      </c>
      <c r="BZ8">
        <v>6</v>
      </c>
      <c r="CA8">
        <v>5.5</v>
      </c>
      <c r="CC8">
        <f t="shared" si="0"/>
        <v>61</v>
      </c>
      <c r="CD8" s="18">
        <f t="shared" si="1"/>
        <v>6.557377049180328</v>
      </c>
      <c r="CE8">
        <f t="shared" si="2"/>
        <v>1.1441822431171</v>
      </c>
      <c r="CF8">
        <v>1</v>
      </c>
      <c r="CG8">
        <f t="shared" si="3"/>
        <v>3</v>
      </c>
    </row>
    <row r="9" spans="1:85" x14ac:dyDescent="0.35">
      <c r="A9" t="s">
        <v>11</v>
      </c>
      <c r="B9">
        <v>5.5</v>
      </c>
      <c r="C9" t="s">
        <v>26</v>
      </c>
      <c r="D9">
        <v>7.5</v>
      </c>
      <c r="E9">
        <v>7.5</v>
      </c>
      <c r="F9">
        <v>7.5</v>
      </c>
      <c r="G9">
        <v>5.5</v>
      </c>
      <c r="H9" t="s">
        <v>26</v>
      </c>
      <c r="I9">
        <v>4.5</v>
      </c>
      <c r="J9">
        <v>7</v>
      </c>
      <c r="K9">
        <v>6</v>
      </c>
      <c r="L9" t="s">
        <v>26</v>
      </c>
      <c r="M9" t="s">
        <v>26</v>
      </c>
      <c r="N9">
        <v>6</v>
      </c>
      <c r="O9">
        <v>5.5</v>
      </c>
      <c r="P9">
        <v>6</v>
      </c>
      <c r="Q9" t="s">
        <v>26</v>
      </c>
      <c r="R9" t="s">
        <v>26</v>
      </c>
      <c r="S9">
        <v>4.5</v>
      </c>
      <c r="T9">
        <v>7</v>
      </c>
      <c r="U9" t="s">
        <v>26</v>
      </c>
      <c r="V9" t="s">
        <v>26</v>
      </c>
      <c r="W9" t="s">
        <v>26</v>
      </c>
      <c r="X9">
        <v>6</v>
      </c>
      <c r="Y9">
        <v>6</v>
      </c>
      <c r="Z9" t="s">
        <v>26</v>
      </c>
      <c r="AA9">
        <v>4.5</v>
      </c>
      <c r="AB9" t="s">
        <v>26</v>
      </c>
      <c r="AC9">
        <v>7</v>
      </c>
      <c r="AD9" t="s">
        <v>26</v>
      </c>
      <c r="AE9">
        <v>3</v>
      </c>
      <c r="AF9">
        <v>6</v>
      </c>
      <c r="AG9">
        <v>4.5</v>
      </c>
      <c r="AH9">
        <v>6</v>
      </c>
      <c r="AI9">
        <v>6</v>
      </c>
      <c r="AJ9">
        <v>5.5</v>
      </c>
      <c r="AK9">
        <v>7</v>
      </c>
      <c r="AL9">
        <v>5</v>
      </c>
      <c r="AM9">
        <v>4.5</v>
      </c>
      <c r="AN9">
        <v>4.5</v>
      </c>
      <c r="AO9">
        <v>5</v>
      </c>
      <c r="AP9">
        <v>5</v>
      </c>
      <c r="AR9">
        <v>5.5</v>
      </c>
      <c r="AS9">
        <v>5.5</v>
      </c>
      <c r="AT9">
        <v>5</v>
      </c>
      <c r="AU9">
        <v>6</v>
      </c>
      <c r="AV9">
        <v>5</v>
      </c>
      <c r="AX9">
        <v>5</v>
      </c>
      <c r="AY9">
        <v>4.5</v>
      </c>
      <c r="BD9">
        <v>4</v>
      </c>
      <c r="BE9">
        <v>6</v>
      </c>
      <c r="BG9">
        <v>3.5</v>
      </c>
      <c r="BH9">
        <v>5.5</v>
      </c>
      <c r="BI9">
        <v>5</v>
      </c>
      <c r="BJ9">
        <v>5</v>
      </c>
      <c r="BK9">
        <v>5</v>
      </c>
      <c r="BM9">
        <v>4.5</v>
      </c>
      <c r="BN9">
        <v>7</v>
      </c>
      <c r="BO9">
        <v>5</v>
      </c>
      <c r="BR9">
        <v>7</v>
      </c>
      <c r="BS9">
        <v>5.5</v>
      </c>
      <c r="BT9">
        <v>5.5</v>
      </c>
      <c r="BU9">
        <v>5.5</v>
      </c>
      <c r="BV9">
        <v>5</v>
      </c>
      <c r="BW9">
        <v>5</v>
      </c>
      <c r="BX9">
        <v>5</v>
      </c>
      <c r="BY9">
        <v>3.5</v>
      </c>
      <c r="BZ9">
        <v>4.5</v>
      </c>
      <c r="CA9">
        <v>4</v>
      </c>
      <c r="CC9">
        <f t="shared" si="0"/>
        <v>56</v>
      </c>
      <c r="CD9" s="18">
        <f t="shared" si="1"/>
        <v>5.4107142857142856</v>
      </c>
      <c r="CE9">
        <f t="shared" si="2"/>
        <v>1.0317995879095843</v>
      </c>
      <c r="CF9">
        <v>1</v>
      </c>
      <c r="CG9">
        <f t="shared" si="3"/>
        <v>4</v>
      </c>
    </row>
    <row r="10" spans="1:85" x14ac:dyDescent="0.35">
      <c r="A10" t="s">
        <v>367</v>
      </c>
      <c r="B10">
        <v>8.5</v>
      </c>
      <c r="C10" t="s">
        <v>26</v>
      </c>
      <c r="D10" t="s">
        <v>26</v>
      </c>
      <c r="E10">
        <v>7</v>
      </c>
      <c r="F10">
        <v>7</v>
      </c>
      <c r="G10" t="s">
        <v>26</v>
      </c>
      <c r="H10">
        <v>10</v>
      </c>
      <c r="I10">
        <v>7</v>
      </c>
      <c r="J10" t="s">
        <v>26</v>
      </c>
      <c r="K10">
        <v>6</v>
      </c>
      <c r="L10">
        <v>7</v>
      </c>
      <c r="M10">
        <v>6</v>
      </c>
      <c r="N10">
        <v>6</v>
      </c>
      <c r="O10">
        <v>6</v>
      </c>
      <c r="P10">
        <v>7</v>
      </c>
      <c r="Q10">
        <v>5.5</v>
      </c>
      <c r="R10">
        <v>7.5</v>
      </c>
      <c r="S10">
        <v>7</v>
      </c>
      <c r="T10">
        <v>7</v>
      </c>
      <c r="U10">
        <v>6</v>
      </c>
      <c r="V10">
        <v>7</v>
      </c>
      <c r="W10">
        <v>7</v>
      </c>
      <c r="X10">
        <v>7</v>
      </c>
      <c r="Y10" t="s">
        <v>26</v>
      </c>
      <c r="Z10">
        <v>6</v>
      </c>
      <c r="AA10">
        <v>6</v>
      </c>
      <c r="AB10" t="s">
        <v>26</v>
      </c>
      <c r="AC10">
        <v>6</v>
      </c>
      <c r="AD10" t="s">
        <v>26</v>
      </c>
      <c r="AF10">
        <v>7</v>
      </c>
      <c r="AG10">
        <v>5.5</v>
      </c>
      <c r="AH10">
        <v>5.5</v>
      </c>
      <c r="AI10">
        <v>5.5</v>
      </c>
      <c r="AJ10">
        <v>5.5</v>
      </c>
      <c r="AK10">
        <v>6.5</v>
      </c>
      <c r="AL10">
        <v>4.5</v>
      </c>
      <c r="AV10">
        <v>4.5</v>
      </c>
      <c r="AW10">
        <v>4.5</v>
      </c>
      <c r="AX10">
        <v>5</v>
      </c>
      <c r="AY10">
        <v>5.5</v>
      </c>
      <c r="AZ10">
        <v>5.5</v>
      </c>
      <c r="BA10">
        <v>5</v>
      </c>
      <c r="BD10">
        <v>4.5</v>
      </c>
      <c r="BE10">
        <v>6</v>
      </c>
      <c r="BF10">
        <v>6.5</v>
      </c>
      <c r="BG10">
        <v>5.5</v>
      </c>
      <c r="BH10">
        <v>5</v>
      </c>
      <c r="BK10">
        <v>4.5</v>
      </c>
      <c r="BL10">
        <v>5</v>
      </c>
      <c r="BM10">
        <v>5.5</v>
      </c>
      <c r="BN10">
        <v>5.5</v>
      </c>
      <c r="BO10">
        <v>5</v>
      </c>
      <c r="BP10">
        <v>5.5</v>
      </c>
      <c r="BQ10">
        <v>5</v>
      </c>
      <c r="BR10">
        <v>4.5</v>
      </c>
      <c r="BS10">
        <v>5.5</v>
      </c>
      <c r="BT10">
        <v>5</v>
      </c>
      <c r="BV10">
        <v>5.5</v>
      </c>
      <c r="BW10">
        <v>5</v>
      </c>
      <c r="BY10">
        <v>5</v>
      </c>
      <c r="CC10">
        <f t="shared" si="0"/>
        <v>53</v>
      </c>
      <c r="CD10" s="18">
        <f t="shared" si="1"/>
        <v>5.9150943396226419</v>
      </c>
      <c r="CE10">
        <f t="shared" si="2"/>
        <v>1.0863481922362819</v>
      </c>
      <c r="CF10">
        <v>1</v>
      </c>
      <c r="CG10">
        <f t="shared" si="3"/>
        <v>3</v>
      </c>
    </row>
    <row r="11" spans="1:85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BZ11">
        <v>5</v>
      </c>
      <c r="CA11">
        <v>6</v>
      </c>
      <c r="CC11">
        <f t="shared" si="0"/>
        <v>53</v>
      </c>
      <c r="CD11" s="18">
        <f t="shared" si="1"/>
        <v>5.9339622641509431</v>
      </c>
      <c r="CE11">
        <f t="shared" si="2"/>
        <v>0.9458295903244065</v>
      </c>
      <c r="CF11">
        <v>1</v>
      </c>
      <c r="CG11">
        <f t="shared" si="3"/>
        <v>3</v>
      </c>
    </row>
    <row r="12" spans="1:85" x14ac:dyDescent="0.35">
      <c r="A12" t="s">
        <v>25</v>
      </c>
      <c r="B12" t="s">
        <v>26</v>
      </c>
      <c r="C12" t="s">
        <v>26</v>
      </c>
      <c r="D12" t="s">
        <v>26</v>
      </c>
      <c r="E12">
        <v>4.5</v>
      </c>
      <c r="F12">
        <v>6</v>
      </c>
      <c r="G12">
        <v>4</v>
      </c>
      <c r="H12" t="s">
        <v>26</v>
      </c>
      <c r="I12" t="s">
        <v>26</v>
      </c>
      <c r="J12">
        <v>4.5</v>
      </c>
      <c r="K12" t="s">
        <v>26</v>
      </c>
      <c r="L12">
        <v>2.5</v>
      </c>
      <c r="M12">
        <v>4.5</v>
      </c>
      <c r="N12">
        <v>5.5</v>
      </c>
      <c r="O12">
        <v>6</v>
      </c>
      <c r="P12">
        <v>4.5</v>
      </c>
      <c r="Q12" t="s">
        <v>26</v>
      </c>
      <c r="R12" t="s">
        <v>26</v>
      </c>
      <c r="S12">
        <v>4</v>
      </c>
      <c r="T12">
        <v>6</v>
      </c>
      <c r="U12">
        <v>2.5</v>
      </c>
      <c r="V12">
        <v>5.5</v>
      </c>
      <c r="W12">
        <v>6</v>
      </c>
      <c r="X12">
        <v>6</v>
      </c>
      <c r="Y12" t="s">
        <v>26</v>
      </c>
      <c r="Z12">
        <v>5.5</v>
      </c>
      <c r="AA12" t="s">
        <v>26</v>
      </c>
      <c r="AB12" t="s">
        <v>26</v>
      </c>
      <c r="AC12">
        <v>4</v>
      </c>
      <c r="AD12">
        <v>4.5</v>
      </c>
      <c r="AE12">
        <v>4</v>
      </c>
      <c r="AF12">
        <v>2.5</v>
      </c>
      <c r="AG12">
        <v>3</v>
      </c>
      <c r="AH12">
        <v>5</v>
      </c>
      <c r="AK12">
        <v>5</v>
      </c>
      <c r="AL12">
        <v>2.5</v>
      </c>
      <c r="AM12">
        <v>4</v>
      </c>
      <c r="AO12">
        <v>5.5</v>
      </c>
      <c r="AP12">
        <v>5.5</v>
      </c>
      <c r="AQ12">
        <v>4</v>
      </c>
      <c r="AR12">
        <v>3.5</v>
      </c>
      <c r="AT12">
        <v>5</v>
      </c>
      <c r="AU12">
        <v>4</v>
      </c>
      <c r="AX12">
        <v>5.5</v>
      </c>
      <c r="AY12">
        <v>4.5</v>
      </c>
      <c r="AZ12">
        <v>4.5</v>
      </c>
      <c r="BA12">
        <v>5</v>
      </c>
      <c r="BC12">
        <v>4</v>
      </c>
      <c r="BE12">
        <v>4.5</v>
      </c>
      <c r="BK12">
        <v>4.5</v>
      </c>
      <c r="BL12">
        <v>4</v>
      </c>
      <c r="BM12">
        <v>5</v>
      </c>
      <c r="BO12">
        <v>4.5</v>
      </c>
      <c r="BR12">
        <v>4.5</v>
      </c>
      <c r="BT12">
        <v>5</v>
      </c>
      <c r="CA12">
        <v>5</v>
      </c>
      <c r="CC12">
        <f t="shared" si="0"/>
        <v>44</v>
      </c>
      <c r="CD12" s="18">
        <f t="shared" si="1"/>
        <v>4.5454545454545459</v>
      </c>
      <c r="CE12">
        <f t="shared" si="2"/>
        <v>0.96940512697809467</v>
      </c>
      <c r="CF12">
        <v>1</v>
      </c>
      <c r="CG12">
        <f t="shared" si="3"/>
        <v>0</v>
      </c>
    </row>
    <row r="13" spans="1:85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C13">
        <f t="shared" si="0"/>
        <v>44</v>
      </c>
      <c r="CD13" s="18">
        <f t="shared" si="1"/>
        <v>5.9318181818181817</v>
      </c>
      <c r="CE13">
        <f t="shared" si="2"/>
        <v>1.0263443203173968</v>
      </c>
      <c r="CF13">
        <v>1</v>
      </c>
      <c r="CG13">
        <f t="shared" si="3"/>
        <v>2</v>
      </c>
    </row>
    <row r="14" spans="1:85" x14ac:dyDescent="0.35">
      <c r="A14" t="s">
        <v>44</v>
      </c>
      <c r="B14" t="s">
        <v>26</v>
      </c>
      <c r="C14" t="s">
        <v>26</v>
      </c>
      <c r="D14" t="s">
        <v>26</v>
      </c>
      <c r="E14" t="s">
        <v>26</v>
      </c>
      <c r="F14">
        <v>5.5</v>
      </c>
      <c r="G14">
        <v>4.5</v>
      </c>
      <c r="H14">
        <v>6</v>
      </c>
      <c r="I14" t="s">
        <v>26</v>
      </c>
      <c r="J14" t="s">
        <v>26</v>
      </c>
      <c r="K14" t="s">
        <v>26</v>
      </c>
      <c r="L14" t="s">
        <v>26</v>
      </c>
      <c r="M14" t="s">
        <v>26</v>
      </c>
      <c r="N14" t="s">
        <v>26</v>
      </c>
      <c r="O14" t="s">
        <v>26</v>
      </c>
      <c r="P14" t="s">
        <v>26</v>
      </c>
      <c r="Q14">
        <v>6</v>
      </c>
      <c r="R14" t="s">
        <v>26</v>
      </c>
      <c r="S14">
        <v>6</v>
      </c>
      <c r="T14">
        <v>6</v>
      </c>
      <c r="U14" t="s">
        <v>26</v>
      </c>
      <c r="V14" t="s">
        <v>26</v>
      </c>
      <c r="W14" t="s">
        <v>26</v>
      </c>
      <c r="X14" t="s">
        <v>26</v>
      </c>
      <c r="Y14" t="s">
        <v>26</v>
      </c>
      <c r="Z14" t="s">
        <v>26</v>
      </c>
      <c r="AA14" t="s">
        <v>26</v>
      </c>
      <c r="AB14" t="s">
        <v>26</v>
      </c>
      <c r="AC14" t="s">
        <v>26</v>
      </c>
      <c r="AD14" t="s">
        <v>26</v>
      </c>
      <c r="AG14">
        <v>6.5</v>
      </c>
      <c r="AI14">
        <v>4</v>
      </c>
      <c r="AJ14">
        <v>3.5</v>
      </c>
      <c r="AK14">
        <v>3</v>
      </c>
      <c r="AL14">
        <v>5</v>
      </c>
      <c r="AN14">
        <v>5</v>
      </c>
      <c r="AO14">
        <v>5</v>
      </c>
      <c r="AW14">
        <v>4.5</v>
      </c>
      <c r="AX14">
        <v>4.5</v>
      </c>
      <c r="AY14">
        <v>4.5</v>
      </c>
      <c r="AZ14">
        <v>4.5</v>
      </c>
      <c r="BB14">
        <v>5.5</v>
      </c>
      <c r="BC14">
        <v>2.5</v>
      </c>
      <c r="BE14">
        <v>4</v>
      </c>
      <c r="BF14">
        <v>5</v>
      </c>
      <c r="BG14">
        <v>3.5</v>
      </c>
      <c r="BH14">
        <v>4</v>
      </c>
      <c r="BI14">
        <v>5</v>
      </c>
      <c r="BJ14">
        <v>4.5</v>
      </c>
      <c r="BK14">
        <v>5</v>
      </c>
      <c r="BL14">
        <v>4.5</v>
      </c>
      <c r="BO14">
        <v>4</v>
      </c>
      <c r="BP14">
        <v>5</v>
      </c>
      <c r="BQ14">
        <v>4.5</v>
      </c>
      <c r="BS14">
        <v>4.5</v>
      </c>
      <c r="BT14">
        <v>4.5</v>
      </c>
      <c r="BV14">
        <v>4</v>
      </c>
      <c r="BX14">
        <v>5</v>
      </c>
      <c r="CC14">
        <f t="shared" si="0"/>
        <v>34</v>
      </c>
      <c r="CD14" s="18">
        <f t="shared" si="1"/>
        <v>4.6764705882352944</v>
      </c>
      <c r="CE14">
        <f t="shared" si="2"/>
        <v>0.87803459016884888</v>
      </c>
      <c r="CF14">
        <v>1</v>
      </c>
      <c r="CG14">
        <f t="shared" si="3"/>
        <v>2</v>
      </c>
    </row>
    <row r="15" spans="1:85" x14ac:dyDescent="0.35">
      <c r="A15" t="s">
        <v>15</v>
      </c>
      <c r="B15">
        <v>7</v>
      </c>
      <c r="C15">
        <v>5.5</v>
      </c>
      <c r="D15" t="s">
        <v>26</v>
      </c>
      <c r="E15" t="s">
        <v>26</v>
      </c>
      <c r="F15" t="s">
        <v>26</v>
      </c>
      <c r="G15">
        <v>6</v>
      </c>
      <c r="H15">
        <v>4.5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>
        <v>6</v>
      </c>
      <c r="Q15">
        <v>5.5</v>
      </c>
      <c r="R15">
        <v>7</v>
      </c>
      <c r="S15">
        <v>6</v>
      </c>
      <c r="T15">
        <v>6</v>
      </c>
      <c r="U15">
        <v>7</v>
      </c>
      <c r="V15">
        <v>5.5</v>
      </c>
      <c r="W15">
        <v>6</v>
      </c>
      <c r="X15">
        <v>5.5</v>
      </c>
      <c r="Y15">
        <v>7</v>
      </c>
      <c r="Z15" t="s">
        <v>26</v>
      </c>
      <c r="AA15">
        <v>7</v>
      </c>
      <c r="AB15">
        <v>6</v>
      </c>
      <c r="AC15" t="s">
        <v>26</v>
      </c>
      <c r="AD15">
        <v>6</v>
      </c>
      <c r="BB15">
        <v>3.5</v>
      </c>
      <c r="BC15">
        <v>4</v>
      </c>
      <c r="BD15">
        <v>5</v>
      </c>
      <c r="BE15">
        <v>7</v>
      </c>
      <c r="BH15">
        <v>5</v>
      </c>
      <c r="BJ15">
        <v>4.5</v>
      </c>
      <c r="BK15">
        <v>5.5</v>
      </c>
      <c r="BL15">
        <v>5</v>
      </c>
      <c r="BM15">
        <v>5</v>
      </c>
      <c r="BN15">
        <v>5.5</v>
      </c>
      <c r="BR15">
        <v>5</v>
      </c>
      <c r="BS15">
        <v>5</v>
      </c>
      <c r="BW15">
        <v>5.5</v>
      </c>
      <c r="BX15">
        <v>5</v>
      </c>
      <c r="BY15">
        <v>5</v>
      </c>
      <c r="CA15">
        <v>4.5</v>
      </c>
      <c r="CC15">
        <f t="shared" si="0"/>
        <v>33</v>
      </c>
      <c r="CD15" s="18">
        <f t="shared" si="1"/>
        <v>5.5606060606060606</v>
      </c>
      <c r="CE15">
        <f t="shared" si="2"/>
        <v>0.90793013013784329</v>
      </c>
      <c r="CF15">
        <v>1</v>
      </c>
      <c r="CG15">
        <f t="shared" si="3"/>
        <v>3</v>
      </c>
    </row>
    <row r="16" spans="1:85" x14ac:dyDescent="0.35">
      <c r="A16" t="s">
        <v>56</v>
      </c>
      <c r="B16" t="s">
        <v>26</v>
      </c>
      <c r="C16" t="s">
        <v>26</v>
      </c>
      <c r="D16" t="s">
        <v>26</v>
      </c>
      <c r="E16" t="s">
        <v>26</v>
      </c>
      <c r="F16" t="s">
        <v>26</v>
      </c>
      <c r="G16" t="s">
        <v>26</v>
      </c>
      <c r="H16" t="s">
        <v>26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7</v>
      </c>
      <c r="T16" t="s">
        <v>26</v>
      </c>
      <c r="U16" t="s">
        <v>26</v>
      </c>
      <c r="V16">
        <v>7</v>
      </c>
      <c r="W16" t="s">
        <v>26</v>
      </c>
      <c r="X16">
        <v>6</v>
      </c>
      <c r="Y16">
        <v>7</v>
      </c>
      <c r="Z16">
        <v>7</v>
      </c>
      <c r="AA16" t="s">
        <v>26</v>
      </c>
      <c r="AB16">
        <v>7</v>
      </c>
      <c r="AC16">
        <v>4.5</v>
      </c>
      <c r="AD16">
        <v>7</v>
      </c>
      <c r="AE16">
        <v>6</v>
      </c>
      <c r="AF16">
        <v>5</v>
      </c>
      <c r="AG16">
        <v>6.5</v>
      </c>
      <c r="AH16">
        <v>6.5</v>
      </c>
      <c r="AI16">
        <v>6.5</v>
      </c>
      <c r="AJ16">
        <v>5</v>
      </c>
      <c r="AK16">
        <v>5</v>
      </c>
      <c r="AL16">
        <v>6</v>
      </c>
      <c r="AM16">
        <v>5</v>
      </c>
      <c r="AO16">
        <v>5</v>
      </c>
      <c r="AP16">
        <v>5.5</v>
      </c>
      <c r="AQ16">
        <v>4.5</v>
      </c>
      <c r="AR16">
        <v>5</v>
      </c>
      <c r="AS16">
        <v>5</v>
      </c>
      <c r="AT16">
        <v>5</v>
      </c>
      <c r="AU16">
        <v>6</v>
      </c>
      <c r="AV16">
        <v>4.5</v>
      </c>
      <c r="AW16">
        <v>5</v>
      </c>
      <c r="BP16">
        <v>5</v>
      </c>
      <c r="BQ16">
        <v>5</v>
      </c>
      <c r="BR16">
        <v>5.5</v>
      </c>
      <c r="BS16">
        <v>5.5</v>
      </c>
      <c r="BV16">
        <v>5</v>
      </c>
      <c r="BW16">
        <v>5.5</v>
      </c>
      <c r="BY16">
        <v>4.5</v>
      </c>
      <c r="CA16">
        <v>5</v>
      </c>
      <c r="CC16">
        <f t="shared" si="0"/>
        <v>35</v>
      </c>
      <c r="CD16" s="18">
        <f t="shared" si="1"/>
        <v>5.6</v>
      </c>
      <c r="CE16">
        <f t="shared" si="2"/>
        <v>0.84714051893622233</v>
      </c>
      <c r="CF16">
        <v>1</v>
      </c>
      <c r="CG16">
        <f t="shared" si="3"/>
        <v>3</v>
      </c>
    </row>
    <row r="17" spans="1:86" x14ac:dyDescent="0.35">
      <c r="A17" t="s">
        <v>46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>
        <v>6</v>
      </c>
      <c r="I17">
        <v>5.5</v>
      </c>
      <c r="J17">
        <v>5.5</v>
      </c>
      <c r="K17">
        <v>4</v>
      </c>
      <c r="L17" t="s">
        <v>26</v>
      </c>
      <c r="M17">
        <v>4</v>
      </c>
      <c r="N17">
        <v>4.5</v>
      </c>
      <c r="O17">
        <v>7.5</v>
      </c>
      <c r="P17">
        <v>7</v>
      </c>
      <c r="Q17">
        <v>4.5</v>
      </c>
      <c r="R17" t="s">
        <v>26</v>
      </c>
      <c r="S17" t="s">
        <v>26</v>
      </c>
      <c r="T17" t="s">
        <v>26</v>
      </c>
      <c r="U17">
        <v>5.5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 t="s">
        <v>26</v>
      </c>
      <c r="AC17" t="s">
        <v>26</v>
      </c>
      <c r="AD17" t="s">
        <v>26</v>
      </c>
      <c r="AH17">
        <v>5</v>
      </c>
      <c r="AI17">
        <v>5.5</v>
      </c>
      <c r="AJ17">
        <v>3.5</v>
      </c>
      <c r="BF17">
        <v>3.5</v>
      </c>
      <c r="BG17">
        <v>4.5</v>
      </c>
      <c r="BH17">
        <v>4</v>
      </c>
      <c r="BI17">
        <v>5</v>
      </c>
      <c r="BJ17">
        <v>3.5</v>
      </c>
      <c r="BK17">
        <v>4</v>
      </c>
      <c r="BL17">
        <v>5</v>
      </c>
      <c r="BO17">
        <v>5</v>
      </c>
      <c r="BQ17">
        <v>7</v>
      </c>
      <c r="BR17">
        <v>4.5</v>
      </c>
      <c r="BT17">
        <v>5</v>
      </c>
      <c r="BU17">
        <v>5.5</v>
      </c>
      <c r="BV17">
        <v>4.5</v>
      </c>
      <c r="BX17">
        <v>5</v>
      </c>
      <c r="BY17">
        <v>5</v>
      </c>
      <c r="CA17">
        <v>5</v>
      </c>
      <c r="CC17">
        <f t="shared" si="0"/>
        <v>29</v>
      </c>
      <c r="CD17" s="18">
        <f t="shared" si="1"/>
        <v>4.9655172413793105</v>
      </c>
      <c r="CE17">
        <f t="shared" si="2"/>
        <v>1.0082785407631893</v>
      </c>
      <c r="CF17">
        <v>1</v>
      </c>
      <c r="CG17">
        <f t="shared" si="3"/>
        <v>3</v>
      </c>
    </row>
    <row r="18" spans="1:86" x14ac:dyDescent="0.35">
      <c r="A18" t="s">
        <v>2</v>
      </c>
      <c r="B18">
        <v>7</v>
      </c>
      <c r="C18" t="s">
        <v>26</v>
      </c>
      <c r="D18">
        <v>4.5</v>
      </c>
      <c r="E18">
        <v>4.5</v>
      </c>
      <c r="F18">
        <v>5.5</v>
      </c>
      <c r="G18">
        <v>5.5</v>
      </c>
      <c r="H18">
        <v>7</v>
      </c>
      <c r="I18" t="s">
        <v>26</v>
      </c>
      <c r="J18">
        <v>6</v>
      </c>
      <c r="K18">
        <v>6</v>
      </c>
      <c r="L18">
        <v>5.5</v>
      </c>
      <c r="M18">
        <v>6</v>
      </c>
      <c r="N18" t="s">
        <v>26</v>
      </c>
      <c r="O18">
        <v>5.5</v>
      </c>
      <c r="P18">
        <v>6</v>
      </c>
      <c r="Q18">
        <v>4.5</v>
      </c>
      <c r="R18">
        <v>6</v>
      </c>
      <c r="S18">
        <v>7</v>
      </c>
      <c r="T18">
        <v>5.5</v>
      </c>
      <c r="U18">
        <v>5.5</v>
      </c>
      <c r="V18">
        <v>5.5</v>
      </c>
      <c r="W18">
        <v>5.5</v>
      </c>
      <c r="X18">
        <v>6</v>
      </c>
      <c r="Y18">
        <v>5.5</v>
      </c>
      <c r="Z18" t="s">
        <v>26</v>
      </c>
      <c r="AA18">
        <v>7</v>
      </c>
      <c r="AB18">
        <v>6</v>
      </c>
      <c r="AC18">
        <v>6</v>
      </c>
      <c r="AD18" t="s">
        <v>26</v>
      </c>
      <c r="AE18">
        <v>7</v>
      </c>
      <c r="AH18">
        <v>6.5</v>
      </c>
      <c r="AI18">
        <v>4.5</v>
      </c>
      <c r="AK18">
        <v>5</v>
      </c>
      <c r="AL18">
        <v>5</v>
      </c>
      <c r="AM18">
        <v>5.5</v>
      </c>
      <c r="AN18">
        <v>4</v>
      </c>
      <c r="AT18">
        <v>4.5</v>
      </c>
      <c r="AZ18">
        <v>4.5</v>
      </c>
      <c r="BC18">
        <v>4</v>
      </c>
      <c r="BG18">
        <v>4.5</v>
      </c>
      <c r="BH18">
        <v>5.5</v>
      </c>
      <c r="BI18">
        <v>5</v>
      </c>
      <c r="BJ18">
        <v>4.5</v>
      </c>
      <c r="BK18">
        <v>4.5</v>
      </c>
      <c r="BL18">
        <v>4.5</v>
      </c>
      <c r="BM18">
        <v>5</v>
      </c>
      <c r="BN18">
        <v>5.5</v>
      </c>
      <c r="BQ18">
        <v>5</v>
      </c>
      <c r="BW18">
        <v>5</v>
      </c>
      <c r="BY18">
        <v>4</v>
      </c>
      <c r="BZ18">
        <v>5</v>
      </c>
      <c r="CA18">
        <v>5</v>
      </c>
      <c r="CC18">
        <f t="shared" si="0"/>
        <v>47</v>
      </c>
      <c r="CD18" s="18">
        <f t="shared" si="1"/>
        <v>5.3723404255319149</v>
      </c>
      <c r="CE18">
        <f t="shared" si="2"/>
        <v>0.83710217745754567</v>
      </c>
      <c r="CF18">
        <v>1</v>
      </c>
      <c r="CG18">
        <f t="shared" si="3"/>
        <v>2</v>
      </c>
    </row>
    <row r="19" spans="1:86" x14ac:dyDescent="0.35">
      <c r="A19" t="s">
        <v>84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>
        <v>4.5</v>
      </c>
      <c r="AC19">
        <v>6</v>
      </c>
      <c r="AD19" t="s">
        <v>26</v>
      </c>
      <c r="AE19">
        <v>6.5</v>
      </c>
      <c r="AF19">
        <v>6</v>
      </c>
      <c r="AG19">
        <v>6.5</v>
      </c>
      <c r="AH19">
        <v>5</v>
      </c>
      <c r="AI19">
        <v>5.5</v>
      </c>
      <c r="AL19">
        <v>5</v>
      </c>
      <c r="AO19">
        <v>5.5</v>
      </c>
      <c r="AP19">
        <v>6</v>
      </c>
      <c r="AQ19">
        <v>5.5</v>
      </c>
      <c r="AT19">
        <v>4.5</v>
      </c>
      <c r="AU19">
        <v>5</v>
      </c>
      <c r="AV19">
        <v>5</v>
      </c>
      <c r="AW19">
        <v>4.5</v>
      </c>
      <c r="AX19">
        <v>5</v>
      </c>
      <c r="AZ19">
        <v>5</v>
      </c>
      <c r="BA19">
        <v>5.5</v>
      </c>
      <c r="BB19">
        <v>5.5</v>
      </c>
      <c r="BC19">
        <v>4</v>
      </c>
      <c r="BD19">
        <v>4.5</v>
      </c>
      <c r="BE19">
        <v>4.5</v>
      </c>
      <c r="BF19">
        <v>4.5</v>
      </c>
      <c r="BG19">
        <v>5</v>
      </c>
      <c r="BI19">
        <v>4.5</v>
      </c>
      <c r="BL19">
        <v>5</v>
      </c>
      <c r="BM19">
        <v>5</v>
      </c>
      <c r="BN19">
        <v>5.5</v>
      </c>
      <c r="BO19">
        <v>5</v>
      </c>
      <c r="BQ19">
        <v>5</v>
      </c>
      <c r="BR19">
        <v>4.5</v>
      </c>
      <c r="BW19">
        <v>5</v>
      </c>
      <c r="CA19">
        <v>5</v>
      </c>
      <c r="CC19">
        <f t="shared" si="0"/>
        <v>33</v>
      </c>
      <c r="CD19" s="18">
        <f t="shared" si="1"/>
        <v>5.1212121212121211</v>
      </c>
      <c r="CE19">
        <f t="shared" si="2"/>
        <v>0.59987372408573159</v>
      </c>
      <c r="CF19">
        <v>1</v>
      </c>
      <c r="CG19">
        <f t="shared" si="3"/>
        <v>1</v>
      </c>
    </row>
    <row r="20" spans="1:86" x14ac:dyDescent="0.35">
      <c r="A20" t="s">
        <v>20</v>
      </c>
      <c r="B20" t="s">
        <v>26</v>
      </c>
      <c r="C20" t="s">
        <v>26</v>
      </c>
      <c r="D20">
        <v>7</v>
      </c>
      <c r="E20">
        <v>7</v>
      </c>
      <c r="F20">
        <v>7</v>
      </c>
      <c r="G20">
        <v>7</v>
      </c>
      <c r="H20">
        <v>7.5</v>
      </c>
      <c r="I20">
        <v>7</v>
      </c>
      <c r="J20">
        <v>7.5</v>
      </c>
      <c r="K20">
        <v>7</v>
      </c>
      <c r="L20">
        <v>6</v>
      </c>
      <c r="M20">
        <v>5.5</v>
      </c>
      <c r="N20">
        <v>5.5</v>
      </c>
      <c r="O20" t="s">
        <v>26</v>
      </c>
      <c r="P20">
        <v>7</v>
      </c>
      <c r="Q20">
        <v>4.5</v>
      </c>
      <c r="R20">
        <v>6</v>
      </c>
      <c r="S20">
        <v>7</v>
      </c>
      <c r="T20">
        <v>6</v>
      </c>
      <c r="U20">
        <v>7</v>
      </c>
      <c r="V20">
        <v>6</v>
      </c>
      <c r="W20">
        <v>6</v>
      </c>
      <c r="X20">
        <v>5.5</v>
      </c>
      <c r="Y20">
        <v>6</v>
      </c>
      <c r="Z20">
        <v>6</v>
      </c>
      <c r="AA20">
        <v>7</v>
      </c>
      <c r="AB20">
        <v>5.5</v>
      </c>
      <c r="AC20">
        <v>6</v>
      </c>
      <c r="AD20">
        <v>7</v>
      </c>
      <c r="AE20">
        <v>6</v>
      </c>
      <c r="AF20">
        <v>6</v>
      </c>
      <c r="AG20">
        <v>6.5</v>
      </c>
      <c r="AI20">
        <v>5.5</v>
      </c>
      <c r="AJ20">
        <v>5</v>
      </c>
      <c r="AK20">
        <v>5.5</v>
      </c>
      <c r="AL20">
        <v>5</v>
      </c>
      <c r="AM20">
        <v>5</v>
      </c>
      <c r="AN20">
        <v>5.5</v>
      </c>
      <c r="AP20">
        <v>5</v>
      </c>
      <c r="AQ20">
        <v>4.5</v>
      </c>
      <c r="AR20">
        <v>4.5</v>
      </c>
      <c r="AT20">
        <v>5.5</v>
      </c>
      <c r="AU20">
        <v>5.5</v>
      </c>
      <c r="AV20">
        <v>5</v>
      </c>
      <c r="AW20">
        <v>4.5</v>
      </c>
      <c r="AX20">
        <v>4.5</v>
      </c>
      <c r="AY20">
        <v>5</v>
      </c>
      <c r="AZ20">
        <v>5.5</v>
      </c>
      <c r="BB20">
        <v>4.5</v>
      </c>
      <c r="BC20">
        <v>6</v>
      </c>
      <c r="BD20">
        <v>5.5</v>
      </c>
      <c r="BE20">
        <v>4</v>
      </c>
      <c r="BF20">
        <v>4.5</v>
      </c>
      <c r="BG20">
        <v>5.5</v>
      </c>
      <c r="BH20">
        <v>5</v>
      </c>
      <c r="BI20">
        <v>5</v>
      </c>
      <c r="BJ20">
        <v>5.5</v>
      </c>
      <c r="BM20">
        <v>4</v>
      </c>
      <c r="BN20">
        <v>5.5</v>
      </c>
      <c r="BO20">
        <v>4.5</v>
      </c>
      <c r="BP20">
        <v>5</v>
      </c>
      <c r="BQ20">
        <v>5</v>
      </c>
      <c r="BR20">
        <v>5</v>
      </c>
      <c r="BT20">
        <v>5.5</v>
      </c>
      <c r="BZ20">
        <v>5</v>
      </c>
      <c r="CA20">
        <v>5</v>
      </c>
      <c r="CC20">
        <f t="shared" si="0"/>
        <v>63</v>
      </c>
      <c r="CD20" s="18">
        <f t="shared" si="1"/>
        <v>5.6507936507936511</v>
      </c>
      <c r="CE20">
        <f t="shared" si="2"/>
        <v>0.90533775837155372</v>
      </c>
      <c r="CF20">
        <v>0</v>
      </c>
      <c r="CG20">
        <f t="shared" si="3"/>
        <v>0</v>
      </c>
    </row>
    <row r="21" spans="1:86" x14ac:dyDescent="0.35">
      <c r="A21" t="s">
        <v>55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>
        <v>6</v>
      </c>
      <c r="P21" t="s">
        <v>26</v>
      </c>
      <c r="Q21">
        <v>4.5</v>
      </c>
      <c r="R21" t="s">
        <v>26</v>
      </c>
      <c r="S21" t="s">
        <v>26</v>
      </c>
      <c r="T21">
        <v>7</v>
      </c>
      <c r="U21">
        <v>7</v>
      </c>
      <c r="V21">
        <v>6</v>
      </c>
      <c r="W21">
        <v>6</v>
      </c>
      <c r="X21">
        <v>6</v>
      </c>
      <c r="Y21">
        <v>7.5</v>
      </c>
      <c r="Z21">
        <v>6</v>
      </c>
      <c r="AA21">
        <v>6</v>
      </c>
      <c r="AB21" t="s">
        <v>26</v>
      </c>
      <c r="AC21">
        <v>6</v>
      </c>
      <c r="AD21">
        <v>7</v>
      </c>
      <c r="AF21">
        <v>7</v>
      </c>
      <c r="AG21">
        <v>7</v>
      </c>
      <c r="AQ21">
        <v>7</v>
      </c>
      <c r="AR21">
        <v>6.5</v>
      </c>
      <c r="AS21">
        <v>5</v>
      </c>
      <c r="AT21">
        <v>5</v>
      </c>
      <c r="AU21">
        <v>5</v>
      </c>
      <c r="AV21">
        <v>5</v>
      </c>
      <c r="AW21">
        <v>5</v>
      </c>
      <c r="AZ21">
        <v>5.5</v>
      </c>
      <c r="BC21">
        <v>4.5</v>
      </c>
      <c r="BE21">
        <v>5.5</v>
      </c>
      <c r="BF21">
        <v>5.5</v>
      </c>
      <c r="BH21">
        <v>5.5</v>
      </c>
      <c r="BJ21">
        <v>5</v>
      </c>
      <c r="BM21">
        <v>5</v>
      </c>
      <c r="BN21">
        <v>4.5</v>
      </c>
      <c r="BO21">
        <v>5.5</v>
      </c>
      <c r="BQ21">
        <v>5</v>
      </c>
      <c r="BR21">
        <v>6</v>
      </c>
      <c r="BS21">
        <v>5.5</v>
      </c>
      <c r="BT21">
        <v>5.5</v>
      </c>
      <c r="BU21">
        <v>5</v>
      </c>
      <c r="BX21">
        <v>5</v>
      </c>
      <c r="BZ21">
        <v>5</v>
      </c>
      <c r="CA21">
        <v>5.5</v>
      </c>
      <c r="CC21">
        <f t="shared" si="0"/>
        <v>38</v>
      </c>
      <c r="CD21" s="18">
        <f t="shared" si="1"/>
        <v>5.6973684210526319</v>
      </c>
      <c r="CE21">
        <f t="shared" si="2"/>
        <v>0.81820067653597328</v>
      </c>
      <c r="CF21">
        <v>0</v>
      </c>
      <c r="CG21">
        <f t="shared" si="3"/>
        <v>1</v>
      </c>
      <c r="CH21">
        <f>CG21*27</f>
        <v>27</v>
      </c>
    </row>
    <row r="22" spans="1:86" x14ac:dyDescent="0.35">
      <c r="A22" t="s">
        <v>14</v>
      </c>
      <c r="B22">
        <v>7</v>
      </c>
      <c r="C22" t="s">
        <v>26</v>
      </c>
      <c r="D22">
        <v>7.5</v>
      </c>
      <c r="E22" t="s">
        <v>26</v>
      </c>
      <c r="F22">
        <v>6</v>
      </c>
      <c r="G22">
        <v>7</v>
      </c>
      <c r="H22">
        <v>4.5</v>
      </c>
      <c r="I22">
        <v>5.5</v>
      </c>
      <c r="J22" t="s">
        <v>26</v>
      </c>
      <c r="K22">
        <v>6</v>
      </c>
      <c r="L22">
        <v>6</v>
      </c>
      <c r="M22">
        <v>6</v>
      </c>
      <c r="N22" t="s">
        <v>26</v>
      </c>
      <c r="O22">
        <v>6</v>
      </c>
      <c r="P22">
        <v>5.5</v>
      </c>
      <c r="Q22">
        <v>5.5</v>
      </c>
      <c r="R22">
        <v>6</v>
      </c>
      <c r="S22">
        <v>4.5</v>
      </c>
      <c r="T22">
        <v>7</v>
      </c>
      <c r="U22" t="s">
        <v>26</v>
      </c>
      <c r="V22">
        <v>6</v>
      </c>
      <c r="W22" t="s">
        <v>26</v>
      </c>
      <c r="X22">
        <v>7</v>
      </c>
      <c r="Y22">
        <v>6</v>
      </c>
      <c r="Z22" t="s">
        <v>26</v>
      </c>
      <c r="AA22">
        <v>6</v>
      </c>
      <c r="AB22">
        <v>5.5</v>
      </c>
      <c r="AC22">
        <v>6</v>
      </c>
      <c r="AD22">
        <v>5.5</v>
      </c>
      <c r="AI22">
        <v>5</v>
      </c>
      <c r="AL22">
        <v>5.5</v>
      </c>
      <c r="AM22">
        <v>5</v>
      </c>
      <c r="AN22">
        <v>5</v>
      </c>
      <c r="AO22">
        <v>5</v>
      </c>
      <c r="AP22">
        <v>5</v>
      </c>
      <c r="AQ22">
        <v>5</v>
      </c>
      <c r="AR22">
        <v>4.5</v>
      </c>
      <c r="AS22">
        <v>5.5</v>
      </c>
      <c r="AT22">
        <v>5.5</v>
      </c>
      <c r="AV22">
        <v>5</v>
      </c>
      <c r="AY22">
        <v>4.5</v>
      </c>
      <c r="AZ22">
        <v>5</v>
      </c>
      <c r="BB22">
        <v>5</v>
      </c>
      <c r="BC22">
        <v>6</v>
      </c>
      <c r="BD22">
        <v>6</v>
      </c>
      <c r="BE22">
        <v>6</v>
      </c>
      <c r="BF22">
        <v>5</v>
      </c>
      <c r="BG22">
        <v>5.5</v>
      </c>
      <c r="BH22">
        <v>5</v>
      </c>
      <c r="BI22">
        <v>5</v>
      </c>
      <c r="BK22">
        <v>5.5</v>
      </c>
      <c r="BL22">
        <v>5</v>
      </c>
      <c r="BM22">
        <v>5</v>
      </c>
      <c r="BN22">
        <v>5.5</v>
      </c>
      <c r="BO22">
        <v>4.5</v>
      </c>
      <c r="BP22">
        <v>4.5</v>
      </c>
      <c r="BQ22">
        <v>5</v>
      </c>
      <c r="BR22">
        <v>4.5</v>
      </c>
      <c r="CC22">
        <f t="shared" si="0"/>
        <v>51</v>
      </c>
      <c r="CD22" s="18">
        <f t="shared" si="1"/>
        <v>5.5</v>
      </c>
      <c r="CE22">
        <f t="shared" si="2"/>
        <v>0.73484692283495345</v>
      </c>
      <c r="CF22">
        <v>0</v>
      </c>
      <c r="CG22">
        <f t="shared" si="3"/>
        <v>0</v>
      </c>
    </row>
    <row r="23" spans="1:86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BZ23">
        <v>4</v>
      </c>
      <c r="CC23">
        <f t="shared" si="0"/>
        <v>23</v>
      </c>
      <c r="CD23" s="18">
        <f t="shared" si="1"/>
        <v>5.0869565217391308</v>
      </c>
      <c r="CE23">
        <f t="shared" si="2"/>
        <v>0.7635469550519931</v>
      </c>
      <c r="CF23">
        <v>0</v>
      </c>
      <c r="CG23">
        <f t="shared" si="3"/>
        <v>0</v>
      </c>
    </row>
    <row r="24" spans="1:86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CC24">
        <f t="shared" si="0"/>
        <v>19</v>
      </c>
      <c r="CD24" s="18">
        <f t="shared" si="1"/>
        <v>5.8421052631578947</v>
      </c>
      <c r="CE24">
        <f t="shared" si="2"/>
        <v>0.95819030206465661</v>
      </c>
      <c r="CF24">
        <v>0</v>
      </c>
      <c r="CG24">
        <f t="shared" si="3"/>
        <v>0</v>
      </c>
    </row>
    <row r="25" spans="1:86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CC25">
        <f t="shared" si="0"/>
        <v>17</v>
      </c>
      <c r="CD25" s="18">
        <f t="shared" si="1"/>
        <v>5.4411764705882355</v>
      </c>
      <c r="CE25">
        <f t="shared" si="2"/>
        <v>1.0880365478290537</v>
      </c>
      <c r="CF25">
        <v>0</v>
      </c>
      <c r="CG25">
        <f t="shared" si="3"/>
        <v>0</v>
      </c>
    </row>
    <row r="26" spans="1:86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BZ26">
        <v>5</v>
      </c>
      <c r="CC26">
        <f t="shared" si="0"/>
        <v>19</v>
      </c>
      <c r="CD26" s="18">
        <f t="shared" si="1"/>
        <v>5.7368421052631575</v>
      </c>
      <c r="CE26">
        <f t="shared" si="2"/>
        <v>0.97707643640254782</v>
      </c>
      <c r="CF26">
        <v>0</v>
      </c>
      <c r="CG26">
        <f t="shared" si="3"/>
        <v>1</v>
      </c>
      <c r="CH26">
        <f>CG26*27</f>
        <v>27</v>
      </c>
    </row>
    <row r="27" spans="1:86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CC27">
        <f t="shared" si="0"/>
        <v>16</v>
      </c>
      <c r="CD27" s="18">
        <f t="shared" si="1"/>
        <v>4.5</v>
      </c>
      <c r="CE27">
        <f t="shared" si="2"/>
        <v>1.0165300454651272</v>
      </c>
      <c r="CF27">
        <v>0</v>
      </c>
      <c r="CG27">
        <f t="shared" si="3"/>
        <v>0</v>
      </c>
    </row>
    <row r="28" spans="1:86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v>5.5</v>
      </c>
      <c r="CC28">
        <f t="shared" si="0"/>
        <v>18</v>
      </c>
      <c r="CD28" s="18">
        <f t="shared" si="1"/>
        <v>5.2222222222222223</v>
      </c>
      <c r="CE28">
        <f t="shared" si="2"/>
        <v>0.49176220407782173</v>
      </c>
      <c r="CF28">
        <v>0</v>
      </c>
      <c r="CG28">
        <f t="shared" si="3"/>
        <v>3</v>
      </c>
      <c r="CH28">
        <f t="shared" ref="CH28:CH29" si="4">CG28*27</f>
        <v>81</v>
      </c>
    </row>
    <row r="29" spans="1:86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C29">
        <f t="shared" si="0"/>
        <v>16</v>
      </c>
      <c r="CD29" s="18">
        <f t="shared" si="1"/>
        <v>6.125</v>
      </c>
      <c r="CE29">
        <f t="shared" si="2"/>
        <v>0.84656167328001963</v>
      </c>
      <c r="CF29">
        <v>0</v>
      </c>
      <c r="CG29">
        <f t="shared" si="3"/>
        <v>1</v>
      </c>
      <c r="CH29">
        <f t="shared" si="4"/>
        <v>27</v>
      </c>
    </row>
    <row r="30" spans="1:86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v>5</v>
      </c>
      <c r="CC30">
        <f t="shared" si="0"/>
        <v>14</v>
      </c>
      <c r="CD30" s="18">
        <f t="shared" si="1"/>
        <v>4.5</v>
      </c>
      <c r="CE30">
        <f t="shared" si="2"/>
        <v>1.8081014266989475</v>
      </c>
      <c r="CF30">
        <v>0</v>
      </c>
      <c r="CG30">
        <f t="shared" si="3"/>
        <v>0</v>
      </c>
    </row>
    <row r="31" spans="1:86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CC31">
        <f t="shared" si="0"/>
        <v>13</v>
      </c>
      <c r="CD31" s="18">
        <f t="shared" si="1"/>
        <v>6.9230769230769234</v>
      </c>
      <c r="CE31">
        <f t="shared" si="2"/>
        <v>1.1336914969498575</v>
      </c>
      <c r="CF31">
        <v>0</v>
      </c>
      <c r="CG31">
        <f t="shared" si="3"/>
        <v>0</v>
      </c>
    </row>
    <row r="32" spans="1:86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CC32">
        <f t="shared" si="0"/>
        <v>11</v>
      </c>
      <c r="CD32" s="18">
        <f t="shared" si="1"/>
        <v>4.9545454545454541</v>
      </c>
      <c r="CE32">
        <f t="shared" si="2"/>
        <v>0.61051394146839499</v>
      </c>
      <c r="CF32">
        <v>0</v>
      </c>
      <c r="CG32">
        <f t="shared" si="3"/>
        <v>0</v>
      </c>
    </row>
    <row r="33" spans="1:86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v>5</v>
      </c>
      <c r="CC33">
        <f t="shared" si="0"/>
        <v>12</v>
      </c>
      <c r="CD33" s="18">
        <f t="shared" si="1"/>
        <v>4.666666666666667</v>
      </c>
      <c r="CE33">
        <f t="shared" si="2"/>
        <v>0.53654336998866137</v>
      </c>
      <c r="CF33">
        <v>0</v>
      </c>
      <c r="CG33">
        <f t="shared" si="3"/>
        <v>2</v>
      </c>
      <c r="CH33">
        <f>CG33*27</f>
        <v>54</v>
      </c>
    </row>
    <row r="34" spans="1:86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C34">
        <f t="shared" ref="CC34:CC65" si="5">COUNT(B34:CB34)</f>
        <v>9</v>
      </c>
      <c r="CD34" s="18">
        <f t="shared" ref="CD34:CD65" si="6">AVERAGE(B34:CB34)</f>
        <v>8</v>
      </c>
      <c r="CE34">
        <f t="shared" ref="CE34:CE65" si="7">IF(CC34&gt;1,_xlfn.STDEV.S(B34:CB34),"")</f>
        <v>0.61237243569579447</v>
      </c>
      <c r="CF34">
        <v>0</v>
      </c>
      <c r="CG34">
        <f t="shared" si="3"/>
        <v>0</v>
      </c>
    </row>
    <row r="35" spans="1:86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C35">
        <f t="shared" si="5"/>
        <v>8</v>
      </c>
      <c r="CD35" s="18">
        <f t="shared" si="6"/>
        <v>4.1875</v>
      </c>
      <c r="CE35">
        <f t="shared" si="7"/>
        <v>1.0669549461635468</v>
      </c>
      <c r="CF35">
        <v>0</v>
      </c>
      <c r="CG35">
        <f t="shared" si="3"/>
        <v>0</v>
      </c>
    </row>
    <row r="36" spans="1:86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C36">
        <f t="shared" si="5"/>
        <v>7</v>
      </c>
      <c r="CD36" s="18">
        <f t="shared" si="6"/>
        <v>5.0714285714285712</v>
      </c>
      <c r="CE36">
        <f t="shared" si="7"/>
        <v>0.34503277967117707</v>
      </c>
      <c r="CF36">
        <v>0</v>
      </c>
      <c r="CG36">
        <f t="shared" si="3"/>
        <v>0</v>
      </c>
    </row>
    <row r="37" spans="1:86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CC37">
        <f t="shared" si="5"/>
        <v>4</v>
      </c>
      <c r="CD37" s="18">
        <f t="shared" si="6"/>
        <v>7.625</v>
      </c>
      <c r="CE37">
        <f t="shared" si="7"/>
        <v>0.62915286960589578</v>
      </c>
      <c r="CF37">
        <v>0</v>
      </c>
      <c r="CG37">
        <f t="shared" si="3"/>
        <v>0</v>
      </c>
    </row>
    <row r="38" spans="1:86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CC38">
        <f t="shared" si="5"/>
        <v>4</v>
      </c>
      <c r="CD38" s="18">
        <f t="shared" si="6"/>
        <v>6</v>
      </c>
      <c r="CE38">
        <f t="shared" si="7"/>
        <v>0.70710678118654757</v>
      </c>
      <c r="CF38">
        <v>0</v>
      </c>
      <c r="CG38">
        <f t="shared" si="3"/>
        <v>0</v>
      </c>
    </row>
    <row r="39" spans="1:86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CC39">
        <f t="shared" si="5"/>
        <v>4</v>
      </c>
      <c r="CD39" s="18">
        <f t="shared" si="6"/>
        <v>6.5</v>
      </c>
      <c r="CE39">
        <f t="shared" si="7"/>
        <v>0.9128709291752769</v>
      </c>
      <c r="CF39">
        <v>0</v>
      </c>
      <c r="CG39">
        <f t="shared" si="3"/>
        <v>0</v>
      </c>
    </row>
    <row r="40" spans="1:86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CC40">
        <f t="shared" si="5"/>
        <v>4</v>
      </c>
      <c r="CD40" s="18">
        <f t="shared" si="6"/>
        <v>2.375</v>
      </c>
      <c r="CE40">
        <f t="shared" si="7"/>
        <v>1.3768926368215255</v>
      </c>
      <c r="CF40">
        <v>0</v>
      </c>
      <c r="CG40">
        <f t="shared" si="3"/>
        <v>0</v>
      </c>
    </row>
    <row r="41" spans="1:86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CC41">
        <f t="shared" si="5"/>
        <v>4</v>
      </c>
      <c r="CD41" s="18">
        <f t="shared" si="6"/>
        <v>4.25</v>
      </c>
      <c r="CE41">
        <f t="shared" si="7"/>
        <v>0.9574271077563381</v>
      </c>
      <c r="CF41">
        <v>0</v>
      </c>
      <c r="CG41">
        <f t="shared" si="3"/>
        <v>0</v>
      </c>
    </row>
    <row r="42" spans="1:86" x14ac:dyDescent="0.35">
      <c r="A42" t="s">
        <v>361</v>
      </c>
      <c r="AW42">
        <v>5</v>
      </c>
      <c r="BF42">
        <v>5</v>
      </c>
      <c r="BN42">
        <v>6</v>
      </c>
      <c r="BY42">
        <v>6</v>
      </c>
      <c r="CC42">
        <f t="shared" si="5"/>
        <v>4</v>
      </c>
      <c r="CD42" s="18">
        <f t="shared" si="6"/>
        <v>5.5</v>
      </c>
      <c r="CE42">
        <f t="shared" si="7"/>
        <v>0.57735026918962573</v>
      </c>
      <c r="CF42">
        <v>0</v>
      </c>
      <c r="CG42">
        <f t="shared" si="3"/>
        <v>1</v>
      </c>
      <c r="CH42">
        <f>CG42*27</f>
        <v>27</v>
      </c>
    </row>
    <row r="43" spans="1:86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CC43">
        <f t="shared" si="5"/>
        <v>4</v>
      </c>
      <c r="CD43" s="18">
        <f t="shared" si="6"/>
        <v>3.375</v>
      </c>
      <c r="CE43">
        <f t="shared" si="7"/>
        <v>1.6520189667999174</v>
      </c>
      <c r="CF43">
        <v>0</v>
      </c>
      <c r="CG43">
        <f t="shared" si="3"/>
        <v>0</v>
      </c>
    </row>
    <row r="44" spans="1:86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CC44">
        <f t="shared" si="5"/>
        <v>3</v>
      </c>
      <c r="CD44" s="18">
        <f t="shared" si="6"/>
        <v>5.333333333333333</v>
      </c>
      <c r="CE44">
        <f t="shared" si="7"/>
        <v>1.1547005383792526</v>
      </c>
      <c r="CF44">
        <v>0</v>
      </c>
      <c r="CG44">
        <f t="shared" si="3"/>
        <v>0</v>
      </c>
    </row>
    <row r="45" spans="1:86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v>4</v>
      </c>
      <c r="CC45">
        <f t="shared" si="5"/>
        <v>4</v>
      </c>
      <c r="CD45" s="18">
        <f t="shared" si="6"/>
        <v>4.125</v>
      </c>
      <c r="CE45">
        <f t="shared" si="7"/>
        <v>0.25</v>
      </c>
      <c r="CF45">
        <v>0</v>
      </c>
      <c r="CG45">
        <f t="shared" si="3"/>
        <v>1</v>
      </c>
      <c r="CH45">
        <f>CG45*27</f>
        <v>27</v>
      </c>
    </row>
    <row r="46" spans="1:86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CC46">
        <f t="shared" si="5"/>
        <v>3</v>
      </c>
      <c r="CD46" s="18">
        <f t="shared" si="6"/>
        <v>7.666666666666667</v>
      </c>
      <c r="CE46">
        <f t="shared" si="7"/>
        <v>1.1547005383792495</v>
      </c>
      <c r="CF46">
        <v>0</v>
      </c>
      <c r="CG46">
        <f t="shared" si="3"/>
        <v>0</v>
      </c>
    </row>
    <row r="47" spans="1:86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CC47">
        <f t="shared" si="5"/>
        <v>3</v>
      </c>
      <c r="CD47" s="18">
        <f t="shared" si="6"/>
        <v>4.5</v>
      </c>
      <c r="CE47">
        <f t="shared" si="7"/>
        <v>1.7320508075688772</v>
      </c>
      <c r="CF47">
        <v>0</v>
      </c>
      <c r="CG47">
        <f t="shared" si="3"/>
        <v>0</v>
      </c>
    </row>
    <row r="48" spans="1:86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BZ48">
        <v>5.5</v>
      </c>
      <c r="CC48">
        <f t="shared" si="5"/>
        <v>4</v>
      </c>
      <c r="CD48" s="18">
        <f t="shared" si="6"/>
        <v>6.25</v>
      </c>
      <c r="CE48">
        <f t="shared" si="7"/>
        <v>1.1902380714238083</v>
      </c>
      <c r="CF48">
        <v>0</v>
      </c>
      <c r="CG48">
        <f t="shared" si="3"/>
        <v>0</v>
      </c>
    </row>
    <row r="49" spans="1:86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CC49">
        <f t="shared" si="5"/>
        <v>7</v>
      </c>
      <c r="CD49" s="18">
        <f t="shared" si="6"/>
        <v>5.1428571428571432</v>
      </c>
      <c r="CE49">
        <f t="shared" si="7"/>
        <v>0.2439750182371333</v>
      </c>
      <c r="CF49">
        <v>0</v>
      </c>
      <c r="CG49">
        <f t="shared" si="3"/>
        <v>2</v>
      </c>
      <c r="CH49">
        <f>CG49*27</f>
        <v>54</v>
      </c>
    </row>
    <row r="50" spans="1:86" x14ac:dyDescent="0.35">
      <c r="A50" t="s">
        <v>364</v>
      </c>
      <c r="BA50">
        <v>5.5</v>
      </c>
      <c r="BJ50">
        <v>5.5</v>
      </c>
      <c r="CC50">
        <f t="shared" si="5"/>
        <v>2</v>
      </c>
      <c r="CD50" s="18">
        <f t="shared" si="6"/>
        <v>5.5</v>
      </c>
      <c r="CE50">
        <f t="shared" si="7"/>
        <v>0</v>
      </c>
      <c r="CF50">
        <v>0</v>
      </c>
      <c r="CG50">
        <f t="shared" si="3"/>
        <v>0</v>
      </c>
    </row>
    <row r="51" spans="1:86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CC51">
        <f t="shared" si="5"/>
        <v>2</v>
      </c>
      <c r="CD51" s="18">
        <f t="shared" si="6"/>
        <v>5.25</v>
      </c>
      <c r="CE51">
        <f t="shared" si="7"/>
        <v>0.35355339059327379</v>
      </c>
      <c r="CF51">
        <v>0</v>
      </c>
      <c r="CG51">
        <f t="shared" si="3"/>
        <v>0</v>
      </c>
    </row>
    <row r="52" spans="1:86" x14ac:dyDescent="0.35">
      <c r="A52" t="s">
        <v>339</v>
      </c>
      <c r="AJ52">
        <v>7</v>
      </c>
      <c r="AW52">
        <v>4.5</v>
      </c>
      <c r="CC52">
        <f t="shared" si="5"/>
        <v>2</v>
      </c>
      <c r="CD52" s="18">
        <f t="shared" si="6"/>
        <v>5.75</v>
      </c>
      <c r="CE52">
        <f t="shared" si="7"/>
        <v>1.7677669529663689</v>
      </c>
      <c r="CF52">
        <v>0</v>
      </c>
      <c r="CG52">
        <f t="shared" si="3"/>
        <v>0</v>
      </c>
    </row>
    <row r="53" spans="1:86" x14ac:dyDescent="0.35">
      <c r="A53" t="s">
        <v>342</v>
      </c>
      <c r="AM53">
        <v>6</v>
      </c>
      <c r="BA53">
        <v>4</v>
      </c>
      <c r="CC53">
        <f t="shared" si="5"/>
        <v>2</v>
      </c>
      <c r="CD53" s="18">
        <f t="shared" si="6"/>
        <v>5</v>
      </c>
      <c r="CE53">
        <f t="shared" si="7"/>
        <v>1.4142135623730951</v>
      </c>
      <c r="CF53">
        <v>0</v>
      </c>
      <c r="CG53">
        <f t="shared" si="3"/>
        <v>0</v>
      </c>
    </row>
    <row r="54" spans="1:86" x14ac:dyDescent="0.35">
      <c r="A54" t="s">
        <v>369</v>
      </c>
      <c r="BG54">
        <v>5.5</v>
      </c>
      <c r="BH54">
        <v>4.5</v>
      </c>
      <c r="CC54">
        <f t="shared" si="5"/>
        <v>2</v>
      </c>
      <c r="CD54" s="18">
        <f t="shared" si="6"/>
        <v>5</v>
      </c>
      <c r="CE54">
        <f t="shared" si="7"/>
        <v>0.70710678118654757</v>
      </c>
      <c r="CF54">
        <v>0</v>
      </c>
      <c r="CG54">
        <f t="shared" si="3"/>
        <v>0</v>
      </c>
    </row>
    <row r="55" spans="1:86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CC55">
        <f t="shared" si="5"/>
        <v>1</v>
      </c>
      <c r="CD55" s="18">
        <f t="shared" si="6"/>
        <v>9</v>
      </c>
      <c r="CE55" t="str">
        <f t="shared" si="7"/>
        <v/>
      </c>
      <c r="CF55">
        <v>0</v>
      </c>
      <c r="CG55">
        <f t="shared" si="3"/>
        <v>0</v>
      </c>
    </row>
    <row r="56" spans="1:86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CC56">
        <f t="shared" si="5"/>
        <v>1</v>
      </c>
      <c r="CD56" s="18">
        <f t="shared" si="6"/>
        <v>7</v>
      </c>
      <c r="CE56" t="str">
        <f t="shared" si="7"/>
        <v/>
      </c>
      <c r="CF56">
        <v>0</v>
      </c>
      <c r="CG56">
        <f t="shared" si="3"/>
        <v>0</v>
      </c>
    </row>
    <row r="57" spans="1:86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CC57">
        <f t="shared" si="5"/>
        <v>1</v>
      </c>
      <c r="CD57" s="18">
        <f t="shared" si="6"/>
        <v>7</v>
      </c>
      <c r="CE57" t="str">
        <f t="shared" si="7"/>
        <v/>
      </c>
      <c r="CF57">
        <v>0</v>
      </c>
      <c r="CG57">
        <f t="shared" si="3"/>
        <v>0</v>
      </c>
    </row>
    <row r="58" spans="1:86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CC58">
        <f t="shared" si="5"/>
        <v>1</v>
      </c>
      <c r="CD58" s="18">
        <f t="shared" si="6"/>
        <v>7</v>
      </c>
      <c r="CE58" t="str">
        <f t="shared" si="7"/>
        <v/>
      </c>
      <c r="CF58">
        <v>0</v>
      </c>
      <c r="CG58">
        <f t="shared" si="3"/>
        <v>0</v>
      </c>
    </row>
    <row r="59" spans="1:86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CC59">
        <f t="shared" si="5"/>
        <v>2</v>
      </c>
      <c r="CD59" s="18">
        <f t="shared" si="6"/>
        <v>5.5</v>
      </c>
      <c r="CE59">
        <f t="shared" si="7"/>
        <v>0.70710678118654757</v>
      </c>
      <c r="CF59">
        <v>0</v>
      </c>
      <c r="CG59">
        <f t="shared" si="3"/>
        <v>0</v>
      </c>
    </row>
    <row r="60" spans="1:86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CC60">
        <f t="shared" si="5"/>
        <v>1</v>
      </c>
      <c r="CD60" s="18">
        <f t="shared" si="6"/>
        <v>4.5</v>
      </c>
      <c r="CE60" t="str">
        <f t="shared" si="7"/>
        <v/>
      </c>
      <c r="CF60">
        <v>0</v>
      </c>
      <c r="CG60">
        <f t="shared" si="3"/>
        <v>0</v>
      </c>
    </row>
    <row r="61" spans="1:86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CC61">
        <f t="shared" si="5"/>
        <v>1</v>
      </c>
      <c r="CD61" s="18">
        <f t="shared" si="6"/>
        <v>4.5</v>
      </c>
      <c r="CE61" t="str">
        <f t="shared" si="7"/>
        <v/>
      </c>
      <c r="CF61">
        <v>0</v>
      </c>
      <c r="CG61">
        <f t="shared" si="3"/>
        <v>0</v>
      </c>
    </row>
    <row r="62" spans="1:86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CC62">
        <f t="shared" si="5"/>
        <v>1</v>
      </c>
      <c r="CD62" s="18">
        <f t="shared" si="6"/>
        <v>4</v>
      </c>
      <c r="CE62" t="str">
        <f t="shared" si="7"/>
        <v/>
      </c>
      <c r="CF62">
        <v>0</v>
      </c>
      <c r="CG62">
        <f t="shared" si="3"/>
        <v>0</v>
      </c>
    </row>
    <row r="63" spans="1:86" x14ac:dyDescent="0.35">
      <c r="A63" t="s">
        <v>345</v>
      </c>
      <c r="AN63">
        <v>3</v>
      </c>
      <c r="CC63">
        <f t="shared" si="5"/>
        <v>1</v>
      </c>
      <c r="CD63" s="18">
        <f t="shared" si="6"/>
        <v>3</v>
      </c>
      <c r="CE63" t="str">
        <f t="shared" si="7"/>
        <v/>
      </c>
      <c r="CF63">
        <v>0</v>
      </c>
      <c r="CG63">
        <f t="shared" si="3"/>
        <v>0</v>
      </c>
    </row>
    <row r="64" spans="1:86" x14ac:dyDescent="0.35">
      <c r="A64" t="s">
        <v>347</v>
      </c>
      <c r="AP64">
        <v>5.5</v>
      </c>
      <c r="CC64">
        <f t="shared" si="5"/>
        <v>1</v>
      </c>
      <c r="CD64" s="18">
        <f t="shared" si="6"/>
        <v>5.5</v>
      </c>
      <c r="CE64" t="str">
        <f t="shared" si="7"/>
        <v/>
      </c>
      <c r="CF64">
        <v>0</v>
      </c>
      <c r="CG64">
        <f t="shared" si="3"/>
        <v>0</v>
      </c>
    </row>
    <row r="65" spans="1:86" x14ac:dyDescent="0.35">
      <c r="A65" t="s">
        <v>350</v>
      </c>
      <c r="AR65">
        <v>4</v>
      </c>
      <c r="CC65">
        <f t="shared" si="5"/>
        <v>1</v>
      </c>
      <c r="CD65" s="18">
        <f t="shared" si="6"/>
        <v>4</v>
      </c>
      <c r="CE65" t="str">
        <f t="shared" si="7"/>
        <v/>
      </c>
      <c r="CF65">
        <v>0</v>
      </c>
      <c r="CG65">
        <f t="shared" si="3"/>
        <v>0</v>
      </c>
    </row>
    <row r="66" spans="1:86" x14ac:dyDescent="0.35">
      <c r="A66" t="s">
        <v>351</v>
      </c>
      <c r="AS66">
        <v>5.5</v>
      </c>
      <c r="CC66">
        <f t="shared" ref="CC66:CC77" si="8">COUNT(B66:CB66)</f>
        <v>1</v>
      </c>
      <c r="CD66" s="18">
        <f t="shared" ref="CD66:CD77" si="9">AVERAGE(B66:CB66)</f>
        <v>5.5</v>
      </c>
      <c r="CE66" t="str">
        <f t="shared" ref="CE66:CE77" si="10">IF(CC66&gt;1,_xlfn.STDEV.S(B66:CB66),"")</f>
        <v/>
      </c>
      <c r="CF66">
        <v>0</v>
      </c>
      <c r="CG66">
        <f t="shared" ref="CG66:CG77" si="11">COUNT(BV66:BY66)</f>
        <v>0</v>
      </c>
    </row>
    <row r="67" spans="1:86" x14ac:dyDescent="0.35">
      <c r="A67" t="s">
        <v>352</v>
      </c>
      <c r="AS67">
        <v>4.5</v>
      </c>
      <c r="CC67">
        <f t="shared" si="8"/>
        <v>1</v>
      </c>
      <c r="CD67" s="18">
        <f t="shared" si="9"/>
        <v>4.5</v>
      </c>
      <c r="CE67" t="str">
        <f t="shared" si="10"/>
        <v/>
      </c>
      <c r="CF67">
        <v>0</v>
      </c>
      <c r="CG67">
        <f t="shared" si="11"/>
        <v>0</v>
      </c>
    </row>
    <row r="68" spans="1:86" x14ac:dyDescent="0.35">
      <c r="A68" t="s">
        <v>354</v>
      </c>
      <c r="AU68">
        <v>5</v>
      </c>
      <c r="CC68">
        <f t="shared" si="8"/>
        <v>1</v>
      </c>
      <c r="CD68" s="18">
        <f t="shared" si="9"/>
        <v>5</v>
      </c>
      <c r="CE68" t="str">
        <f t="shared" si="10"/>
        <v/>
      </c>
      <c r="CF68">
        <v>0</v>
      </c>
      <c r="CG68">
        <f t="shared" si="11"/>
        <v>0</v>
      </c>
    </row>
    <row r="69" spans="1:86" x14ac:dyDescent="0.35">
      <c r="A69" t="s">
        <v>362</v>
      </c>
      <c r="AW69">
        <v>4.5</v>
      </c>
      <c r="CC69">
        <f t="shared" si="8"/>
        <v>1</v>
      </c>
      <c r="CD69" s="18">
        <f t="shared" si="9"/>
        <v>4.5</v>
      </c>
      <c r="CE69" t="str">
        <f t="shared" si="10"/>
        <v/>
      </c>
      <c r="CF69">
        <v>0</v>
      </c>
      <c r="CG69">
        <f t="shared" si="11"/>
        <v>0</v>
      </c>
    </row>
    <row r="70" spans="1:86" x14ac:dyDescent="0.35">
      <c r="A70" t="s">
        <v>365</v>
      </c>
      <c r="AZ70">
        <v>2.5</v>
      </c>
      <c r="CC70">
        <f t="shared" si="8"/>
        <v>1</v>
      </c>
      <c r="CD70" s="18">
        <f t="shared" si="9"/>
        <v>2.5</v>
      </c>
      <c r="CE70" t="str">
        <f t="shared" si="10"/>
        <v/>
      </c>
      <c r="CF70">
        <v>0</v>
      </c>
      <c r="CG70">
        <f t="shared" si="11"/>
        <v>0</v>
      </c>
    </row>
    <row r="71" spans="1:86" x14ac:dyDescent="0.35">
      <c r="A71" t="s">
        <v>366</v>
      </c>
      <c r="BB71">
        <v>3</v>
      </c>
      <c r="CC71">
        <f t="shared" si="8"/>
        <v>1</v>
      </c>
      <c r="CD71" s="18">
        <f t="shared" si="9"/>
        <v>3</v>
      </c>
      <c r="CE71" t="str">
        <f t="shared" si="10"/>
        <v/>
      </c>
      <c r="CF71">
        <v>0</v>
      </c>
      <c r="CG71">
        <f t="shared" si="11"/>
        <v>0</v>
      </c>
    </row>
    <row r="72" spans="1:86" x14ac:dyDescent="0.35">
      <c r="A72" t="s">
        <v>368</v>
      </c>
      <c r="BF72">
        <v>7.5</v>
      </c>
      <c r="BU72">
        <v>9.5</v>
      </c>
      <c r="CC72">
        <f t="shared" si="8"/>
        <v>2</v>
      </c>
      <c r="CD72" s="18">
        <f t="shared" si="9"/>
        <v>8.5</v>
      </c>
      <c r="CE72">
        <f t="shared" si="10"/>
        <v>1.4142135623730951</v>
      </c>
      <c r="CF72">
        <v>0</v>
      </c>
      <c r="CG72">
        <f t="shared" si="11"/>
        <v>0</v>
      </c>
    </row>
    <row r="73" spans="1:86" x14ac:dyDescent="0.35">
      <c r="A73" t="s">
        <v>374</v>
      </c>
      <c r="BP73">
        <v>6</v>
      </c>
      <c r="CC73">
        <f t="shared" si="8"/>
        <v>1</v>
      </c>
      <c r="CD73" s="18">
        <f t="shared" si="9"/>
        <v>6</v>
      </c>
      <c r="CE73" t="str">
        <f t="shared" si="10"/>
        <v/>
      </c>
      <c r="CF73">
        <v>0</v>
      </c>
      <c r="CG73">
        <f t="shared" si="11"/>
        <v>0</v>
      </c>
    </row>
    <row r="74" spans="1:86" x14ac:dyDescent="0.35">
      <c r="A74" t="s">
        <v>375</v>
      </c>
      <c r="BP74">
        <v>5</v>
      </c>
      <c r="CC74">
        <f t="shared" si="8"/>
        <v>1</v>
      </c>
      <c r="CD74" s="18">
        <f t="shared" si="9"/>
        <v>5</v>
      </c>
      <c r="CE74" t="str">
        <f t="shared" si="10"/>
        <v/>
      </c>
      <c r="CF74">
        <v>0</v>
      </c>
      <c r="CG74">
        <f t="shared" si="11"/>
        <v>0</v>
      </c>
    </row>
    <row r="75" spans="1:86" x14ac:dyDescent="0.35">
      <c r="A75" t="s">
        <v>377</v>
      </c>
      <c r="BS75">
        <v>4.5</v>
      </c>
      <c r="CC75">
        <f t="shared" si="8"/>
        <v>1</v>
      </c>
      <c r="CD75" s="18">
        <f t="shared" si="9"/>
        <v>4.5</v>
      </c>
      <c r="CE75" t="str">
        <f t="shared" si="10"/>
        <v/>
      </c>
      <c r="CF75">
        <v>0</v>
      </c>
      <c r="CG75">
        <f t="shared" si="11"/>
        <v>0</v>
      </c>
    </row>
    <row r="76" spans="1:86" x14ac:dyDescent="0.35">
      <c r="A76" t="s">
        <v>378</v>
      </c>
      <c r="BW76">
        <v>5</v>
      </c>
      <c r="BY76">
        <v>4.5</v>
      </c>
      <c r="BZ76">
        <v>4.5</v>
      </c>
      <c r="CC76">
        <f t="shared" si="8"/>
        <v>3</v>
      </c>
      <c r="CD76" s="18">
        <f t="shared" si="9"/>
        <v>4.666666666666667</v>
      </c>
      <c r="CE76">
        <f t="shared" si="10"/>
        <v>0.28867513459481287</v>
      </c>
      <c r="CF76">
        <v>0</v>
      </c>
      <c r="CG76">
        <f t="shared" si="11"/>
        <v>2</v>
      </c>
      <c r="CH76">
        <f t="shared" ref="CH76:CH77" si="12">CG76*27</f>
        <v>54</v>
      </c>
    </row>
    <row r="77" spans="1:86" x14ac:dyDescent="0.35">
      <c r="A77" t="s">
        <v>379</v>
      </c>
      <c r="BY77">
        <v>5</v>
      </c>
      <c r="BZ77">
        <v>5</v>
      </c>
      <c r="CC77">
        <f t="shared" si="8"/>
        <v>2</v>
      </c>
      <c r="CD77" s="18">
        <f t="shared" si="9"/>
        <v>5</v>
      </c>
      <c r="CE77">
        <f t="shared" si="10"/>
        <v>0</v>
      </c>
      <c r="CF77">
        <v>0</v>
      </c>
      <c r="CG77">
        <f t="shared" si="11"/>
        <v>1</v>
      </c>
      <c r="CH77">
        <f t="shared" si="12"/>
        <v>27</v>
      </c>
    </row>
    <row r="78" spans="1:86" x14ac:dyDescent="0.35">
      <c r="A78" t="s">
        <v>382</v>
      </c>
      <c r="BZ78">
        <v>5</v>
      </c>
      <c r="CC78">
        <f t="shared" ref="CC78:CC79" si="13">COUNT(B78:CB78)</f>
        <v>1</v>
      </c>
      <c r="CD78" s="18">
        <f t="shared" ref="CD78:CD79" si="14">AVERAGE(B78:CB78)</f>
        <v>5</v>
      </c>
      <c r="CE78" t="str">
        <f t="shared" ref="CE78:CE79" si="15">IF(CC78&gt;1,_xlfn.STDEV.S(B78:CB78),"")</f>
        <v/>
      </c>
      <c r="CF78">
        <v>0</v>
      </c>
      <c r="CG78">
        <f t="shared" ref="CG78:CG79" si="16">COUNT(BV78:BY78)</f>
        <v>0</v>
      </c>
    </row>
    <row r="79" spans="1:86" x14ac:dyDescent="0.35">
      <c r="A79" t="s">
        <v>383</v>
      </c>
      <c r="BZ79">
        <v>5</v>
      </c>
      <c r="CC79">
        <f t="shared" si="13"/>
        <v>1</v>
      </c>
      <c r="CD79" s="18">
        <f t="shared" si="14"/>
        <v>5</v>
      </c>
      <c r="CE79" t="str">
        <f t="shared" si="15"/>
        <v/>
      </c>
      <c r="CF79">
        <v>0</v>
      </c>
      <c r="CG79">
        <f t="shared" si="16"/>
        <v>0</v>
      </c>
    </row>
  </sheetData>
  <autoFilter ref="CC1:CG77" xr:uid="{CA9A1AE1-90F8-4952-9E1C-7E9DE36093D7}"/>
  <conditionalFormatting sqref="CC2:CC7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79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C2:CC7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7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7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7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7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CB67 AA2:CB38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CB67 AA2:CB47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CB67 AA2:CB42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J39"/>
  <sheetViews>
    <sheetView workbookViewId="0">
      <selection activeCell="F31" sqref="F31"/>
    </sheetView>
  </sheetViews>
  <sheetFormatPr defaultRowHeight="14.5" x14ac:dyDescent="0.35"/>
  <cols>
    <col min="5" max="5" width="0" hidden="1" customWidth="1"/>
    <col min="9" max="9" width="8.90625" hidden="1" customWidth="1"/>
  </cols>
  <sheetData>
    <row r="1" spans="1:10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</row>
    <row r="2" spans="1:10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</row>
    <row r="3" spans="1:10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</row>
    <row r="4" spans="1:10" x14ac:dyDescent="0.35">
      <c r="D4">
        <f t="shared" ref="D4:D39" si="3">D3+0.1</f>
        <v>2.7</v>
      </c>
      <c r="E4">
        <f t="shared" si="0"/>
        <v>1.0503333333333331</v>
      </c>
      <c r="F4">
        <f t="shared" si="1"/>
        <v>1</v>
      </c>
      <c r="H4">
        <f t="shared" ref="H4:H39" si="4">H3+0.1</f>
        <v>6.499999999999992</v>
      </c>
      <c r="I4">
        <f t="shared" ref="I4:I39" si="5">$B$5*H4+$B$6</f>
        <v>6.7566666666666553</v>
      </c>
      <c r="J4">
        <f t="shared" si="2"/>
        <v>7</v>
      </c>
    </row>
    <row r="5" spans="1:10" x14ac:dyDescent="0.35">
      <c r="A5" t="s">
        <v>332</v>
      </c>
      <c r="B5">
        <f>(B2-B3)/(A2-A3)</f>
        <v>1.5016666666666667</v>
      </c>
      <c r="D5">
        <f t="shared" si="3"/>
        <v>2.8000000000000003</v>
      </c>
      <c r="E5">
        <f t="shared" si="0"/>
        <v>1.2005000000000003</v>
      </c>
      <c r="F5">
        <f t="shared" si="1"/>
        <v>1</v>
      </c>
      <c r="H5">
        <f t="shared" si="4"/>
        <v>6.5999999999999917</v>
      </c>
      <c r="I5">
        <f t="shared" si="5"/>
        <v>6.9068333333333207</v>
      </c>
      <c r="J5">
        <f t="shared" si="2"/>
        <v>7</v>
      </c>
    </row>
    <row r="6" spans="1:10" x14ac:dyDescent="0.35">
      <c r="A6" t="s">
        <v>333</v>
      </c>
      <c r="B6">
        <f>B3-A3*B5</f>
        <v>-3.0041666666666669</v>
      </c>
      <c r="D6">
        <f t="shared" si="3"/>
        <v>2.9000000000000004</v>
      </c>
      <c r="E6">
        <f t="shared" si="0"/>
        <v>1.3506666666666667</v>
      </c>
      <c r="F6">
        <f t="shared" si="1"/>
        <v>1.5</v>
      </c>
      <c r="H6">
        <f t="shared" si="4"/>
        <v>6.6999999999999913</v>
      </c>
      <c r="I6">
        <f t="shared" si="5"/>
        <v>7.0569999999999879</v>
      </c>
      <c r="J6">
        <f t="shared" si="2"/>
        <v>7</v>
      </c>
    </row>
    <row r="7" spans="1:10" x14ac:dyDescent="0.35">
      <c r="D7">
        <f t="shared" si="3"/>
        <v>3.0000000000000004</v>
      </c>
      <c r="E7">
        <f t="shared" si="0"/>
        <v>1.5008333333333339</v>
      </c>
      <c r="F7">
        <f t="shared" si="1"/>
        <v>1.5</v>
      </c>
      <c r="H7">
        <f t="shared" si="4"/>
        <v>6.7999999999999909</v>
      </c>
      <c r="I7">
        <f t="shared" si="5"/>
        <v>7.2071666666666534</v>
      </c>
      <c r="J7">
        <f t="shared" si="2"/>
        <v>7</v>
      </c>
    </row>
    <row r="8" spans="1:10" x14ac:dyDescent="0.35">
      <c r="D8">
        <f t="shared" si="3"/>
        <v>3.1000000000000005</v>
      </c>
      <c r="E8">
        <f t="shared" si="0"/>
        <v>1.6510000000000011</v>
      </c>
      <c r="F8">
        <f t="shared" si="1"/>
        <v>1.5</v>
      </c>
      <c r="H8">
        <f t="shared" si="4"/>
        <v>6.8999999999999906</v>
      </c>
      <c r="I8">
        <f t="shared" si="5"/>
        <v>7.3573333333333188</v>
      </c>
      <c r="J8">
        <f t="shared" si="2"/>
        <v>7.5</v>
      </c>
    </row>
    <row r="9" spans="1:10" x14ac:dyDescent="0.35">
      <c r="D9">
        <f t="shared" si="3"/>
        <v>3.2000000000000006</v>
      </c>
      <c r="E9">
        <f t="shared" si="0"/>
        <v>1.8011666666666675</v>
      </c>
      <c r="F9">
        <f t="shared" si="1"/>
        <v>2</v>
      </c>
      <c r="H9">
        <f t="shared" si="4"/>
        <v>6.9999999999999902</v>
      </c>
      <c r="I9">
        <f t="shared" si="5"/>
        <v>7.5074999999999861</v>
      </c>
      <c r="J9">
        <f t="shared" si="2"/>
        <v>7.5</v>
      </c>
    </row>
    <row r="10" spans="1:10" x14ac:dyDescent="0.35">
      <c r="B10">
        <f>6.5*B5+B6</f>
        <v>6.7566666666666677</v>
      </c>
      <c r="D10">
        <f t="shared" si="3"/>
        <v>3.3000000000000007</v>
      </c>
      <c r="E10">
        <f t="shared" si="0"/>
        <v>1.9513333333333347</v>
      </c>
      <c r="F10">
        <f t="shared" si="1"/>
        <v>2</v>
      </c>
      <c r="H10">
        <f t="shared" si="4"/>
        <v>7.0999999999999899</v>
      </c>
      <c r="I10">
        <f t="shared" si="5"/>
        <v>7.6576666666666515</v>
      </c>
      <c r="J10">
        <f t="shared" si="2"/>
        <v>7.5</v>
      </c>
    </row>
    <row r="11" spans="1:10" x14ac:dyDescent="0.35">
      <c r="D11">
        <f t="shared" si="3"/>
        <v>3.4000000000000008</v>
      </c>
      <c r="E11">
        <f t="shared" si="0"/>
        <v>2.101500000000001</v>
      </c>
      <c r="F11">
        <f t="shared" si="1"/>
        <v>2</v>
      </c>
      <c r="H11">
        <f t="shared" si="4"/>
        <v>7.1999999999999895</v>
      </c>
      <c r="I11">
        <f t="shared" si="5"/>
        <v>7.8078333333333187</v>
      </c>
      <c r="J11">
        <f t="shared" si="2"/>
        <v>8</v>
      </c>
    </row>
    <row r="12" spans="1:10" x14ac:dyDescent="0.35">
      <c r="D12">
        <f t="shared" si="3"/>
        <v>3.5000000000000009</v>
      </c>
      <c r="E12">
        <f t="shared" si="0"/>
        <v>2.2516666666666683</v>
      </c>
      <c r="F12">
        <f t="shared" si="1"/>
        <v>2.5</v>
      </c>
      <c r="H12">
        <f t="shared" si="4"/>
        <v>7.2999999999999892</v>
      </c>
      <c r="I12">
        <f t="shared" si="5"/>
        <v>7.9579999999999842</v>
      </c>
      <c r="J12">
        <f t="shared" si="2"/>
        <v>8</v>
      </c>
    </row>
    <row r="13" spans="1:10" x14ac:dyDescent="0.35">
      <c r="D13">
        <f t="shared" si="3"/>
        <v>3.600000000000001</v>
      </c>
      <c r="E13">
        <f t="shared" si="0"/>
        <v>2.4018333333333346</v>
      </c>
      <c r="F13">
        <f t="shared" si="1"/>
        <v>2.5</v>
      </c>
      <c r="H13">
        <f t="shared" si="4"/>
        <v>7.3999999999999888</v>
      </c>
      <c r="I13">
        <f t="shared" si="5"/>
        <v>8.1081666666666496</v>
      </c>
      <c r="J13">
        <f t="shared" si="2"/>
        <v>8</v>
      </c>
    </row>
    <row r="14" spans="1:10" x14ac:dyDescent="0.35">
      <c r="D14">
        <f t="shared" si="3"/>
        <v>3.7000000000000011</v>
      </c>
      <c r="E14">
        <f t="shared" si="0"/>
        <v>2.5520000000000018</v>
      </c>
      <c r="F14">
        <f t="shared" si="1"/>
        <v>2.5</v>
      </c>
      <c r="H14">
        <f t="shared" si="4"/>
        <v>7.4999999999999885</v>
      </c>
      <c r="I14">
        <f t="shared" si="5"/>
        <v>8.2583333333333169</v>
      </c>
      <c r="J14">
        <f t="shared" si="2"/>
        <v>8.5</v>
      </c>
    </row>
    <row r="15" spans="1:10" x14ac:dyDescent="0.35">
      <c r="D15">
        <f t="shared" si="3"/>
        <v>3.8000000000000012</v>
      </c>
      <c r="E15">
        <f t="shared" si="0"/>
        <v>2.7021666666666682</v>
      </c>
      <c r="F15">
        <f t="shared" si="1"/>
        <v>2.5</v>
      </c>
      <c r="H15">
        <f t="shared" si="4"/>
        <v>7.5999999999999881</v>
      </c>
      <c r="I15">
        <f t="shared" si="5"/>
        <v>8.4084999999999823</v>
      </c>
      <c r="J15">
        <f t="shared" si="2"/>
        <v>8.5</v>
      </c>
    </row>
    <row r="16" spans="1:10" x14ac:dyDescent="0.35">
      <c r="D16">
        <f t="shared" si="3"/>
        <v>3.9000000000000012</v>
      </c>
      <c r="E16">
        <f t="shared" si="0"/>
        <v>2.8523333333333354</v>
      </c>
      <c r="F16">
        <f t="shared" si="1"/>
        <v>3</v>
      </c>
      <c r="H16">
        <f t="shared" si="4"/>
        <v>7.6999999999999877</v>
      </c>
      <c r="I16">
        <f t="shared" si="5"/>
        <v>8.5586666666666495</v>
      </c>
      <c r="J16">
        <f t="shared" si="2"/>
        <v>8.5</v>
      </c>
    </row>
    <row r="17" spans="4:10" x14ac:dyDescent="0.35">
      <c r="D17">
        <f t="shared" si="3"/>
        <v>4.0000000000000009</v>
      </c>
      <c r="E17">
        <f t="shared" si="0"/>
        <v>3.0025000000000017</v>
      </c>
      <c r="F17">
        <f t="shared" si="1"/>
        <v>3</v>
      </c>
      <c r="H17">
        <f t="shared" si="4"/>
        <v>7.7999999999999874</v>
      </c>
      <c r="I17">
        <f t="shared" si="5"/>
        <v>8.708833333333315</v>
      </c>
      <c r="J17">
        <f t="shared" si="2"/>
        <v>8.5</v>
      </c>
    </row>
    <row r="18" spans="4:10" x14ac:dyDescent="0.35">
      <c r="D18">
        <f t="shared" si="3"/>
        <v>4.1000000000000005</v>
      </c>
      <c r="E18">
        <f t="shared" si="0"/>
        <v>3.1526666666666672</v>
      </c>
      <c r="F18">
        <f t="shared" si="1"/>
        <v>3</v>
      </c>
      <c r="H18">
        <f t="shared" si="4"/>
        <v>7.899999999999987</v>
      </c>
      <c r="I18">
        <f t="shared" si="5"/>
        <v>8.8589999999999804</v>
      </c>
      <c r="J18">
        <f t="shared" si="2"/>
        <v>9</v>
      </c>
    </row>
    <row r="19" spans="4:10" x14ac:dyDescent="0.35">
      <c r="D19">
        <f t="shared" si="3"/>
        <v>4.2</v>
      </c>
      <c r="E19">
        <f t="shared" si="0"/>
        <v>3.3028333333333335</v>
      </c>
      <c r="F19">
        <f t="shared" si="1"/>
        <v>3.5</v>
      </c>
      <c r="H19">
        <f t="shared" si="4"/>
        <v>7.9999999999999867</v>
      </c>
      <c r="I19">
        <f t="shared" si="5"/>
        <v>9.0091666666666477</v>
      </c>
      <c r="J19">
        <f t="shared" si="2"/>
        <v>9</v>
      </c>
    </row>
    <row r="20" spans="4:10" x14ac:dyDescent="0.35">
      <c r="D20">
        <f t="shared" si="3"/>
        <v>4.3</v>
      </c>
      <c r="E20">
        <f t="shared" si="0"/>
        <v>3.4529999999999998</v>
      </c>
      <c r="F20">
        <f t="shared" si="1"/>
        <v>3.5</v>
      </c>
      <c r="H20">
        <f t="shared" si="4"/>
        <v>8.0999999999999872</v>
      </c>
      <c r="I20">
        <f t="shared" si="5"/>
        <v>9.1593333333333149</v>
      </c>
      <c r="J20">
        <f t="shared" si="2"/>
        <v>9</v>
      </c>
    </row>
    <row r="21" spans="4:10" x14ac:dyDescent="0.35">
      <c r="D21">
        <f t="shared" si="3"/>
        <v>4.3999999999999995</v>
      </c>
      <c r="E21">
        <f t="shared" si="0"/>
        <v>3.6031666666666662</v>
      </c>
      <c r="F21">
        <f t="shared" si="1"/>
        <v>3.5</v>
      </c>
      <c r="H21">
        <f t="shared" si="4"/>
        <v>8.1999999999999869</v>
      </c>
      <c r="I21">
        <f t="shared" si="5"/>
        <v>9.3094999999999803</v>
      </c>
      <c r="J21">
        <f t="shared" si="2"/>
        <v>9.5</v>
      </c>
    </row>
    <row r="22" spans="4:10" x14ac:dyDescent="0.35">
      <c r="D22">
        <f t="shared" si="3"/>
        <v>4.4999999999999991</v>
      </c>
      <c r="E22">
        <f t="shared" si="0"/>
        <v>3.7533333333333316</v>
      </c>
      <c r="F22">
        <f t="shared" si="1"/>
        <v>4</v>
      </c>
      <c r="H22">
        <f t="shared" si="4"/>
        <v>8.2999999999999865</v>
      </c>
      <c r="I22">
        <f t="shared" si="5"/>
        <v>9.4596666666666476</v>
      </c>
      <c r="J22">
        <f t="shared" si="2"/>
        <v>9.5</v>
      </c>
    </row>
    <row r="23" spans="4:10" x14ac:dyDescent="0.35">
      <c r="D23">
        <f t="shared" si="3"/>
        <v>4.5999999999999988</v>
      </c>
      <c r="E23">
        <f t="shared" si="0"/>
        <v>3.903499999999998</v>
      </c>
      <c r="F23">
        <f t="shared" si="1"/>
        <v>4</v>
      </c>
      <c r="H23">
        <f t="shared" si="4"/>
        <v>8.3999999999999861</v>
      </c>
      <c r="I23">
        <f t="shared" si="5"/>
        <v>9.609833333333313</v>
      </c>
      <c r="J23">
        <f t="shared" si="2"/>
        <v>9.5</v>
      </c>
    </row>
    <row r="24" spans="4:10" x14ac:dyDescent="0.35">
      <c r="D24">
        <f t="shared" si="3"/>
        <v>4.6999999999999984</v>
      </c>
      <c r="E24">
        <f t="shared" si="0"/>
        <v>4.0536666666666648</v>
      </c>
      <c r="F24">
        <f t="shared" si="1"/>
        <v>4</v>
      </c>
      <c r="H24">
        <f t="shared" si="4"/>
        <v>8.4999999999999858</v>
      </c>
      <c r="I24" s="18">
        <f t="shared" si="5"/>
        <v>9.7599999999999785</v>
      </c>
      <c r="J24">
        <f>MROUND(I24,0.5)</f>
        <v>10</v>
      </c>
    </row>
    <row r="25" spans="4:10" x14ac:dyDescent="0.35">
      <c r="D25">
        <f t="shared" si="3"/>
        <v>4.799999999999998</v>
      </c>
      <c r="E25">
        <f t="shared" si="0"/>
        <v>4.2038333333333302</v>
      </c>
      <c r="F25">
        <f t="shared" si="1"/>
        <v>4</v>
      </c>
      <c r="H25">
        <f t="shared" si="4"/>
        <v>8.5999999999999854</v>
      </c>
      <c r="I25">
        <f t="shared" si="5"/>
        <v>9.9101666666666457</v>
      </c>
      <c r="J25">
        <f t="shared" si="2"/>
        <v>10</v>
      </c>
    </row>
    <row r="26" spans="4:10" x14ac:dyDescent="0.35">
      <c r="D26">
        <f t="shared" si="3"/>
        <v>4.8999999999999977</v>
      </c>
      <c r="E26">
        <f t="shared" si="0"/>
        <v>4.3539999999999957</v>
      </c>
      <c r="F26">
        <f t="shared" si="1"/>
        <v>4.5</v>
      </c>
      <c r="H26">
        <f t="shared" si="4"/>
        <v>8.6999999999999851</v>
      </c>
      <c r="I26">
        <f t="shared" si="5"/>
        <v>10.060333333333311</v>
      </c>
      <c r="J26">
        <f t="shared" si="2"/>
        <v>10</v>
      </c>
    </row>
    <row r="27" spans="4:10" x14ac:dyDescent="0.35">
      <c r="D27">
        <f t="shared" si="3"/>
        <v>4.9999999999999973</v>
      </c>
      <c r="E27">
        <f t="shared" si="0"/>
        <v>4.5041666666666629</v>
      </c>
      <c r="F27">
        <f t="shared" si="1"/>
        <v>4.5</v>
      </c>
      <c r="H27">
        <f t="shared" si="4"/>
        <v>8.7999999999999847</v>
      </c>
      <c r="I27">
        <f t="shared" si="5"/>
        <v>10.210499999999978</v>
      </c>
      <c r="J27">
        <f t="shared" si="2"/>
        <v>10</v>
      </c>
    </row>
    <row r="28" spans="4:10" x14ac:dyDescent="0.35">
      <c r="D28">
        <f t="shared" si="3"/>
        <v>5.099999999999997</v>
      </c>
      <c r="E28">
        <f t="shared" si="0"/>
        <v>4.6543333333333283</v>
      </c>
      <c r="F28">
        <f t="shared" si="1"/>
        <v>4.5</v>
      </c>
      <c r="H28">
        <f t="shared" si="4"/>
        <v>8.8999999999999844</v>
      </c>
      <c r="I28">
        <f t="shared" si="5"/>
        <v>10.360666666666644</v>
      </c>
      <c r="J28">
        <f t="shared" si="2"/>
        <v>10.5</v>
      </c>
    </row>
    <row r="29" spans="4:10" x14ac:dyDescent="0.35">
      <c r="D29">
        <f t="shared" si="3"/>
        <v>5.1999999999999966</v>
      </c>
      <c r="E29">
        <f t="shared" si="0"/>
        <v>4.8044999999999956</v>
      </c>
      <c r="F29">
        <f t="shared" si="1"/>
        <v>5</v>
      </c>
      <c r="H29">
        <f t="shared" si="4"/>
        <v>8.999999999999984</v>
      </c>
      <c r="I29">
        <f t="shared" si="5"/>
        <v>10.510833333333309</v>
      </c>
      <c r="J29">
        <f t="shared" si="2"/>
        <v>10.5</v>
      </c>
    </row>
    <row r="30" spans="4:10" x14ac:dyDescent="0.35">
      <c r="D30">
        <f t="shared" si="3"/>
        <v>5.2999999999999963</v>
      </c>
      <c r="E30">
        <f t="shared" si="0"/>
        <v>4.954666666666661</v>
      </c>
      <c r="F30">
        <f t="shared" si="1"/>
        <v>5</v>
      </c>
      <c r="H30">
        <f t="shared" si="4"/>
        <v>9.0999999999999837</v>
      </c>
      <c r="I30">
        <f t="shared" si="5"/>
        <v>10.660999999999976</v>
      </c>
      <c r="J30">
        <f t="shared" si="2"/>
        <v>10.5</v>
      </c>
    </row>
    <row r="31" spans="4:10" x14ac:dyDescent="0.35">
      <c r="D31">
        <f t="shared" si="3"/>
        <v>5.3999999999999959</v>
      </c>
      <c r="E31">
        <f t="shared" si="0"/>
        <v>5.1048333333333282</v>
      </c>
      <c r="F31">
        <f t="shared" si="1"/>
        <v>5</v>
      </c>
      <c r="H31">
        <f t="shared" si="4"/>
        <v>9.1999999999999833</v>
      </c>
      <c r="I31">
        <f t="shared" si="5"/>
        <v>10.811166666666642</v>
      </c>
      <c r="J31">
        <f t="shared" si="2"/>
        <v>11</v>
      </c>
    </row>
    <row r="32" spans="4:10" x14ac:dyDescent="0.35">
      <c r="D32">
        <f t="shared" si="3"/>
        <v>5.4999999999999956</v>
      </c>
      <c r="E32">
        <f t="shared" si="0"/>
        <v>5.2549999999999937</v>
      </c>
      <c r="F32">
        <f t="shared" si="1"/>
        <v>5.5</v>
      </c>
      <c r="H32">
        <f t="shared" si="4"/>
        <v>9.2999999999999829</v>
      </c>
      <c r="I32">
        <f t="shared" si="5"/>
        <v>10.961333333333309</v>
      </c>
      <c r="J32">
        <f t="shared" si="2"/>
        <v>11</v>
      </c>
    </row>
    <row r="33" spans="4:10" x14ac:dyDescent="0.35">
      <c r="D33">
        <f t="shared" si="3"/>
        <v>5.5999999999999952</v>
      </c>
      <c r="E33">
        <f t="shared" si="0"/>
        <v>5.4051666666666591</v>
      </c>
      <c r="F33">
        <f t="shared" si="1"/>
        <v>5.5</v>
      </c>
      <c r="H33">
        <f t="shared" si="4"/>
        <v>9.3999999999999826</v>
      </c>
      <c r="I33">
        <f t="shared" si="5"/>
        <v>11.111499999999975</v>
      </c>
      <c r="J33">
        <f t="shared" si="2"/>
        <v>11</v>
      </c>
    </row>
    <row r="34" spans="4:10" x14ac:dyDescent="0.35">
      <c r="D34">
        <f t="shared" si="3"/>
        <v>5.6999999999999948</v>
      </c>
      <c r="E34">
        <f t="shared" si="0"/>
        <v>5.5553333333333264</v>
      </c>
      <c r="F34">
        <f t="shared" si="1"/>
        <v>5.5</v>
      </c>
      <c r="H34">
        <f t="shared" si="4"/>
        <v>9.4999999999999822</v>
      </c>
      <c r="I34">
        <f t="shared" si="5"/>
        <v>11.26166666666664</v>
      </c>
      <c r="J34">
        <f t="shared" si="2"/>
        <v>11.5</v>
      </c>
    </row>
    <row r="35" spans="4:10" x14ac:dyDescent="0.35">
      <c r="D35">
        <f t="shared" si="3"/>
        <v>5.7999999999999945</v>
      </c>
      <c r="E35">
        <f t="shared" si="0"/>
        <v>5.7054999999999918</v>
      </c>
      <c r="F35">
        <f t="shared" si="1"/>
        <v>5.5</v>
      </c>
      <c r="H35">
        <f t="shared" si="4"/>
        <v>9.5999999999999819</v>
      </c>
      <c r="I35">
        <f t="shared" si="5"/>
        <v>11.411833333333307</v>
      </c>
      <c r="J35">
        <f t="shared" si="2"/>
        <v>11.5</v>
      </c>
    </row>
    <row r="36" spans="4:10" x14ac:dyDescent="0.35">
      <c r="D36">
        <f t="shared" si="3"/>
        <v>5.8999999999999941</v>
      </c>
      <c r="E36">
        <f t="shared" si="0"/>
        <v>5.855666666666659</v>
      </c>
      <c r="F36">
        <f t="shared" si="1"/>
        <v>6</v>
      </c>
      <c r="H36">
        <f t="shared" si="4"/>
        <v>9.6999999999999815</v>
      </c>
      <c r="I36">
        <f t="shared" si="5"/>
        <v>11.561999999999973</v>
      </c>
      <c r="J36">
        <f t="shared" si="2"/>
        <v>11.5</v>
      </c>
    </row>
    <row r="37" spans="4:10" x14ac:dyDescent="0.35">
      <c r="D37">
        <f t="shared" si="3"/>
        <v>5.9999999999999938</v>
      </c>
      <c r="E37">
        <f t="shared" si="0"/>
        <v>6.0058333333333245</v>
      </c>
      <c r="F37">
        <f t="shared" si="1"/>
        <v>6</v>
      </c>
      <c r="H37">
        <f t="shared" si="4"/>
        <v>9.7999999999999812</v>
      </c>
      <c r="I37">
        <f t="shared" si="5"/>
        <v>11.712166666666638</v>
      </c>
      <c r="J37">
        <f t="shared" si="2"/>
        <v>11.5</v>
      </c>
    </row>
    <row r="38" spans="4:10" x14ac:dyDescent="0.35">
      <c r="D38">
        <f t="shared" si="3"/>
        <v>6.0999999999999934</v>
      </c>
      <c r="E38">
        <f t="shared" si="0"/>
        <v>6.1559999999999899</v>
      </c>
      <c r="F38">
        <f t="shared" si="1"/>
        <v>6</v>
      </c>
      <c r="H38">
        <f t="shared" si="4"/>
        <v>9.8999999999999808</v>
      </c>
      <c r="I38">
        <f t="shared" si="5"/>
        <v>11.862333333333305</v>
      </c>
      <c r="J38">
        <f t="shared" si="2"/>
        <v>12</v>
      </c>
    </row>
    <row r="39" spans="4:10" x14ac:dyDescent="0.35">
      <c r="D39">
        <f t="shared" si="3"/>
        <v>6.1999999999999931</v>
      </c>
      <c r="E39">
        <f t="shared" si="0"/>
        <v>6.3061666666666572</v>
      </c>
      <c r="F39">
        <f t="shared" si="1"/>
        <v>6.5</v>
      </c>
      <c r="H39">
        <f t="shared" si="4"/>
        <v>9.9999999999999805</v>
      </c>
      <c r="I39">
        <f t="shared" si="5"/>
        <v>12.012499999999971</v>
      </c>
      <c r="J39">
        <f t="shared" si="2"/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W82"/>
  <sheetViews>
    <sheetView topLeftCell="A4" workbookViewId="0">
      <pane xSplit="1" topLeftCell="F1" activePane="topRight" state="frozen"/>
      <selection activeCell="A31" sqref="A31"/>
      <selection pane="topRight" activeCell="S39" sqref="S39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11.6328125" style="22" customWidth="1"/>
    <col min="20" max="20" width="9.08984375" bestFit="1" customWidth="1"/>
    <col min="21" max="21" width="9.08984375" customWidth="1"/>
    <col min="23" max="23" width="16.6328125" bestFit="1" customWidth="1"/>
  </cols>
  <sheetData>
    <row r="1" spans="1:23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W1" t="s">
        <v>349</v>
      </c>
    </row>
    <row r="2" spans="1:2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W2" s="1">
        <v>45990</v>
      </c>
    </row>
    <row r="3" spans="1:2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</row>
    <row r="4" spans="1:2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V5" t="s">
        <v>370</v>
      </c>
      <c r="W5">
        <v>15</v>
      </c>
    </row>
    <row r="6" spans="1:2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V6" t="s">
        <v>371</v>
      </c>
      <c r="W6">
        <f>27*W5</f>
        <v>405</v>
      </c>
    </row>
    <row r="7" spans="1:2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21">
        <v>85.84</v>
      </c>
      <c r="T7" s="19">
        <v>44.7</v>
      </c>
      <c r="U7" s="19"/>
      <c r="V7" t="s">
        <v>372</v>
      </c>
      <c r="W7">
        <f>1950-W6</f>
        <v>1545</v>
      </c>
    </row>
    <row r="8" spans="1:2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V8" t="s">
        <v>373</v>
      </c>
      <c r="W8">
        <f>W7/18</f>
        <v>85.833333333333329</v>
      </c>
    </row>
    <row r="9" spans="1:2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</row>
    <row r="11" spans="1:23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</row>
    <row r="12" spans="1:2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</row>
    <row r="13" spans="1:2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</row>
    <row r="14" spans="1:23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21">
        <v>85.84</v>
      </c>
    </row>
    <row r="15" spans="1:23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21">
        <v>85.84</v>
      </c>
    </row>
    <row r="16" spans="1:23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</row>
    <row r="17" spans="1:21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</row>
    <row r="18" spans="1:21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</row>
    <row r="19" spans="1:21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</row>
    <row r="20" spans="1:21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</row>
    <row r="21" spans="1:21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21">
        <v>27</v>
      </c>
      <c r="S21" s="19"/>
    </row>
    <row r="22" spans="1:21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1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21">
        <v>27</v>
      </c>
      <c r="S23" s="19"/>
    </row>
    <row r="24" spans="1:21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</row>
    <row r="25" spans="1:21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1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T26" s="19">
        <v>45.7</v>
      </c>
      <c r="U26" s="22"/>
    </row>
    <row r="27" spans="1:21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1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21">
        <v>25</v>
      </c>
      <c r="L28" s="19"/>
      <c r="M28" s="22"/>
      <c r="N28" s="21">
        <v>27</v>
      </c>
      <c r="O28" s="19"/>
      <c r="P28" s="19"/>
      <c r="Q28" s="19"/>
    </row>
    <row r="29" spans="1:21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21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21">
        <v>85.84</v>
      </c>
    </row>
    <row r="31" spans="1:21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1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</row>
    <row r="33" spans="1:19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19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19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19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19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</row>
    <row r="38" spans="1:19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19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21">
        <v>85.84</v>
      </c>
    </row>
    <row r="40" spans="1:19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21">
        <v>27</v>
      </c>
    </row>
    <row r="41" spans="1:19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19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</row>
    <row r="43" spans="1:19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</row>
    <row r="44" spans="1:19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19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19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19" x14ac:dyDescent="0.35">
      <c r="A47" t="s">
        <v>81</v>
      </c>
      <c r="C47" s="19"/>
      <c r="D47" s="19"/>
      <c r="E47" s="19"/>
      <c r="F47" s="19"/>
      <c r="G47" s="19">
        <v>25</v>
      </c>
      <c r="H47" s="19"/>
      <c r="I47" s="19"/>
      <c r="L47" s="19">
        <v>25</v>
      </c>
    </row>
    <row r="48" spans="1:19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19" x14ac:dyDescent="0.35">
      <c r="A49" t="s">
        <v>80</v>
      </c>
      <c r="G49" s="19">
        <v>25</v>
      </c>
      <c r="H49" s="19"/>
      <c r="I49" s="19"/>
    </row>
    <row r="50" spans="1:19" x14ac:dyDescent="0.35">
      <c r="A50" t="s">
        <v>83</v>
      </c>
      <c r="G50" s="19"/>
      <c r="H50" s="19">
        <v>25</v>
      </c>
      <c r="I50" s="19"/>
    </row>
    <row r="51" spans="1:19" x14ac:dyDescent="0.35">
      <c r="A51" t="s">
        <v>86</v>
      </c>
      <c r="G51" s="19"/>
      <c r="H51" s="19">
        <v>25</v>
      </c>
      <c r="I51" s="19"/>
    </row>
    <row r="52" spans="1:19" x14ac:dyDescent="0.35">
      <c r="A52" t="s">
        <v>85</v>
      </c>
      <c r="G52" s="19"/>
      <c r="H52" s="19">
        <v>25</v>
      </c>
      <c r="I52" s="19">
        <v>50</v>
      </c>
    </row>
    <row r="53" spans="1:19" x14ac:dyDescent="0.35">
      <c r="A53" t="s">
        <v>81</v>
      </c>
      <c r="G53" s="19"/>
      <c r="H53" s="19">
        <v>25</v>
      </c>
      <c r="I53" s="19"/>
    </row>
    <row r="54" spans="1:19" x14ac:dyDescent="0.35">
      <c r="A54" t="s">
        <v>84</v>
      </c>
      <c r="G54" s="19"/>
      <c r="H54" s="19">
        <v>50</v>
      </c>
      <c r="I54" s="19">
        <v>77.78</v>
      </c>
      <c r="J54" s="19">
        <v>86.12</v>
      </c>
      <c r="K54" s="19">
        <f>(1800-12*25)/18</f>
        <v>83.333333333333329</v>
      </c>
      <c r="L54" s="19">
        <v>79.17</v>
      </c>
      <c r="M54" s="19">
        <v>76.39</v>
      </c>
      <c r="N54" s="19">
        <v>88.84</v>
      </c>
      <c r="O54" s="19">
        <v>84.34</v>
      </c>
      <c r="P54" s="19">
        <v>54</v>
      </c>
      <c r="Q54" s="19">
        <v>83</v>
      </c>
      <c r="R54" s="19">
        <f>27*2</f>
        <v>54</v>
      </c>
      <c r="S54" s="19">
        <v>85.84</v>
      </c>
    </row>
    <row r="55" spans="1:19" x14ac:dyDescent="0.35">
      <c r="A55" t="s">
        <v>340</v>
      </c>
      <c r="G55" s="19"/>
      <c r="H55" s="19"/>
      <c r="I55" s="19"/>
      <c r="J55" s="19">
        <v>25</v>
      </c>
      <c r="K55" s="19">
        <v>62.5</v>
      </c>
      <c r="L55" s="19">
        <v>79.17</v>
      </c>
    </row>
    <row r="56" spans="1:19" x14ac:dyDescent="0.35">
      <c r="A56" t="s">
        <v>339</v>
      </c>
      <c r="G56" s="19"/>
      <c r="H56" s="19"/>
      <c r="I56" s="19"/>
      <c r="J56" s="19">
        <v>25</v>
      </c>
      <c r="M56" s="19">
        <v>25</v>
      </c>
    </row>
    <row r="57" spans="1:19" x14ac:dyDescent="0.35">
      <c r="A57" t="s">
        <v>344</v>
      </c>
      <c r="G57" s="19"/>
      <c r="H57" s="19"/>
      <c r="I57" s="19"/>
      <c r="J57" s="19">
        <v>25</v>
      </c>
      <c r="L57" s="19">
        <v>50</v>
      </c>
      <c r="M57" s="19">
        <v>25</v>
      </c>
    </row>
    <row r="58" spans="1:19" x14ac:dyDescent="0.35">
      <c r="A58" t="s">
        <v>342</v>
      </c>
      <c r="G58"/>
      <c r="H58"/>
      <c r="I58"/>
      <c r="K58" s="19">
        <v>25</v>
      </c>
      <c r="L58" s="19"/>
      <c r="N58" s="19">
        <v>27</v>
      </c>
      <c r="O58" s="19"/>
      <c r="P58" s="19"/>
      <c r="Q58" s="19"/>
    </row>
    <row r="59" spans="1:19" x14ac:dyDescent="0.35">
      <c r="A59" t="s">
        <v>345</v>
      </c>
      <c r="G59"/>
      <c r="H59"/>
      <c r="I59"/>
      <c r="K59" s="19">
        <v>25</v>
      </c>
      <c r="L59" s="19"/>
    </row>
    <row r="60" spans="1:19" x14ac:dyDescent="0.35">
      <c r="A60" t="s">
        <v>346</v>
      </c>
      <c r="G60"/>
      <c r="H60"/>
      <c r="I60"/>
      <c r="K60" s="19">
        <v>50</v>
      </c>
      <c r="L60" s="19">
        <v>79.17</v>
      </c>
      <c r="M60" s="19">
        <v>75</v>
      </c>
      <c r="N60" s="19">
        <v>88.84</v>
      </c>
      <c r="O60" s="19">
        <f>27*3</f>
        <v>81</v>
      </c>
      <c r="P60" s="19"/>
      <c r="Q60" s="19"/>
      <c r="S60" s="19">
        <v>81</v>
      </c>
    </row>
    <row r="61" spans="1:19" x14ac:dyDescent="0.35">
      <c r="A61" t="s">
        <v>347</v>
      </c>
      <c r="G61"/>
      <c r="H61"/>
      <c r="I61"/>
      <c r="K61" s="19">
        <v>25</v>
      </c>
      <c r="L61" s="19"/>
    </row>
    <row r="62" spans="1:19" x14ac:dyDescent="0.35">
      <c r="A62" t="s">
        <v>354</v>
      </c>
      <c r="G62"/>
      <c r="H62"/>
      <c r="I62"/>
      <c r="K62" s="19"/>
      <c r="L62" s="19">
        <v>25</v>
      </c>
    </row>
    <row r="63" spans="1:19" x14ac:dyDescent="0.35">
      <c r="A63" t="s">
        <v>356</v>
      </c>
      <c r="L63" s="19">
        <v>25</v>
      </c>
    </row>
    <row r="64" spans="1:19" x14ac:dyDescent="0.35">
      <c r="A64" t="s">
        <v>352</v>
      </c>
      <c r="L64" s="19">
        <v>25</v>
      </c>
    </row>
    <row r="65" spans="1:19" x14ac:dyDescent="0.35">
      <c r="A65" t="s">
        <v>350</v>
      </c>
      <c r="L65" s="19">
        <v>25</v>
      </c>
    </row>
    <row r="66" spans="1:19" x14ac:dyDescent="0.35">
      <c r="A66" t="s">
        <v>363</v>
      </c>
      <c r="L66" s="19"/>
      <c r="M66" s="19">
        <v>25</v>
      </c>
    </row>
    <row r="67" spans="1:19" x14ac:dyDescent="0.35">
      <c r="A67" t="s">
        <v>361</v>
      </c>
      <c r="L67" s="19"/>
      <c r="M67" s="19">
        <v>25</v>
      </c>
      <c r="O67" s="19">
        <v>27</v>
      </c>
      <c r="P67" s="19"/>
      <c r="Q67" s="19">
        <v>27</v>
      </c>
      <c r="S67" s="19">
        <v>27</v>
      </c>
    </row>
    <row r="68" spans="1:19" x14ac:dyDescent="0.35">
      <c r="A68" t="s">
        <v>364</v>
      </c>
      <c r="L68" s="19"/>
      <c r="M68" s="19"/>
      <c r="N68" s="19">
        <v>27</v>
      </c>
      <c r="O68" s="19"/>
      <c r="P68" s="19">
        <v>27</v>
      </c>
      <c r="Q68" s="19"/>
    </row>
    <row r="69" spans="1:19" x14ac:dyDescent="0.35">
      <c r="A69" t="s">
        <v>365</v>
      </c>
      <c r="L69" s="19"/>
      <c r="M69" s="19"/>
      <c r="N69" s="19">
        <v>27</v>
      </c>
      <c r="O69" s="19"/>
      <c r="P69" s="19"/>
      <c r="Q69" s="19"/>
    </row>
    <row r="70" spans="1:19" x14ac:dyDescent="0.35">
      <c r="A70" t="s">
        <v>366</v>
      </c>
      <c r="L70" s="19"/>
      <c r="M70" s="19"/>
      <c r="N70" s="19">
        <v>27</v>
      </c>
      <c r="O70" s="19"/>
      <c r="P70" s="19"/>
      <c r="Q70" s="19"/>
    </row>
    <row r="71" spans="1:19" x14ac:dyDescent="0.35">
      <c r="A71" t="s">
        <v>368</v>
      </c>
      <c r="O71" s="19">
        <v>27</v>
      </c>
      <c r="P71" s="19"/>
      <c r="Q71" s="19"/>
      <c r="R71" s="19">
        <v>27</v>
      </c>
      <c r="S71" s="19"/>
    </row>
    <row r="72" spans="1:19" x14ac:dyDescent="0.35">
      <c r="A72" t="s">
        <v>369</v>
      </c>
      <c r="O72" s="19">
        <v>54</v>
      </c>
      <c r="P72" s="19"/>
      <c r="Q72" s="19"/>
    </row>
    <row r="73" spans="1:19" x14ac:dyDescent="0.35">
      <c r="A73" t="s">
        <v>376</v>
      </c>
      <c r="O73" s="19"/>
      <c r="P73" s="19"/>
      <c r="Q73" s="19">
        <v>81</v>
      </c>
      <c r="R73" s="19">
        <f>27*2</f>
        <v>54</v>
      </c>
      <c r="S73" s="19">
        <v>54</v>
      </c>
    </row>
    <row r="74" spans="1:19" x14ac:dyDescent="0.35">
      <c r="A74" t="s">
        <v>374</v>
      </c>
      <c r="O74" s="19"/>
      <c r="P74" s="19"/>
      <c r="Q74" s="19">
        <v>27</v>
      </c>
    </row>
    <row r="75" spans="1:19" x14ac:dyDescent="0.35">
      <c r="A75" t="s">
        <v>375</v>
      </c>
      <c r="O75" s="19"/>
      <c r="P75" s="19"/>
      <c r="Q75" s="19">
        <v>27</v>
      </c>
    </row>
    <row r="76" spans="1:19" x14ac:dyDescent="0.35">
      <c r="A76" t="s">
        <v>377</v>
      </c>
      <c r="O76" s="19"/>
      <c r="P76" s="19"/>
      <c r="Q76" s="19"/>
      <c r="R76" s="19">
        <v>27</v>
      </c>
      <c r="S76" s="19"/>
    </row>
    <row r="77" spans="1:19" x14ac:dyDescent="0.35">
      <c r="A77" t="s">
        <v>378</v>
      </c>
      <c r="O77" s="19"/>
      <c r="P77" s="19"/>
      <c r="Q77" s="19"/>
      <c r="R77" s="19"/>
      <c r="S77" s="21">
        <v>54</v>
      </c>
    </row>
    <row r="78" spans="1:19" x14ac:dyDescent="0.35">
      <c r="A78" t="s">
        <v>380</v>
      </c>
      <c r="O78" s="19"/>
      <c r="P78" s="19"/>
      <c r="Q78" s="19"/>
      <c r="R78" s="19"/>
      <c r="S78" s="21">
        <v>27</v>
      </c>
    </row>
    <row r="80" spans="1:19" x14ac:dyDescent="0.35">
      <c r="A80" t="s">
        <v>74</v>
      </c>
      <c r="B80" s="20">
        <f>SUM(B3:B28)</f>
        <v>1716.6666666666665</v>
      </c>
      <c r="C80" s="20">
        <f>SUM(C3:C35)</f>
        <v>1729.2800000000002</v>
      </c>
      <c r="D80" s="20">
        <f>SUM(D3:D38)</f>
        <v>1754.2800000000002</v>
      </c>
      <c r="E80" s="20">
        <f>SUM(E3:E41)</f>
        <v>1697.26</v>
      </c>
      <c r="F80" s="20">
        <f>SUM(F3:F44)</f>
        <v>1772.26</v>
      </c>
      <c r="G80" s="20">
        <f>SUM(G3:G49)</f>
        <v>1722.2599999999998</v>
      </c>
      <c r="H80" s="20">
        <f>SUM(H3:H54)</f>
        <v>1715.41</v>
      </c>
      <c r="I80" s="20">
        <f>SUM(I3:I54)</f>
        <v>1722.2599999999998</v>
      </c>
      <c r="J80" s="20">
        <f>SUM(J3:J57)</f>
        <v>1714.0399999999995</v>
      </c>
      <c r="K80" s="20">
        <f>SUM(K3:K60)</f>
        <v>1716.6733333333332</v>
      </c>
      <c r="L80" s="20">
        <f>SUM(L3:L60)</f>
        <v>1620.8900000000003</v>
      </c>
      <c r="M80" s="20">
        <f>SUM(M3:M70)</f>
        <v>1723.6300000000003</v>
      </c>
      <c r="N80" s="20">
        <f>SUM(N3:N70)</f>
        <v>1861.2799999999997</v>
      </c>
      <c r="O80" s="20">
        <f>SUM(O3:O72)</f>
        <v>1865.7799999999997</v>
      </c>
      <c r="P80" s="20">
        <f>SUM(P3:P72)</f>
        <v>1864.2799999999997</v>
      </c>
      <c r="Q80" s="20">
        <f>SUM(Q3:Q75)</f>
        <v>1869.11</v>
      </c>
      <c r="R80" s="20">
        <f>SUM(R3:R76)</f>
        <v>1870.7799999999997</v>
      </c>
      <c r="S80" s="20">
        <f>SUM(S3:S78)</f>
        <v>1864.2799999999997</v>
      </c>
    </row>
    <row r="81" spans="1:19" x14ac:dyDescent="0.35">
      <c r="A81" t="s">
        <v>75</v>
      </c>
      <c r="B81" s="20">
        <f>25*12+83.34*17</f>
        <v>1716.78</v>
      </c>
      <c r="C81" s="20">
        <f>22*25+70.84*17</f>
        <v>1754.28</v>
      </c>
      <c r="D81" s="20">
        <f>20*25+70.84*17</f>
        <v>1704.28</v>
      </c>
      <c r="E81" s="20">
        <f>15*25+77.78*17</f>
        <v>1697.26</v>
      </c>
      <c r="F81" s="20">
        <f>18*25+77.78*17</f>
        <v>1772.26</v>
      </c>
      <c r="G81" s="23">
        <f>17*77.78+25*16</f>
        <v>1722.26</v>
      </c>
      <c r="H81" s="23">
        <f>11*25+84.73*17</f>
        <v>1715.41</v>
      </c>
      <c r="I81" s="23">
        <f>17*25+77.78*17</f>
        <v>1747.26</v>
      </c>
      <c r="J81" s="23">
        <f>10*25+86.12*17</f>
        <v>1714.04</v>
      </c>
      <c r="K81" s="23">
        <f>13*25+83.33*17</f>
        <v>1741.61</v>
      </c>
      <c r="L81" s="23">
        <f>15*25+79.17*17</f>
        <v>1720.89</v>
      </c>
      <c r="M81" s="23">
        <f>17*25+76.39*17</f>
        <v>1723.63</v>
      </c>
      <c r="N81" s="23">
        <f>13*27+88.84*17</f>
        <v>1861.28</v>
      </c>
      <c r="O81" s="23">
        <f>16*27+84.34*17</f>
        <v>1865.78</v>
      </c>
      <c r="P81" s="23">
        <f>15*27+85.84*17</f>
        <v>1864.28</v>
      </c>
      <c r="Q81" s="23">
        <f>17*27+82.83*17</f>
        <v>1867.11</v>
      </c>
      <c r="R81" s="23">
        <f>16*27+82.83*17</f>
        <v>1840.11</v>
      </c>
      <c r="S81" s="23">
        <f>10*27+85.84*12</f>
        <v>1300.08</v>
      </c>
    </row>
    <row r="82" spans="1:19" x14ac:dyDescent="0.35">
      <c r="B82" s="24">
        <f t="shared" ref="B82:G82" si="1">B81/B80</f>
        <v>1.0000660194174757</v>
      </c>
      <c r="C82" s="24">
        <f t="shared" si="1"/>
        <v>1.0144568837897852</v>
      </c>
      <c r="D82" s="24">
        <f t="shared" si="1"/>
        <v>0.97149827849602099</v>
      </c>
      <c r="E82" s="24">
        <f t="shared" si="1"/>
        <v>1</v>
      </c>
      <c r="F82" s="24">
        <f t="shared" si="1"/>
        <v>1</v>
      </c>
      <c r="G82" s="24">
        <f t="shared" si="1"/>
        <v>1.0000000000000002</v>
      </c>
      <c r="H82" s="24">
        <f t="shared" ref="H82:I82" si="2">H81/H80</f>
        <v>1</v>
      </c>
      <c r="I82" s="24">
        <f t="shared" si="2"/>
        <v>1.0145158106209284</v>
      </c>
      <c r="J82" s="24">
        <f t="shared" ref="J82:K82" si="3">J81/J80</f>
        <v>1.0000000000000002</v>
      </c>
      <c r="K82" s="24">
        <f t="shared" si="3"/>
        <v>1.0145261571799722</v>
      </c>
      <c r="L82" s="24">
        <f t="shared" ref="L82:M82" si="4">L81/L80</f>
        <v>1.0616945011691106</v>
      </c>
      <c r="M82" s="24">
        <f t="shared" si="4"/>
        <v>0.99999999999999989</v>
      </c>
      <c r="N82" s="24">
        <f t="shared" ref="N82:O82" si="5">N81/N80</f>
        <v>1.0000000000000002</v>
      </c>
      <c r="O82" s="24">
        <f t="shared" si="5"/>
        <v>1.0000000000000002</v>
      </c>
      <c r="P82" s="24">
        <f t="shared" ref="P82" si="6">P81/P80</f>
        <v>1.0000000000000002</v>
      </c>
      <c r="Q82" s="24">
        <f>Q81/Q80</f>
        <v>0.99892997201876832</v>
      </c>
      <c r="R82" s="24">
        <f>R81/R80</f>
        <v>0.98360576871679206</v>
      </c>
      <c r="S82" s="24">
        <f>S81/S80</f>
        <v>0.69736305705151591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28"/>
  <sheetViews>
    <sheetView topLeftCell="A198" workbookViewId="0">
      <selection activeCell="A226" sqref="A226:A228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382</v>
      </c>
      <c r="P224" s="2" t="s">
        <v>383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382</v>
      </c>
      <c r="H225" s="2" t="s">
        <v>383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H79"/>
  <sheetViews>
    <sheetView tabSelected="1" zoomScaleNormal="100" workbookViewId="0">
      <pane xSplit="1" topLeftCell="AO1" activePane="topRight" state="frozen"/>
      <selection pane="topRight" activeCell="BH76" sqref="BH76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60" width="10.453125" bestFit="1" customWidth="1"/>
  </cols>
  <sheetData>
    <row r="1" spans="1:60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</row>
    <row r="2" spans="1:60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</row>
    <row r="3" spans="1:60" hidden="1" x14ac:dyDescent="0.35">
      <c r="A3" t="s">
        <v>24</v>
      </c>
    </row>
    <row r="4" spans="1:60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60" hidden="1" x14ac:dyDescent="0.35">
      <c r="A5" t="s">
        <v>365</v>
      </c>
    </row>
    <row r="6" spans="1:60" x14ac:dyDescent="0.35">
      <c r="A6" t="s">
        <v>77</v>
      </c>
      <c r="G6">
        <v>3</v>
      </c>
    </row>
    <row r="7" spans="1:60" x14ac:dyDescent="0.35">
      <c r="A7" t="s">
        <v>364</v>
      </c>
      <c r="AH7">
        <v>3</v>
      </c>
      <c r="AQ7">
        <v>2</v>
      </c>
    </row>
    <row r="8" spans="1:60" x14ac:dyDescent="0.35">
      <c r="A8" t="s">
        <v>7</v>
      </c>
      <c r="K8">
        <v>1</v>
      </c>
    </row>
    <row r="9" spans="1:60" x14ac:dyDescent="0.35">
      <c r="A9" t="s">
        <v>353</v>
      </c>
      <c r="G9">
        <v>1</v>
      </c>
    </row>
    <row r="10" spans="1:60" hidden="1" x14ac:dyDescent="0.35">
      <c r="A10" t="s">
        <v>347</v>
      </c>
    </row>
    <row r="11" spans="1:60" x14ac:dyDescent="0.35">
      <c r="A11" t="s">
        <v>48</v>
      </c>
    </row>
    <row r="12" spans="1:60" x14ac:dyDescent="0.35">
      <c r="A12" t="s">
        <v>383</v>
      </c>
    </row>
    <row r="13" spans="1:60" x14ac:dyDescent="0.35">
      <c r="A13" t="s">
        <v>362</v>
      </c>
    </row>
    <row r="14" spans="1:60" hidden="1" x14ac:dyDescent="0.35">
      <c r="A14" t="s">
        <v>18</v>
      </c>
    </row>
    <row r="15" spans="1:60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</row>
    <row r="16" spans="1:60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60" x14ac:dyDescent="0.35">
      <c r="A17" t="s">
        <v>378</v>
      </c>
    </row>
    <row r="18" spans="1:60" x14ac:dyDescent="0.35">
      <c r="A18" t="s">
        <v>54</v>
      </c>
      <c r="C18">
        <v>2</v>
      </c>
      <c r="D18">
        <v>3</v>
      </c>
      <c r="V18">
        <v>2</v>
      </c>
    </row>
    <row r="19" spans="1:60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</row>
    <row r="20" spans="1:60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</row>
    <row r="21" spans="1:60" x14ac:dyDescent="0.35">
      <c r="A21" t="s">
        <v>15</v>
      </c>
      <c r="F21">
        <v>1</v>
      </c>
      <c r="H21">
        <v>2</v>
      </c>
      <c r="I21">
        <v>1</v>
      </c>
      <c r="AK21">
        <v>1</v>
      </c>
      <c r="AL21">
        <v>4</v>
      </c>
      <c r="AO21">
        <v>2</v>
      </c>
      <c r="AR21">
        <v>3</v>
      </c>
      <c r="AS21">
        <v>2</v>
      </c>
      <c r="AT21">
        <v>1</v>
      </c>
      <c r="AY21">
        <v>1</v>
      </c>
      <c r="BE21">
        <v>2</v>
      </c>
      <c r="BF21">
        <v>1</v>
      </c>
    </row>
    <row r="22" spans="1:60" x14ac:dyDescent="0.35">
      <c r="A22" t="s">
        <v>375</v>
      </c>
      <c r="AW22">
        <v>1</v>
      </c>
    </row>
    <row r="23" spans="1:60" x14ac:dyDescent="0.35">
      <c r="A23" t="s">
        <v>6</v>
      </c>
      <c r="B23">
        <v>3</v>
      </c>
      <c r="E23">
        <v>2</v>
      </c>
      <c r="H23">
        <v>1</v>
      </c>
      <c r="L23">
        <v>2</v>
      </c>
      <c r="M23">
        <v>2</v>
      </c>
      <c r="N23">
        <v>6</v>
      </c>
      <c r="O23">
        <v>1</v>
      </c>
      <c r="Q23">
        <v>3</v>
      </c>
      <c r="R23">
        <v>1</v>
      </c>
      <c r="S23">
        <v>1</v>
      </c>
      <c r="T23">
        <v>3</v>
      </c>
      <c r="U23">
        <v>3</v>
      </c>
      <c r="V23">
        <v>6</v>
      </c>
      <c r="W23">
        <v>2</v>
      </c>
      <c r="X23">
        <v>3</v>
      </c>
      <c r="Y23">
        <v>1</v>
      </c>
      <c r="Z23">
        <v>3.5</v>
      </c>
      <c r="AA23">
        <v>3.5</v>
      </c>
      <c r="AB23">
        <v>3</v>
      </c>
      <c r="AC23">
        <v>1</v>
      </c>
      <c r="AE23">
        <v>10</v>
      </c>
      <c r="AF23">
        <v>3</v>
      </c>
      <c r="AG23">
        <v>3</v>
      </c>
      <c r="AH23">
        <v>2</v>
      </c>
      <c r="AJ23">
        <v>3</v>
      </c>
      <c r="AK23">
        <v>3</v>
      </c>
      <c r="AL23">
        <v>5</v>
      </c>
      <c r="AN23">
        <v>1</v>
      </c>
      <c r="AO23">
        <v>6</v>
      </c>
      <c r="AP23">
        <v>4</v>
      </c>
      <c r="AQ23">
        <v>3</v>
      </c>
      <c r="AR23">
        <v>4</v>
      </c>
      <c r="AS23">
        <v>2</v>
      </c>
      <c r="AT23">
        <v>4</v>
      </c>
      <c r="AU23">
        <v>4</v>
      </c>
      <c r="AV23">
        <v>6</v>
      </c>
      <c r="AW23">
        <v>1</v>
      </c>
      <c r="AY23">
        <v>4</v>
      </c>
      <c r="AZ23">
        <v>1</v>
      </c>
      <c r="BA23">
        <v>3</v>
      </c>
      <c r="BC23">
        <v>5</v>
      </c>
      <c r="BD23">
        <v>2</v>
      </c>
      <c r="BE23">
        <v>3</v>
      </c>
      <c r="BF23">
        <v>3</v>
      </c>
      <c r="BG23">
        <v>3</v>
      </c>
      <c r="BH23">
        <v>1</v>
      </c>
    </row>
    <row r="24" spans="1:60" x14ac:dyDescent="0.35">
      <c r="A24" t="s">
        <v>342</v>
      </c>
      <c r="T24">
        <v>4</v>
      </c>
      <c r="AH24">
        <v>1</v>
      </c>
      <c r="AK24">
        <v>1</v>
      </c>
    </row>
    <row r="25" spans="1:60" hidden="1" x14ac:dyDescent="0.35">
      <c r="A25" t="s">
        <v>52</v>
      </c>
    </row>
    <row r="26" spans="1:60" x14ac:dyDescent="0.35">
      <c r="A26" t="s">
        <v>78</v>
      </c>
    </row>
    <row r="27" spans="1:60" x14ac:dyDescent="0.35">
      <c r="A27" t="s">
        <v>12</v>
      </c>
      <c r="N27">
        <v>2</v>
      </c>
      <c r="U27">
        <v>1</v>
      </c>
      <c r="AI27">
        <v>1</v>
      </c>
    </row>
    <row r="28" spans="1:60" x14ac:dyDescent="0.35">
      <c r="A28" t="s">
        <v>4</v>
      </c>
      <c r="E28">
        <v>1</v>
      </c>
      <c r="F28">
        <v>3</v>
      </c>
      <c r="H28">
        <v>1</v>
      </c>
      <c r="J28">
        <v>1</v>
      </c>
      <c r="K28">
        <v>3</v>
      </c>
      <c r="P28">
        <v>3</v>
      </c>
      <c r="U28">
        <v>3</v>
      </c>
      <c r="W28">
        <v>1</v>
      </c>
      <c r="AD28">
        <v>1</v>
      </c>
      <c r="AF28">
        <v>1</v>
      </c>
      <c r="AH28">
        <v>1</v>
      </c>
      <c r="AI28">
        <v>1</v>
      </c>
      <c r="AJ28">
        <v>2</v>
      </c>
      <c r="AO28">
        <v>2</v>
      </c>
      <c r="AP28">
        <v>2</v>
      </c>
      <c r="AQ28">
        <v>4</v>
      </c>
      <c r="AR28">
        <v>2</v>
      </c>
      <c r="AT28">
        <v>1</v>
      </c>
      <c r="AU28">
        <v>2</v>
      </c>
      <c r="AV28">
        <v>1</v>
      </c>
      <c r="AW28">
        <v>1</v>
      </c>
      <c r="AX28">
        <v>1</v>
      </c>
      <c r="AZ28">
        <v>2</v>
      </c>
      <c r="BA28">
        <v>2</v>
      </c>
      <c r="BB28">
        <v>1</v>
      </c>
      <c r="BD28">
        <v>2</v>
      </c>
      <c r="BE28">
        <v>3</v>
      </c>
      <c r="BF28">
        <v>1</v>
      </c>
      <c r="BG28">
        <v>1</v>
      </c>
    </row>
    <row r="29" spans="1:60" x14ac:dyDescent="0.35">
      <c r="A29" t="s">
        <v>361</v>
      </c>
      <c r="AD29">
        <v>2</v>
      </c>
      <c r="AM29">
        <v>1</v>
      </c>
      <c r="AU29">
        <v>1</v>
      </c>
      <c r="BF29">
        <v>3</v>
      </c>
    </row>
    <row r="30" spans="1:60" x14ac:dyDescent="0.35">
      <c r="A30" t="s">
        <v>1</v>
      </c>
      <c r="B30">
        <v>1</v>
      </c>
      <c r="C30">
        <v>1</v>
      </c>
      <c r="D30">
        <v>1</v>
      </c>
      <c r="E30">
        <v>1</v>
      </c>
      <c r="F30">
        <v>2</v>
      </c>
      <c r="I30">
        <v>2</v>
      </c>
      <c r="J30">
        <v>1</v>
      </c>
      <c r="K30">
        <v>2</v>
      </c>
      <c r="L30">
        <v>1</v>
      </c>
      <c r="M30">
        <v>2</v>
      </c>
      <c r="N30">
        <v>1</v>
      </c>
      <c r="O30">
        <v>1</v>
      </c>
      <c r="P30">
        <v>2</v>
      </c>
      <c r="R30">
        <v>1</v>
      </c>
      <c r="T30">
        <v>1</v>
      </c>
      <c r="U30">
        <v>2</v>
      </c>
      <c r="Y30">
        <v>2</v>
      </c>
      <c r="AB30">
        <v>2</v>
      </c>
      <c r="AD30">
        <v>1</v>
      </c>
      <c r="AH30">
        <v>1</v>
      </c>
      <c r="AJ30">
        <v>1</v>
      </c>
      <c r="AN30">
        <v>2</v>
      </c>
      <c r="AO30">
        <v>1</v>
      </c>
      <c r="AP30">
        <v>2</v>
      </c>
      <c r="AQ30">
        <v>1</v>
      </c>
      <c r="AS30">
        <v>2</v>
      </c>
      <c r="AW30">
        <v>1</v>
      </c>
      <c r="AX30">
        <v>1</v>
      </c>
      <c r="AY30">
        <v>2</v>
      </c>
      <c r="AZ30">
        <v>2</v>
      </c>
      <c r="BA30">
        <v>1</v>
      </c>
      <c r="BB30">
        <v>2</v>
      </c>
      <c r="BC30">
        <v>4</v>
      </c>
      <c r="BD30">
        <v>1</v>
      </c>
      <c r="BE30">
        <v>1</v>
      </c>
      <c r="BG30">
        <v>2</v>
      </c>
      <c r="BH30">
        <v>3</v>
      </c>
    </row>
    <row r="31" spans="1:60" hidden="1" x14ac:dyDescent="0.35">
      <c r="A31" t="s">
        <v>351</v>
      </c>
      <c r="Z31">
        <v>1</v>
      </c>
    </row>
    <row r="32" spans="1:60" x14ac:dyDescent="0.35">
      <c r="A32" t="s">
        <v>9</v>
      </c>
      <c r="C32">
        <v>1</v>
      </c>
      <c r="D32">
        <v>1</v>
      </c>
      <c r="G32">
        <v>2</v>
      </c>
      <c r="H32">
        <v>2</v>
      </c>
      <c r="I32">
        <v>1</v>
      </c>
      <c r="J32">
        <v>1</v>
      </c>
      <c r="K32">
        <v>2</v>
      </c>
      <c r="L32">
        <v>5</v>
      </c>
      <c r="M32">
        <v>1</v>
      </c>
      <c r="O32">
        <v>4</v>
      </c>
      <c r="P32">
        <v>1</v>
      </c>
      <c r="Q32">
        <v>2</v>
      </c>
      <c r="T32">
        <v>6</v>
      </c>
      <c r="X32">
        <v>2</v>
      </c>
      <c r="Y32">
        <v>2</v>
      </c>
      <c r="Z32">
        <v>1</v>
      </c>
      <c r="AA32">
        <v>1</v>
      </c>
      <c r="AB32">
        <v>1</v>
      </c>
      <c r="AC32">
        <v>3</v>
      </c>
      <c r="AF32">
        <v>4</v>
      </c>
      <c r="AI32">
        <v>1</v>
      </c>
      <c r="AL32">
        <v>1</v>
      </c>
      <c r="AN32">
        <v>1</v>
      </c>
      <c r="AR32">
        <v>2</v>
      </c>
      <c r="AS32">
        <v>3</v>
      </c>
      <c r="AT32">
        <v>1</v>
      </c>
      <c r="AW32">
        <v>2</v>
      </c>
      <c r="AX32">
        <v>5</v>
      </c>
      <c r="AY32">
        <v>3</v>
      </c>
      <c r="AZ32">
        <v>1</v>
      </c>
      <c r="BA32">
        <v>3</v>
      </c>
      <c r="BB32">
        <v>2</v>
      </c>
      <c r="BD32">
        <v>3</v>
      </c>
      <c r="BF32">
        <v>3</v>
      </c>
      <c r="BG32">
        <v>4</v>
      </c>
      <c r="BH32">
        <v>3</v>
      </c>
    </row>
    <row r="33" spans="1:60" x14ac:dyDescent="0.35">
      <c r="A33" t="s">
        <v>382</v>
      </c>
      <c r="BG33">
        <v>2</v>
      </c>
    </row>
    <row r="34" spans="1:60" x14ac:dyDescent="0.35">
      <c r="A34" t="s">
        <v>20</v>
      </c>
      <c r="B34">
        <v>1</v>
      </c>
      <c r="D34">
        <v>1</v>
      </c>
      <c r="F34">
        <v>2</v>
      </c>
      <c r="G34">
        <v>2</v>
      </c>
      <c r="H34">
        <v>4</v>
      </c>
      <c r="J34">
        <v>2</v>
      </c>
      <c r="K34">
        <v>2</v>
      </c>
      <c r="L34">
        <v>1</v>
      </c>
      <c r="M34">
        <v>1</v>
      </c>
      <c r="P34">
        <v>1</v>
      </c>
      <c r="Q34">
        <v>1</v>
      </c>
      <c r="R34">
        <v>3</v>
      </c>
      <c r="S34">
        <v>2</v>
      </c>
      <c r="T34">
        <v>2</v>
      </c>
      <c r="U34">
        <v>2</v>
      </c>
      <c r="W34">
        <v>3</v>
      </c>
      <c r="X34">
        <v>3</v>
      </c>
      <c r="Y34">
        <v>2</v>
      </c>
      <c r="AA34">
        <v>2</v>
      </c>
      <c r="AB34">
        <v>2</v>
      </c>
      <c r="AC34">
        <v>2</v>
      </c>
      <c r="AE34">
        <v>2</v>
      </c>
      <c r="AF34">
        <v>1</v>
      </c>
      <c r="AG34">
        <v>2</v>
      </c>
      <c r="AJ34">
        <v>4</v>
      </c>
      <c r="AK34">
        <v>2</v>
      </c>
      <c r="AM34">
        <v>1</v>
      </c>
      <c r="AN34">
        <v>1</v>
      </c>
      <c r="AO34">
        <v>1</v>
      </c>
      <c r="AP34">
        <v>1</v>
      </c>
      <c r="AU34">
        <v>1</v>
      </c>
      <c r="AV34">
        <v>1</v>
      </c>
      <c r="AW34">
        <v>2</v>
      </c>
      <c r="BA34">
        <v>1</v>
      </c>
      <c r="BH34">
        <v>2</v>
      </c>
    </row>
    <row r="35" spans="1:60" x14ac:dyDescent="0.35">
      <c r="A35" t="s">
        <v>80</v>
      </c>
      <c r="F35">
        <v>1</v>
      </c>
    </row>
    <row r="36" spans="1:60" hidden="1" x14ac:dyDescent="0.35">
      <c r="A36" t="s">
        <v>61</v>
      </c>
      <c r="D36">
        <v>1</v>
      </c>
    </row>
    <row r="37" spans="1:60" x14ac:dyDescent="0.35">
      <c r="A37" t="s">
        <v>374</v>
      </c>
      <c r="AW37">
        <v>2</v>
      </c>
    </row>
    <row r="38" spans="1:60" x14ac:dyDescent="0.35">
      <c r="A38" t="s">
        <v>19</v>
      </c>
      <c r="B38">
        <v>2</v>
      </c>
      <c r="C38">
        <v>1</v>
      </c>
      <c r="D38">
        <v>1</v>
      </c>
      <c r="F38">
        <v>4</v>
      </c>
      <c r="G38">
        <v>3</v>
      </c>
      <c r="H38">
        <v>1</v>
      </c>
      <c r="I38">
        <v>1</v>
      </c>
      <c r="M38">
        <v>2</v>
      </c>
      <c r="N38">
        <v>3</v>
      </c>
      <c r="T38">
        <v>1</v>
      </c>
      <c r="X38">
        <v>1</v>
      </c>
      <c r="AA38">
        <v>2</v>
      </c>
      <c r="AB38">
        <v>2</v>
      </c>
      <c r="AC38">
        <v>1</v>
      </c>
      <c r="AD38">
        <v>2</v>
      </c>
      <c r="AE38">
        <v>1</v>
      </c>
      <c r="AG38">
        <v>1</v>
      </c>
      <c r="AH38">
        <v>2</v>
      </c>
      <c r="AJ38">
        <v>1</v>
      </c>
      <c r="AM38">
        <v>4</v>
      </c>
      <c r="AN38">
        <v>1</v>
      </c>
      <c r="AP38">
        <v>1</v>
      </c>
      <c r="AR38">
        <v>1</v>
      </c>
      <c r="AS38">
        <v>1</v>
      </c>
      <c r="AT38">
        <v>1</v>
      </c>
      <c r="AV38">
        <v>1</v>
      </c>
      <c r="AZ38">
        <v>2</v>
      </c>
      <c r="BA38">
        <v>1</v>
      </c>
      <c r="BC38">
        <v>3</v>
      </c>
      <c r="BD38">
        <v>1</v>
      </c>
    </row>
    <row r="39" spans="1:60" x14ac:dyDescent="0.35">
      <c r="A39" t="s">
        <v>43</v>
      </c>
      <c r="AQ39">
        <v>2</v>
      </c>
    </row>
    <row r="40" spans="1:60" x14ac:dyDescent="0.35">
      <c r="A40" t="s">
        <v>68</v>
      </c>
      <c r="E40">
        <v>1</v>
      </c>
      <c r="I40">
        <v>1</v>
      </c>
      <c r="N40">
        <v>1</v>
      </c>
      <c r="W40">
        <v>2</v>
      </c>
      <c r="AQ40">
        <v>1</v>
      </c>
    </row>
    <row r="41" spans="1:60" hidden="1" x14ac:dyDescent="0.35">
      <c r="A41" t="s">
        <v>53</v>
      </c>
      <c r="N41">
        <v>1</v>
      </c>
    </row>
    <row r="42" spans="1:60" x14ac:dyDescent="0.35">
      <c r="A42" t="s">
        <v>368</v>
      </c>
      <c r="AM42">
        <v>5</v>
      </c>
      <c r="BB42">
        <v>9</v>
      </c>
    </row>
    <row r="43" spans="1:60" x14ac:dyDescent="0.35">
      <c r="A43" t="s">
        <v>345</v>
      </c>
      <c r="U43">
        <v>1</v>
      </c>
    </row>
    <row r="44" spans="1:60" x14ac:dyDescent="0.35">
      <c r="A44" t="s">
        <v>343</v>
      </c>
      <c r="AN44">
        <v>1</v>
      </c>
    </row>
    <row r="45" spans="1:60" x14ac:dyDescent="0.35">
      <c r="A45" t="s">
        <v>344</v>
      </c>
      <c r="X45">
        <v>1</v>
      </c>
      <c r="Y45">
        <v>2</v>
      </c>
      <c r="AF45">
        <v>2</v>
      </c>
    </row>
    <row r="46" spans="1:60" x14ac:dyDescent="0.35">
      <c r="A46" t="s">
        <v>10</v>
      </c>
      <c r="B46">
        <v>2</v>
      </c>
      <c r="C46">
        <v>3</v>
      </c>
      <c r="F46">
        <v>2</v>
      </c>
      <c r="I46">
        <v>2</v>
      </c>
      <c r="J46">
        <v>2</v>
      </c>
      <c r="K46">
        <v>1</v>
      </c>
      <c r="L46">
        <v>1</v>
      </c>
      <c r="M46">
        <v>1</v>
      </c>
      <c r="O46">
        <v>2</v>
      </c>
      <c r="R46">
        <v>3</v>
      </c>
      <c r="S46">
        <v>1</v>
      </c>
      <c r="T46">
        <v>1</v>
      </c>
      <c r="V46">
        <v>1</v>
      </c>
      <c r="W46">
        <v>3</v>
      </c>
      <c r="X46">
        <v>1</v>
      </c>
      <c r="Y46">
        <v>1</v>
      </c>
      <c r="Z46">
        <v>1.5</v>
      </c>
      <c r="AC46">
        <v>1</v>
      </c>
      <c r="AD46">
        <v>2</v>
      </c>
      <c r="AE46">
        <v>1</v>
      </c>
      <c r="AF46">
        <v>2</v>
      </c>
      <c r="AH46">
        <v>2</v>
      </c>
      <c r="AL46">
        <v>3</v>
      </c>
      <c r="AP46">
        <v>2</v>
      </c>
      <c r="AQ46">
        <v>4</v>
      </c>
      <c r="AR46">
        <v>3</v>
      </c>
      <c r="AS46">
        <v>0.5</v>
      </c>
      <c r="AU46">
        <v>2</v>
      </c>
      <c r="AV46">
        <v>1</v>
      </c>
      <c r="BC46">
        <v>1</v>
      </c>
      <c r="BD46">
        <v>1</v>
      </c>
      <c r="BE46">
        <v>7</v>
      </c>
      <c r="BH46">
        <v>1</v>
      </c>
    </row>
    <row r="47" spans="1:60" x14ac:dyDescent="0.35">
      <c r="A47" t="s">
        <v>46</v>
      </c>
      <c r="B47">
        <v>1</v>
      </c>
      <c r="O47">
        <v>3</v>
      </c>
      <c r="P47">
        <v>1</v>
      </c>
      <c r="Q47">
        <v>2</v>
      </c>
      <c r="AM47">
        <v>1</v>
      </c>
      <c r="AN47">
        <v>1</v>
      </c>
      <c r="AP47">
        <v>1</v>
      </c>
      <c r="AS47">
        <v>1</v>
      </c>
      <c r="AV47">
        <v>1</v>
      </c>
      <c r="AX47">
        <v>5</v>
      </c>
      <c r="AY47">
        <v>1</v>
      </c>
      <c r="BA47">
        <v>2</v>
      </c>
      <c r="BB47">
        <v>4</v>
      </c>
      <c r="BE47">
        <v>3</v>
      </c>
      <c r="BF47">
        <v>2</v>
      </c>
      <c r="BH47">
        <v>3</v>
      </c>
    </row>
    <row r="48" spans="1:60" x14ac:dyDescent="0.35">
      <c r="A48" t="s">
        <v>377</v>
      </c>
    </row>
    <row r="49" spans="1:60" x14ac:dyDescent="0.35">
      <c r="A49" t="s">
        <v>3</v>
      </c>
      <c r="F49">
        <v>3</v>
      </c>
      <c r="L49">
        <v>1</v>
      </c>
      <c r="S49">
        <v>3</v>
      </c>
      <c r="AH49">
        <v>1</v>
      </c>
    </row>
    <row r="50" spans="1:60" hidden="1" x14ac:dyDescent="0.35">
      <c r="A50" t="s">
        <v>350</v>
      </c>
    </row>
    <row r="51" spans="1:60" x14ac:dyDescent="0.35">
      <c r="A51" t="s">
        <v>56</v>
      </c>
      <c r="C51">
        <v>3</v>
      </c>
      <c r="E51">
        <v>2</v>
      </c>
      <c r="F51">
        <v>1</v>
      </c>
      <c r="G51">
        <v>2</v>
      </c>
      <c r="I51">
        <v>1</v>
      </c>
      <c r="J51">
        <v>1</v>
      </c>
      <c r="K51">
        <v>1</v>
      </c>
      <c r="L51">
        <v>1</v>
      </c>
      <c r="M51">
        <v>1</v>
      </c>
      <c r="P51">
        <v>1</v>
      </c>
      <c r="R51">
        <v>1</v>
      </c>
      <c r="S51">
        <v>4</v>
      </c>
      <c r="T51">
        <v>1</v>
      </c>
      <c r="V51">
        <v>1</v>
      </c>
      <c r="W51">
        <v>2</v>
      </c>
      <c r="Z51">
        <v>2</v>
      </c>
      <c r="AA51">
        <v>1</v>
      </c>
      <c r="AB51">
        <v>4</v>
      </c>
      <c r="AC51">
        <v>1</v>
      </c>
      <c r="AD51">
        <v>1</v>
      </c>
      <c r="AX51">
        <v>1</v>
      </c>
      <c r="AY51">
        <v>1</v>
      </c>
      <c r="AZ51">
        <v>2</v>
      </c>
      <c r="BD51">
        <v>1</v>
      </c>
      <c r="BF51">
        <v>1</v>
      </c>
      <c r="BH51">
        <v>1</v>
      </c>
    </row>
    <row r="52" spans="1:60" x14ac:dyDescent="0.35">
      <c r="A52" t="s">
        <v>369</v>
      </c>
      <c r="AN52">
        <v>3</v>
      </c>
    </row>
    <row r="53" spans="1:60" x14ac:dyDescent="0.35">
      <c r="A53" t="s">
        <v>60</v>
      </c>
      <c r="B53">
        <v>2</v>
      </c>
      <c r="BF53">
        <v>1</v>
      </c>
    </row>
    <row r="54" spans="1:60" x14ac:dyDescent="0.35">
      <c r="A54" t="s">
        <v>340</v>
      </c>
      <c r="Q54">
        <v>1</v>
      </c>
      <c r="U54">
        <v>1</v>
      </c>
      <c r="W54">
        <v>1</v>
      </c>
      <c r="X54">
        <v>3</v>
      </c>
      <c r="Y54">
        <v>1</v>
      </c>
      <c r="Z54">
        <v>1</v>
      </c>
    </row>
    <row r="55" spans="1:60" x14ac:dyDescent="0.35">
      <c r="A55" t="s">
        <v>339</v>
      </c>
    </row>
    <row r="56" spans="1:60" x14ac:dyDescent="0.35">
      <c r="A56" t="s">
        <v>11</v>
      </c>
    </row>
    <row r="57" spans="1:60" x14ac:dyDescent="0.35">
      <c r="A57" t="s">
        <v>55</v>
      </c>
      <c r="B57">
        <v>2</v>
      </c>
      <c r="C57">
        <v>1</v>
      </c>
      <c r="D57">
        <v>1</v>
      </c>
      <c r="E57">
        <v>1</v>
      </c>
      <c r="F57">
        <v>3</v>
      </c>
      <c r="G57">
        <v>2</v>
      </c>
      <c r="H57">
        <v>3</v>
      </c>
      <c r="J57">
        <v>1</v>
      </c>
      <c r="K57">
        <v>1</v>
      </c>
      <c r="M57">
        <v>3</v>
      </c>
      <c r="N57">
        <v>4</v>
      </c>
      <c r="X57">
        <v>6</v>
      </c>
      <c r="Y57">
        <v>5</v>
      </c>
      <c r="Z57">
        <v>1</v>
      </c>
      <c r="AD57">
        <v>2</v>
      </c>
      <c r="AG57">
        <v>3</v>
      </c>
      <c r="AJ57">
        <v>2</v>
      </c>
      <c r="AM57">
        <v>2</v>
      </c>
      <c r="AO57">
        <v>3</v>
      </c>
      <c r="AQ57">
        <v>2</v>
      </c>
      <c r="AT57">
        <v>1</v>
      </c>
      <c r="AU57">
        <v>4</v>
      </c>
      <c r="AV57">
        <v>2</v>
      </c>
      <c r="AX57">
        <v>1</v>
      </c>
      <c r="AY57">
        <v>2</v>
      </c>
      <c r="AZ57">
        <v>1</v>
      </c>
      <c r="BA57">
        <v>4</v>
      </c>
      <c r="BB57">
        <v>2</v>
      </c>
      <c r="BH57">
        <v>1</v>
      </c>
    </row>
    <row r="58" spans="1:60" x14ac:dyDescent="0.35">
      <c r="A58" t="s">
        <v>21</v>
      </c>
    </row>
    <row r="59" spans="1:60" x14ac:dyDescent="0.35">
      <c r="A59" t="s">
        <v>81</v>
      </c>
      <c r="G59">
        <v>3</v>
      </c>
      <c r="K59">
        <v>1</v>
      </c>
      <c r="BG59">
        <v>2</v>
      </c>
    </row>
    <row r="60" spans="1:60" x14ac:dyDescent="0.35">
      <c r="A60" t="s">
        <v>63</v>
      </c>
      <c r="B60">
        <v>2</v>
      </c>
      <c r="D60">
        <v>1</v>
      </c>
      <c r="AF60">
        <v>2</v>
      </c>
      <c r="AQ60">
        <v>3</v>
      </c>
      <c r="BF60">
        <v>1</v>
      </c>
    </row>
    <row r="61" spans="1:60" hidden="1" x14ac:dyDescent="0.35">
      <c r="A61" t="s">
        <v>83</v>
      </c>
    </row>
    <row r="62" spans="1:60" x14ac:dyDescent="0.35">
      <c r="A62" t="s">
        <v>22</v>
      </c>
      <c r="Y62">
        <v>1</v>
      </c>
      <c r="AB62">
        <v>2</v>
      </c>
      <c r="AD62">
        <v>3</v>
      </c>
      <c r="AI62">
        <v>1</v>
      </c>
      <c r="AR62">
        <v>4</v>
      </c>
      <c r="AV62">
        <v>3</v>
      </c>
      <c r="BA62">
        <v>2</v>
      </c>
      <c r="BB62">
        <v>5</v>
      </c>
      <c r="BE62">
        <v>6</v>
      </c>
    </row>
    <row r="63" spans="1:60" x14ac:dyDescent="0.35">
      <c r="A63" t="s">
        <v>376</v>
      </c>
      <c r="AU63">
        <v>1</v>
      </c>
      <c r="AV63">
        <v>1</v>
      </c>
      <c r="AW63">
        <v>3</v>
      </c>
      <c r="AX63">
        <v>1</v>
      </c>
      <c r="AZ63">
        <v>1</v>
      </c>
      <c r="BC63">
        <v>2</v>
      </c>
    </row>
    <row r="64" spans="1:60" x14ac:dyDescent="0.35">
      <c r="A64" t="s">
        <v>44</v>
      </c>
      <c r="N64">
        <v>3</v>
      </c>
      <c r="S64">
        <v>2</v>
      </c>
      <c r="AG64">
        <v>2</v>
      </c>
      <c r="AI64">
        <v>1</v>
      </c>
      <c r="AP64">
        <v>2</v>
      </c>
      <c r="AQ64">
        <v>1</v>
      </c>
      <c r="AR64">
        <v>3</v>
      </c>
      <c r="AW64">
        <v>1</v>
      </c>
      <c r="BA64">
        <v>1</v>
      </c>
      <c r="BE64">
        <v>1</v>
      </c>
    </row>
    <row r="65" spans="1:60" x14ac:dyDescent="0.35">
      <c r="A65" t="s">
        <v>379</v>
      </c>
      <c r="BF65">
        <v>1</v>
      </c>
      <c r="BG65">
        <v>1</v>
      </c>
    </row>
    <row r="66" spans="1:60" x14ac:dyDescent="0.35">
      <c r="A66" t="s">
        <v>8</v>
      </c>
      <c r="B66">
        <v>1</v>
      </c>
      <c r="H66">
        <v>1</v>
      </c>
      <c r="J66">
        <v>2</v>
      </c>
      <c r="Q66">
        <v>2</v>
      </c>
    </row>
    <row r="67" spans="1:60" hidden="1" x14ac:dyDescent="0.35">
      <c r="A67" t="s">
        <v>354</v>
      </c>
    </row>
    <row r="68" spans="1:60" x14ac:dyDescent="0.35">
      <c r="A68" t="s">
        <v>82</v>
      </c>
      <c r="B68">
        <v>2</v>
      </c>
      <c r="C68">
        <v>2</v>
      </c>
      <c r="D68">
        <v>1</v>
      </c>
      <c r="E68">
        <v>2</v>
      </c>
      <c r="F68">
        <v>1</v>
      </c>
      <c r="G68">
        <v>2</v>
      </c>
      <c r="H68">
        <v>2</v>
      </c>
      <c r="I68">
        <v>3</v>
      </c>
      <c r="J68">
        <v>4</v>
      </c>
      <c r="L68">
        <v>4</v>
      </c>
      <c r="M68">
        <v>1</v>
      </c>
      <c r="N68">
        <v>2</v>
      </c>
      <c r="O68">
        <v>1</v>
      </c>
      <c r="P68">
        <v>1</v>
      </c>
      <c r="Q68">
        <v>1</v>
      </c>
      <c r="R68">
        <v>3</v>
      </c>
      <c r="S68">
        <v>3</v>
      </c>
      <c r="U68">
        <v>3</v>
      </c>
      <c r="V68">
        <v>1</v>
      </c>
      <c r="W68">
        <v>3</v>
      </c>
      <c r="AC68">
        <v>1</v>
      </c>
      <c r="AF68">
        <v>1</v>
      </c>
      <c r="AH68">
        <v>2</v>
      </c>
      <c r="AI68">
        <v>3</v>
      </c>
      <c r="AJ68">
        <v>1</v>
      </c>
      <c r="AK68">
        <v>4</v>
      </c>
      <c r="AL68">
        <v>3</v>
      </c>
      <c r="AN68">
        <v>1</v>
      </c>
      <c r="AP68">
        <v>2</v>
      </c>
      <c r="AT68">
        <v>2</v>
      </c>
      <c r="AU68">
        <v>3</v>
      </c>
      <c r="AV68">
        <v>1</v>
      </c>
      <c r="AW68">
        <v>1</v>
      </c>
      <c r="AX68">
        <v>1</v>
      </c>
      <c r="AY68">
        <v>1</v>
      </c>
      <c r="AZ68">
        <v>2</v>
      </c>
      <c r="BC68">
        <v>2</v>
      </c>
      <c r="BD68">
        <v>1</v>
      </c>
      <c r="BF68">
        <v>2</v>
      </c>
      <c r="BH68">
        <v>3</v>
      </c>
    </row>
    <row r="69" spans="1:60" x14ac:dyDescent="0.35">
      <c r="A69" t="s">
        <v>49</v>
      </c>
      <c r="G69">
        <v>2</v>
      </c>
    </row>
    <row r="70" spans="1:60" x14ac:dyDescent="0.35">
      <c r="A70" t="s">
        <v>85</v>
      </c>
      <c r="K70">
        <v>4</v>
      </c>
      <c r="L70">
        <v>2</v>
      </c>
      <c r="M70">
        <v>5</v>
      </c>
    </row>
    <row r="71" spans="1:60" x14ac:dyDescent="0.35">
      <c r="A71" t="s">
        <v>5</v>
      </c>
      <c r="B71">
        <v>1</v>
      </c>
      <c r="C71">
        <v>2</v>
      </c>
      <c r="D71">
        <v>2</v>
      </c>
      <c r="E71">
        <v>3</v>
      </c>
      <c r="F71">
        <v>2</v>
      </c>
      <c r="G71">
        <v>3</v>
      </c>
      <c r="H71">
        <v>1</v>
      </c>
      <c r="M71">
        <v>4</v>
      </c>
      <c r="N71">
        <v>6</v>
      </c>
      <c r="P71">
        <v>2</v>
      </c>
      <c r="Q71">
        <v>1</v>
      </c>
      <c r="R71">
        <v>2</v>
      </c>
      <c r="S71">
        <v>3</v>
      </c>
      <c r="V71">
        <v>2</v>
      </c>
      <c r="W71">
        <v>1</v>
      </c>
      <c r="X71">
        <v>1</v>
      </c>
      <c r="Y71">
        <v>4</v>
      </c>
      <c r="Z71">
        <v>5</v>
      </c>
      <c r="AA71">
        <v>1</v>
      </c>
      <c r="AB71">
        <v>3</v>
      </c>
      <c r="AC71">
        <v>4</v>
      </c>
      <c r="AD71">
        <v>3</v>
      </c>
      <c r="AE71">
        <v>3</v>
      </c>
      <c r="AF71">
        <v>2</v>
      </c>
      <c r="AG71">
        <v>5</v>
      </c>
      <c r="AH71">
        <v>7</v>
      </c>
      <c r="AI71">
        <v>3</v>
      </c>
      <c r="AJ71">
        <v>1</v>
      </c>
      <c r="AK71">
        <v>1</v>
      </c>
      <c r="AL71">
        <v>6</v>
      </c>
      <c r="AR71">
        <v>3</v>
      </c>
      <c r="AS71">
        <v>2</v>
      </c>
      <c r="AV71">
        <v>2</v>
      </c>
      <c r="AW71">
        <v>1</v>
      </c>
      <c r="AX71">
        <v>4</v>
      </c>
      <c r="AY71">
        <v>3</v>
      </c>
      <c r="AZ71">
        <v>4</v>
      </c>
      <c r="BA71">
        <v>5</v>
      </c>
      <c r="BB71">
        <v>6</v>
      </c>
      <c r="BC71">
        <v>2</v>
      </c>
      <c r="BD71">
        <v>2</v>
      </c>
      <c r="BE71">
        <v>7</v>
      </c>
      <c r="BG71">
        <v>4</v>
      </c>
      <c r="BH71">
        <v>3</v>
      </c>
    </row>
    <row r="72" spans="1:60" x14ac:dyDescent="0.35">
      <c r="A72" t="s">
        <v>45</v>
      </c>
      <c r="K72">
        <v>1</v>
      </c>
    </row>
    <row r="73" spans="1:60" x14ac:dyDescent="0.35">
      <c r="A73" t="s">
        <v>367</v>
      </c>
      <c r="B73">
        <v>1</v>
      </c>
      <c r="D73">
        <v>1</v>
      </c>
      <c r="E73">
        <v>3</v>
      </c>
      <c r="O73">
        <v>2</v>
      </c>
      <c r="P73">
        <v>2</v>
      </c>
      <c r="Q73">
        <v>1</v>
      </c>
      <c r="R73">
        <v>1</v>
      </c>
      <c r="AD73">
        <v>1</v>
      </c>
      <c r="AE73">
        <v>1</v>
      </c>
      <c r="AG73">
        <v>1</v>
      </c>
      <c r="AH73">
        <v>2</v>
      </c>
      <c r="AL73">
        <v>3</v>
      </c>
      <c r="AM73">
        <v>2</v>
      </c>
      <c r="AN73">
        <v>1</v>
      </c>
      <c r="AO73">
        <v>1</v>
      </c>
      <c r="AR73">
        <v>1</v>
      </c>
      <c r="AS73">
        <v>1</v>
      </c>
      <c r="AT73">
        <v>1</v>
      </c>
      <c r="AV73">
        <v>1</v>
      </c>
      <c r="AW73">
        <v>2</v>
      </c>
      <c r="BD73">
        <v>1</v>
      </c>
      <c r="BF73">
        <v>1</v>
      </c>
    </row>
    <row r="74" spans="1:60" hidden="1" x14ac:dyDescent="0.35">
      <c r="A74" t="s">
        <v>352</v>
      </c>
      <c r="Z74">
        <v>1</v>
      </c>
    </row>
    <row r="75" spans="1:60" hidden="1" x14ac:dyDescent="0.35">
      <c r="A75" t="s">
        <v>366</v>
      </c>
    </row>
    <row r="76" spans="1:60" x14ac:dyDescent="0.35">
      <c r="A76" t="s">
        <v>17</v>
      </c>
      <c r="F76">
        <v>2</v>
      </c>
      <c r="J76">
        <v>1</v>
      </c>
      <c r="K76">
        <v>1</v>
      </c>
    </row>
    <row r="77" spans="1:60" hidden="1" x14ac:dyDescent="0.35">
      <c r="A77" t="s">
        <v>86</v>
      </c>
      <c r="K77">
        <v>5</v>
      </c>
    </row>
    <row r="78" spans="1:60" x14ac:dyDescent="0.35">
      <c r="A78" t="s">
        <v>16</v>
      </c>
      <c r="C78">
        <v>4</v>
      </c>
      <c r="D78">
        <v>3</v>
      </c>
      <c r="F78">
        <v>2</v>
      </c>
      <c r="G78">
        <v>5</v>
      </c>
      <c r="H78">
        <v>3</v>
      </c>
      <c r="I78">
        <v>2</v>
      </c>
      <c r="J78">
        <v>5</v>
      </c>
      <c r="K78">
        <v>3</v>
      </c>
      <c r="L78">
        <v>2</v>
      </c>
      <c r="M78">
        <v>3</v>
      </c>
      <c r="O78">
        <v>5</v>
      </c>
      <c r="P78">
        <v>5</v>
      </c>
      <c r="Q78">
        <v>3</v>
      </c>
      <c r="R78">
        <v>2</v>
      </c>
      <c r="S78">
        <v>3</v>
      </c>
      <c r="T78">
        <v>1</v>
      </c>
      <c r="U78">
        <v>1</v>
      </c>
      <c r="V78">
        <v>3</v>
      </c>
      <c r="W78">
        <v>3</v>
      </c>
      <c r="X78">
        <v>5</v>
      </c>
      <c r="Y78">
        <v>4</v>
      </c>
      <c r="Z78">
        <v>1</v>
      </c>
      <c r="AA78">
        <v>3</v>
      </c>
      <c r="AC78">
        <v>1</v>
      </c>
      <c r="AE78">
        <v>4</v>
      </c>
      <c r="AF78">
        <v>2</v>
      </c>
      <c r="AG78">
        <v>3</v>
      </c>
      <c r="AH78">
        <v>2</v>
      </c>
      <c r="AI78">
        <v>2</v>
      </c>
      <c r="AJ78">
        <v>7</v>
      </c>
      <c r="AK78">
        <v>3</v>
      </c>
      <c r="AL78">
        <v>5</v>
      </c>
      <c r="AM78">
        <v>1</v>
      </c>
      <c r="AN78">
        <v>4</v>
      </c>
      <c r="AO78">
        <v>3</v>
      </c>
      <c r="AP78">
        <v>6</v>
      </c>
      <c r="AQ78">
        <v>4</v>
      </c>
      <c r="AR78">
        <v>5</v>
      </c>
      <c r="AS78">
        <v>3</v>
      </c>
      <c r="AT78">
        <v>2</v>
      </c>
      <c r="AU78">
        <v>2</v>
      </c>
      <c r="AW78">
        <v>3</v>
      </c>
      <c r="AY78">
        <v>1</v>
      </c>
      <c r="AZ78">
        <v>3</v>
      </c>
      <c r="BB78">
        <v>4</v>
      </c>
      <c r="BC78">
        <v>4</v>
      </c>
      <c r="BD78">
        <v>3</v>
      </c>
      <c r="BF78">
        <v>2</v>
      </c>
      <c r="BG78">
        <v>4</v>
      </c>
      <c r="BH78">
        <v>5</v>
      </c>
    </row>
    <row r="79" spans="1:60" hidden="1" x14ac:dyDescent="0.35">
      <c r="A79" t="s">
        <v>47</v>
      </c>
    </row>
  </sheetData>
  <autoFilter ref="A1:AB79" xr:uid="{130C2564-D265-4C41-A3E0-02A62EDAC91D}">
    <sortState ref="A2:AB79">
      <sortCondition ref="A1:A79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2025-12-11T12:32:52Z</dcterms:modified>
</cp:coreProperties>
</file>