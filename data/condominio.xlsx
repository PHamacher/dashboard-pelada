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16" documentId="14_{0C1905BB-B4B8-4F5B-9F29-FEFBC7ECF02C}" xr6:coauthVersionLast="36" xr6:coauthVersionMax="36" xr10:uidLastSave="{3C1165B0-6E15-482B-A397-DF951961618B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artilharia!$A$1:$AB$87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notas!$A$1:$CW$83</definedName>
  </definedNames>
  <calcPr calcId="191029"/>
</workbook>
</file>

<file path=xl/calcChain.xml><?xml version="1.0" encoding="utf-8"?>
<calcChain xmlns="http://schemas.openxmlformats.org/spreadsheetml/2006/main">
  <c r="CR87" i="1" l="1"/>
  <c r="CS87" i="1"/>
  <c r="CT87" i="1"/>
  <c r="CV87" i="1"/>
  <c r="CW87" i="1"/>
  <c r="CR85" i="1"/>
  <c r="CS85" i="1"/>
  <c r="CT85" i="1"/>
  <c r="CV85" i="1"/>
  <c r="CW85" i="1"/>
  <c r="CR86" i="1"/>
  <c r="CT86" i="1" s="1"/>
  <c r="CS86" i="1"/>
  <c r="CV86" i="1"/>
  <c r="CW86" i="1"/>
  <c r="CR32" i="1"/>
  <c r="CS32" i="1"/>
  <c r="CR12" i="1"/>
  <c r="CS12" i="1"/>
  <c r="CR2" i="1"/>
  <c r="CS2" i="1"/>
  <c r="W87" i="4" l="1"/>
  <c r="CR84" i="1" l="1"/>
  <c r="CT84" i="1" s="1"/>
  <c r="CS84" i="1"/>
  <c r="CV84" i="1"/>
  <c r="CW84" i="1"/>
  <c r="W85" i="4" l="1"/>
  <c r="V87" i="4"/>
  <c r="U87" i="4" l="1"/>
  <c r="W19" i="4"/>
  <c r="W86" i="4"/>
  <c r="CV3" i="1"/>
  <c r="CV4" i="1"/>
  <c r="CV6" i="1"/>
  <c r="CV7" i="1"/>
  <c r="CV5" i="1"/>
  <c r="CV10" i="1"/>
  <c r="CV11" i="1"/>
  <c r="CV12" i="1"/>
  <c r="CV13" i="1"/>
  <c r="CV16" i="1"/>
  <c r="CV17" i="1"/>
  <c r="CV18" i="1"/>
  <c r="CV21" i="1"/>
  <c r="CV22" i="1"/>
  <c r="CV20" i="1"/>
  <c r="CV23" i="1"/>
  <c r="CV32" i="1"/>
  <c r="CV8" i="1"/>
  <c r="CV9" i="1"/>
  <c r="CV14" i="1"/>
  <c r="CV15" i="1"/>
  <c r="CV19" i="1"/>
  <c r="CV24" i="1"/>
  <c r="CV25" i="1"/>
  <c r="CV26" i="1"/>
  <c r="CV27" i="1"/>
  <c r="CV28" i="1"/>
  <c r="CV29" i="1"/>
  <c r="CV30" i="1"/>
  <c r="CV31" i="1"/>
  <c r="CV33" i="1"/>
  <c r="CV34" i="1"/>
  <c r="CV35" i="1"/>
  <c r="CV36" i="1"/>
  <c r="CV37" i="1"/>
  <c r="CV38" i="1"/>
  <c r="CV39" i="1"/>
  <c r="CV40" i="1"/>
  <c r="CV42" i="1"/>
  <c r="CV43" i="1"/>
  <c r="CV44" i="1"/>
  <c r="CV45" i="1"/>
  <c r="CV46" i="1"/>
  <c r="CV47" i="1"/>
  <c r="CV41" i="1"/>
  <c r="CV48" i="1"/>
  <c r="CV49" i="1"/>
  <c r="CV50" i="1"/>
  <c r="CV53" i="1"/>
  <c r="CV54" i="1"/>
  <c r="CV55" i="1"/>
  <c r="CV56" i="1"/>
  <c r="CV57" i="1"/>
  <c r="CV58" i="1"/>
  <c r="CV51" i="1"/>
  <c r="CV52" i="1"/>
  <c r="CV59" i="1"/>
  <c r="CV60" i="1"/>
  <c r="CV64" i="1"/>
  <c r="CV65" i="1"/>
  <c r="CV66" i="1"/>
  <c r="CV67" i="1"/>
  <c r="CV68" i="1"/>
  <c r="CV61" i="1"/>
  <c r="CV69" i="1"/>
  <c r="CV62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63" i="1"/>
  <c r="CV82" i="1"/>
  <c r="CV83" i="1"/>
  <c r="CV2" i="1"/>
  <c r="W88" i="4" l="1"/>
  <c r="CR23" i="1"/>
  <c r="CS23" i="1"/>
  <c r="CR13" i="1"/>
  <c r="CS13" i="1"/>
  <c r="CR18" i="1" l="1"/>
  <c r="CS18" i="1"/>
  <c r="CR17" i="1"/>
  <c r="CS17" i="1"/>
  <c r="CR5" i="1"/>
  <c r="CS5" i="1"/>
  <c r="CR7" i="1"/>
  <c r="CS7" i="1"/>
  <c r="CR6" i="1"/>
  <c r="CS6" i="1"/>
  <c r="CR3" i="1" l="1"/>
  <c r="CS3" i="1"/>
  <c r="U88" i="4" l="1"/>
  <c r="T87" i="4"/>
  <c r="V85" i="4" l="1"/>
  <c r="V81" i="4"/>
  <c r="V86" i="4"/>
  <c r="V88" i="4" l="1"/>
  <c r="CR20" i="1"/>
  <c r="CS20" i="1"/>
  <c r="CR83" i="1" l="1"/>
  <c r="CT83" i="1" s="1"/>
  <c r="CS83" i="1"/>
  <c r="CW83" i="1"/>
  <c r="CT3" i="1"/>
  <c r="CW3" i="1"/>
  <c r="CR4" i="1"/>
  <c r="CT4" i="1" s="1"/>
  <c r="CS4" i="1"/>
  <c r="CW4" i="1"/>
  <c r="CR8" i="1"/>
  <c r="CS8" i="1"/>
  <c r="CT8" i="1"/>
  <c r="CW8" i="1"/>
  <c r="CR9" i="1"/>
  <c r="CT9" i="1" s="1"/>
  <c r="CS9" i="1"/>
  <c r="CW9" i="1"/>
  <c r="CT6" i="1"/>
  <c r="CW6" i="1"/>
  <c r="CT7" i="1"/>
  <c r="CW7" i="1"/>
  <c r="CT5" i="1"/>
  <c r="CW5" i="1"/>
  <c r="CR10" i="1"/>
  <c r="CT10" i="1" s="1"/>
  <c r="CS10" i="1"/>
  <c r="CW10" i="1"/>
  <c r="CR11" i="1"/>
  <c r="CT11" i="1" s="1"/>
  <c r="CS11" i="1"/>
  <c r="CW11" i="1"/>
  <c r="CT12" i="1"/>
  <c r="CW12" i="1"/>
  <c r="CT13" i="1"/>
  <c r="CW13" i="1"/>
  <c r="CR16" i="1"/>
  <c r="CS16" i="1"/>
  <c r="CT16" i="1"/>
  <c r="CW16" i="1"/>
  <c r="CT17" i="1"/>
  <c r="CW17" i="1"/>
  <c r="CT18" i="1"/>
  <c r="CW18" i="1"/>
  <c r="CR21" i="1"/>
  <c r="CT21" i="1" s="1"/>
  <c r="CS21" i="1"/>
  <c r="CW21" i="1"/>
  <c r="CR22" i="1"/>
  <c r="CS22" i="1"/>
  <c r="CT22" i="1"/>
  <c r="CW22" i="1"/>
  <c r="CT20" i="1"/>
  <c r="CW20" i="1"/>
  <c r="CR14" i="1"/>
  <c r="CT14" i="1" s="1"/>
  <c r="CS14" i="1"/>
  <c r="CW14" i="1"/>
  <c r="CR15" i="1"/>
  <c r="CS15" i="1"/>
  <c r="CT15" i="1"/>
  <c r="CW15" i="1"/>
  <c r="CR19" i="1"/>
  <c r="CT19" i="1" s="1"/>
  <c r="CS19" i="1"/>
  <c r="CW19" i="1"/>
  <c r="CR24" i="1"/>
  <c r="CT24" i="1" s="1"/>
  <c r="CS24" i="1"/>
  <c r="CW24" i="1"/>
  <c r="CT23" i="1"/>
  <c r="CW23" i="1"/>
  <c r="CR25" i="1"/>
  <c r="CT25" i="1" s="1"/>
  <c r="CS25" i="1"/>
  <c r="CW25" i="1"/>
  <c r="CR26" i="1"/>
  <c r="CT26" i="1" s="1"/>
  <c r="CS26" i="1"/>
  <c r="CW26" i="1"/>
  <c r="CR27" i="1"/>
  <c r="CT27" i="1" s="1"/>
  <c r="CS27" i="1"/>
  <c r="CW27" i="1"/>
  <c r="CR28" i="1"/>
  <c r="CT28" i="1" s="1"/>
  <c r="CS28" i="1"/>
  <c r="CW28" i="1"/>
  <c r="CR29" i="1"/>
  <c r="CT29" i="1" s="1"/>
  <c r="CS29" i="1"/>
  <c r="CW29" i="1"/>
  <c r="CR30" i="1"/>
  <c r="CS30" i="1"/>
  <c r="CT30" i="1"/>
  <c r="CW30" i="1"/>
  <c r="CR31" i="1"/>
  <c r="CT31" i="1" s="1"/>
  <c r="CS31" i="1"/>
  <c r="CW31" i="1"/>
  <c r="CR33" i="1"/>
  <c r="CT33" i="1" s="1"/>
  <c r="CS33" i="1"/>
  <c r="CW33" i="1"/>
  <c r="CR34" i="1"/>
  <c r="CT34" i="1" s="1"/>
  <c r="CS34" i="1"/>
  <c r="CW34" i="1"/>
  <c r="CR35" i="1"/>
  <c r="CT35" i="1" s="1"/>
  <c r="CS35" i="1"/>
  <c r="CW35" i="1"/>
  <c r="CR36" i="1"/>
  <c r="CT36" i="1" s="1"/>
  <c r="CS36" i="1"/>
  <c r="CW36" i="1"/>
  <c r="CR37" i="1"/>
  <c r="CT37" i="1" s="1"/>
  <c r="CS37" i="1"/>
  <c r="CW37" i="1"/>
  <c r="CR38" i="1"/>
  <c r="CS38" i="1"/>
  <c r="CT38" i="1"/>
  <c r="CW38" i="1"/>
  <c r="CT32" i="1"/>
  <c r="CW32" i="1"/>
  <c r="CR39" i="1"/>
  <c r="CT39" i="1" s="1"/>
  <c r="CS39" i="1"/>
  <c r="CW39" i="1"/>
  <c r="CR40" i="1"/>
  <c r="CT40" i="1" s="1"/>
  <c r="CS40" i="1"/>
  <c r="CW40" i="1"/>
  <c r="CR42" i="1"/>
  <c r="CT42" i="1" s="1"/>
  <c r="CS42" i="1"/>
  <c r="CW42" i="1"/>
  <c r="CR43" i="1"/>
  <c r="CT43" i="1" s="1"/>
  <c r="CS43" i="1"/>
  <c r="CW43" i="1"/>
  <c r="CR44" i="1"/>
  <c r="CT44" i="1" s="1"/>
  <c r="CS44" i="1"/>
  <c r="CW44" i="1"/>
  <c r="CR45" i="1"/>
  <c r="CS45" i="1"/>
  <c r="CT45" i="1"/>
  <c r="CW45" i="1"/>
  <c r="CR46" i="1"/>
  <c r="CS46" i="1"/>
  <c r="CT46" i="1"/>
  <c r="CW46" i="1"/>
  <c r="CR47" i="1"/>
  <c r="CT47" i="1" s="1"/>
  <c r="CS47" i="1"/>
  <c r="CW47" i="1"/>
  <c r="CR41" i="1"/>
  <c r="CT41" i="1" s="1"/>
  <c r="CS41" i="1"/>
  <c r="CW41" i="1"/>
  <c r="CR48" i="1"/>
  <c r="CT48" i="1" s="1"/>
  <c r="CS48" i="1"/>
  <c r="CW48" i="1"/>
  <c r="CR49" i="1"/>
  <c r="CT49" i="1" s="1"/>
  <c r="CS49" i="1"/>
  <c r="CW49" i="1"/>
  <c r="CR50" i="1"/>
  <c r="CS50" i="1"/>
  <c r="CT50" i="1"/>
  <c r="CW50" i="1"/>
  <c r="CR53" i="1"/>
  <c r="CT53" i="1" s="1"/>
  <c r="CS53" i="1"/>
  <c r="CW53" i="1"/>
  <c r="CR54" i="1"/>
  <c r="CS54" i="1"/>
  <c r="CT54" i="1"/>
  <c r="CW54" i="1"/>
  <c r="CR55" i="1"/>
  <c r="CT55" i="1" s="1"/>
  <c r="CS55" i="1"/>
  <c r="CW55" i="1"/>
  <c r="CR56" i="1"/>
  <c r="CT56" i="1" s="1"/>
  <c r="CS56" i="1"/>
  <c r="CW56" i="1"/>
  <c r="CR57" i="1"/>
  <c r="CS57" i="1"/>
  <c r="CT57" i="1"/>
  <c r="CW57" i="1"/>
  <c r="CR58" i="1"/>
  <c r="CT58" i="1" s="1"/>
  <c r="CS58" i="1"/>
  <c r="CW58" i="1"/>
  <c r="CR51" i="1"/>
  <c r="CT51" i="1" s="1"/>
  <c r="CS51" i="1"/>
  <c r="CW51" i="1"/>
  <c r="CR52" i="1"/>
  <c r="CT52" i="1" s="1"/>
  <c r="CS52" i="1"/>
  <c r="CW52" i="1"/>
  <c r="CR59" i="1"/>
  <c r="CT59" i="1" s="1"/>
  <c r="CS59" i="1"/>
  <c r="CW59" i="1"/>
  <c r="CR60" i="1"/>
  <c r="CT60" i="1" s="1"/>
  <c r="CS60" i="1"/>
  <c r="CW60" i="1"/>
  <c r="CR64" i="1"/>
  <c r="CT64" i="1" s="1"/>
  <c r="CS64" i="1"/>
  <c r="CW64" i="1"/>
  <c r="CR65" i="1"/>
  <c r="CS65" i="1"/>
  <c r="CT65" i="1"/>
  <c r="CW65" i="1"/>
  <c r="CR66" i="1"/>
  <c r="CT66" i="1" s="1"/>
  <c r="CS66" i="1"/>
  <c r="CW66" i="1"/>
  <c r="CR67" i="1"/>
  <c r="CT67" i="1" s="1"/>
  <c r="CS67" i="1"/>
  <c r="CW67" i="1"/>
  <c r="CR68" i="1"/>
  <c r="CT68" i="1" s="1"/>
  <c r="CS68" i="1"/>
  <c r="CW68" i="1"/>
  <c r="CR61" i="1"/>
  <c r="CS61" i="1"/>
  <c r="CT61" i="1"/>
  <c r="CW61" i="1"/>
  <c r="CR69" i="1"/>
  <c r="CT69" i="1" s="1"/>
  <c r="CS69" i="1"/>
  <c r="CW69" i="1"/>
  <c r="CR62" i="1"/>
  <c r="CT62" i="1" s="1"/>
  <c r="CS62" i="1"/>
  <c r="CW62" i="1"/>
  <c r="CR70" i="1"/>
  <c r="CT70" i="1" s="1"/>
  <c r="CS70" i="1"/>
  <c r="CW70" i="1"/>
  <c r="CR71" i="1"/>
  <c r="CT71" i="1" s="1"/>
  <c r="CS71" i="1"/>
  <c r="CW71" i="1"/>
  <c r="CR72" i="1"/>
  <c r="CT72" i="1" s="1"/>
  <c r="CS72" i="1"/>
  <c r="CW72" i="1"/>
  <c r="CR73" i="1"/>
  <c r="CT73" i="1" s="1"/>
  <c r="CS73" i="1"/>
  <c r="CW73" i="1"/>
  <c r="CR74" i="1"/>
  <c r="CT74" i="1" s="1"/>
  <c r="CS74" i="1"/>
  <c r="CW74" i="1"/>
  <c r="CR75" i="1"/>
  <c r="CS75" i="1"/>
  <c r="CT75" i="1"/>
  <c r="CW75" i="1"/>
  <c r="CR76" i="1"/>
  <c r="CT76" i="1" s="1"/>
  <c r="CS76" i="1"/>
  <c r="CW76" i="1"/>
  <c r="CR77" i="1"/>
  <c r="CT77" i="1" s="1"/>
  <c r="CS77" i="1"/>
  <c r="CW77" i="1"/>
  <c r="CR78" i="1"/>
  <c r="CT78" i="1" s="1"/>
  <c r="CS78" i="1"/>
  <c r="CW78" i="1"/>
  <c r="CR79" i="1"/>
  <c r="CT79" i="1" s="1"/>
  <c r="CS79" i="1"/>
  <c r="CW79" i="1"/>
  <c r="CR80" i="1"/>
  <c r="CT80" i="1" s="1"/>
  <c r="CS80" i="1"/>
  <c r="CW80" i="1"/>
  <c r="CR81" i="1"/>
  <c r="CT81" i="1" s="1"/>
  <c r="CS81" i="1"/>
  <c r="CW81" i="1"/>
  <c r="CR63" i="1"/>
  <c r="CT63" i="1" s="1"/>
  <c r="CS63" i="1"/>
  <c r="CW63" i="1"/>
  <c r="CR82" i="1"/>
  <c r="CT82" i="1" s="1"/>
  <c r="CS82" i="1"/>
  <c r="CW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W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T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AA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AA7" i="4"/>
  <c r="AA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<sst xmlns="http://schemas.openxmlformats.org/spreadsheetml/2006/main" count="9290" uniqueCount="397">
  <si>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</si>
  <si>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</si>
  <si>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</si>
  <si>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</si>
  <si>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</si>
  <si>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</si>
  <si>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</si>
  <si>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</si>
  <si>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</si>
  <si>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</si>
  <si>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</si>
  <si>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</si>
  <si>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</si>
  <si>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</si>
  <si>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</si>
  <si>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</si>
  <si>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</si>
  <si>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</si>
  <si>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</si>
  <si>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</si>
  <si>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</si>
  <si>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</si>
  <si>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</si>
  <si>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</si>
  <si>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</si>
  <si>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</si>
  <si>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</si>
  <si>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</si>
  <si>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</si>
  <si>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</si>
  <si>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</si>
  <si>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</si>
  <si>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</si>
  <si>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</si>
  <si>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</si>
  <si>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</si>
  <si>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</si>
  <si>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</si>
  <si>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</si>
  <si>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</si>
  <si>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</si>
  <si>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</si>
  <si>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</si>
  <si>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</si>
  <si>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</si>
  <si>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</si>
  <si>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</si>
  <si>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</si>
  <si>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</si>
  <si>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</si>
  <si>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</si>
  <si>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</si>
  <si>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</si>
  <si>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</si>
  <si>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</si>
  <si>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</si>
  <si>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</si>
  <si>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</si>
  <si>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</si>
  <si>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</si>
  <si>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</si>
  <si>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</si>
  <si>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</si>
  <si>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</si>
  <si>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</si>
  <si>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</si>
  <si>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</si>
  <si>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</si>
  <si>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</si>
  <si>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</si>
  <si>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</si>
  <si>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</si>
  <si>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</si>
  <si>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</si>
  <si>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</si>
  <si>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</si>
  <si>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</si>
  <si>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</si>
  <si>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</si>
  <si>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</si>
  <si>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</si>
  <si>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</si>
  <si>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</si>
  <si>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</si>
  <si>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</si>
  <si>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</si>
  <si>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</si>
  <si>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</si>
  <si>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</si>
  <si>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</si>
  <si>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</si>
  <si>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</si>
  <si>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</si>
  <si>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</si>
  <si>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</si>
  <si>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</si>
  <si>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</si>
  <si>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</si>
  <si>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</si>
  <si>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</si>
  <si>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</si>
  <si>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</si>
  <si>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</si>
  <si>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</si>
  <si>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</si>
  <si>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</si>
  <si>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</si>
  <si>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</si>
  <si>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</si>
  <si>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</si>
  <si>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</si>
  <si>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</si>
  <si>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</si>
  <si>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</si>
  <si>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</si>
  <si>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</si>
  <si>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</si>
  <si>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</si>
  <si>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</si>
  <si>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</si>
  <si>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</si>
  <si>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</si>
  <si>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</si>
  <si>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</si>
  <si>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</si>
  <si>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</si>
  <si>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</si>
  <si>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</si>
  <si>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</si>
  <si>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</si>
  <si>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</si>
  <si>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</si>
  <si>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</si>
  <si>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</si>
  <si>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</si>
  <si>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</si>
  <si>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</si>
  <si>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</si>
  <si>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</si>
  <si>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</si>
  <si>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</si>
  <si>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</si>
  <si>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</si>
  <si>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</si>
  <si>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</si>
  <si>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</si>
  <si>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</si>
  <si>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</si>
  <si>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</si>
  <si>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</si>
  <si>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</si>
  <si>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</si>
  <si>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</si>
  <si>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</si>
  <si>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</si>
  <si>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</si>
  <si>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</si>
  <si>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</si>
  <si>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</si>
  <si>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</si>
  <si>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</si>
  <si>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</si>
  <si>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</si>
  <si>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</si>
  <si>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</si>
  <si>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</si>
  <si>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</si>
  <si>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</si>
  <si>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</si>
  <si>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</si>
  <si>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</si>
  <si>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</si>
  <si>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</si>
  <si>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</si>
  <si>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</si>
  <si>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</si>
  <si>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</si>
  <si>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</si>
  <si>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</si>
  <si>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</si>
  <si>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</si>
  <si>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</si>
  <si>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</si>
  <si>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</si>
  <si>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</si>
  <si>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</si>
  <si>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</si>
  <si>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</si>
  <si>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</si>
  <si>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</si>
  <si>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</si>
  <si>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</si>
  <si>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</si>
  <si>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</si>
  <si>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</si>
  <si>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</si>
  <si>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</si>
  <si>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</si>
  <si>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</si>
  <si>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</si>
  <si>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</si>
  <si>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</si>
  <si>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</si>
  <si>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</si>
  <si>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</si>
  <si>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</si>
  <si>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</si>
  <si>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</si>
  <si>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</si>
  <si>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</si>
  <si>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</si>
  <si>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</si>
  <si>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</si>
  <si>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</si>
  <si>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</si>
  <si>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</si>
  <si>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</si>
  <si>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</si>
  <si>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</si>
  <si>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</si>
  <si>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</si>
  <si>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</si>
  <si>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</si>
  <si>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</si>
  <si>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</si>
  <si>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</si>
  <si>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</si>
  <si>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</si>
  <si>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</si>
  <si>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</si>
  <si>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</si>
  <si>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</si>
  <si>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</si>
  <si>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</si>
  <si>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</si>
  <si>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</si>
  <si>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</si>
  <si>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</si>
  <si>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</si>
  <si>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</si>
  <si>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</si>
  <si>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</si>
  <si>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</si>
  <si>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</si>
  <si>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</si>
  <si>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</si>
  <si>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</si>
  <si>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</si>
  <si>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</si>
  <si>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</si>
  <si>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</si>
  <si>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</si>
  <si>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</si>
  <si>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</si>
  <si>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</si>
  <si>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</si>
  <si>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</si>
  <si>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</si>
  <si>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</si>
  <si>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</si>
  <si>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</si>
  <si>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</si>
  <si>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</si>
  <si>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</si>
  <si>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</si>
  <si>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</si>
  <si>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</si>
  <si>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</si>
  <si>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</si>
  <si>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</si>
  <si>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</si>
  <si>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</si>
  <si>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</si>
  <si>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</si>
  <si>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</si>
  <si>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</si>
  <si>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</si>
  <si>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</si>
  <si>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</si>
  <si>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</si>
  <si>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</si>
  <si>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</si>
  <si>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</si>
  <si>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</si>
  <si>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</si>
  <si>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</si>
  <si>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</si>
  <si>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</si>
  <si>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</si>
  <si>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</si>
  <si>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</si>
  <si>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</si>
  <si>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</si>
  <si>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</si>
  <si>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</si>
  <si>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</si>
  <si>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</si>
  <si>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</si>
  <si>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</si>
  <si>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</si>
  <si>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</si>
  <si>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</si>
  <si>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</si>
  <si>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</si>
  <si>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</si>
  <si>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</si>
  <si>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</si>
  <si>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</si>
  <si>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</si>
  <si>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</si>
  <si>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</si>
  <si>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</si>
  <si>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</si>
  <si>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</si>
  <si>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</si>
  <si>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</si>
  <si>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</si>
  <si>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</si>
  <si>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</si>
  <si>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</si>
  <si>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</si>
  <si>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</si>
  <si>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</si>
  <si>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</si>
  <si>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</si>
  <si>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</si>
  <si>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</si>
  <si>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</si>
  <si>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</si>
  <si>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</si>
  <si>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</si>
  <si>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</si>
  <si>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</si>
  <si>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</si>
  <si>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</si>
  <si>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</si>
  <si>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</si>
  <si>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</si>
  <si>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</si>
  <si>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</si>
  <si>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</si>
  <si>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</si>
  <si>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</si>
  <si>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</si>
  <si>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</si>
  <si>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</si>
  <si>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</si>
  <si>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</si>
  <si>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</si>
  <si>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</si>
  <si>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</si>
  <si>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</si>
  <si>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</si>
  <si>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</si>
  <si>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</si>
  <si>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</si>
  <si>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</si>
  <si>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</si>
  <si>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</si>
  <si>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</si>
  <si>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</si>
  <si>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</si>
  <si>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</si>
  <si>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</si>
  <si>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</si>
  <si>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</si>
  <si>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</si>
  <si>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</si>
  <si>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</si>
  <si>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</si>
  <si>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</si>
  <si>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</si>
  <si>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</si>
  <si>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</si>
  <si>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</si>
  <si>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</si>
  <si>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</si>
  <si>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</si>
  <si>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</si>
  <si>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</si>
  <si>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</si>
  <si>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</si>
  <si>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</si>
  <si>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</si>
  <si>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</si>
  <si>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</si>
  <si>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</si>
  <si>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</si>
  <si>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</si>
  <si>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</si>
  <si>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</si>
  <si>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</si>
  <si>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mar</t>
  </si>
  <si>
    <t>Bernardo Impactus</t>
  </si>
  <si>
    <t>Joshua</t>
  </si>
  <si>
    <t>Caio (Octavio)</t>
  </si>
  <si>
    <t>Leo MJ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</si>
</sst>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87"/>
  <sheetViews>
    <sheetView topLeftCell="A47" zoomScale="85" zoomScaleNormal="85" workbookViewId="0">
      <pane xSplit="1" topLeftCell="BZ1" activePane="topRight" state="frozen"/>
      <selection pane="topRight" activeCell="CO77" sqref="CO77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5" width="11" customWidth="1"/>
  </cols>
  <sheetData>
    <row r="1" spans="1:101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/>
      <c r="CR1" t="s">
        <v>57</v>
      </c>
      <c r="CS1" t="s">
        <v>58</v>
      </c>
      <c r="CT1" t="s">
        <v>59</v>
      </c>
      <c r="CU1" t="s">
        <v>62</v>
      </c>
      <c r="CV1" t="s">
        <v>392</v>
      </c>
      <c r="CW1" t="s">
        <v>384</v>
      </c>
    </row>
    <row r="2" spans="1:101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R2">
        <f>COUNT(B2:CP2)</f>
        <v>87</v>
      </c>
      <c r="CS2" s="18">
        <f>AVERAGE(B2:CP2)</f>
        <v>6.0402298850574709</v>
      </c>
      <c r="CT2">
        <f t="shared" ref="CT2:CT33" si="0">IF(CR2&gt;1,_xlfn.STDEV.S(B2:CF2),"")</f>
        <v>1.2512468149547391</v>
      </c>
      <c r="CU2">
        <v>1</v>
      </c>
      <c r="CV2">
        <f t="shared" ref="CV2:CV33" si="1">COUNT(CK2:CN2)</f>
        <v>4</v>
      </c>
      <c r="CW2">
        <f t="shared" ref="CW2:CW33" si="2">IF(CU2=0,CV2,0)</f>
        <v>0</v>
      </c>
    </row>
    <row r="3" spans="1:101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R3">
        <f>COUNT(B3:CK3)</f>
        <v>79</v>
      </c>
      <c r="CS3" s="18">
        <f>AVERAGE(B3:CK3)</f>
        <v>5.6518987341772151</v>
      </c>
      <c r="CT3">
        <f t="shared" si="0"/>
        <v>1.0518094984498128</v>
      </c>
      <c r="CU3">
        <v>1</v>
      </c>
      <c r="CV3">
        <f t="shared" si="1"/>
        <v>3</v>
      </c>
      <c r="CW3">
        <f t="shared" si="2"/>
        <v>0</v>
      </c>
    </row>
    <row r="4" spans="1:101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R4">
        <f>COUNT(B4:CI4)</f>
        <v>72</v>
      </c>
      <c r="CS4" s="18">
        <f>AVERAGE(B4:CI4)</f>
        <v>5.708333333333333</v>
      </c>
      <c r="CT4">
        <f t="shared" si="0"/>
        <v>0.96435844595057774</v>
      </c>
      <c r="CU4">
        <v>0</v>
      </c>
      <c r="CV4">
        <f t="shared" si="1"/>
        <v>0</v>
      </c>
      <c r="CW4">
        <f t="shared" si="2"/>
        <v>0</v>
      </c>
    </row>
    <row r="5" spans="1:101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R5">
        <f>COUNT(B5:CL5)</f>
        <v>71</v>
      </c>
      <c r="CS5" s="18">
        <f>AVERAGE(B5:CL5)</f>
        <v>7.267605633802817</v>
      </c>
      <c r="CT5">
        <f t="shared" si="0"/>
        <v>1.1294250579557983</v>
      </c>
      <c r="CU5">
        <v>1</v>
      </c>
      <c r="CV5">
        <f t="shared" si="1"/>
        <v>2</v>
      </c>
      <c r="CW5">
        <f t="shared" si="2"/>
        <v>0</v>
      </c>
    </row>
    <row r="6" spans="1:101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R6">
        <f>COUNT(B6:CL6)</f>
        <v>70</v>
      </c>
      <c r="CS6" s="18">
        <f>AVERAGE(B6:CL6)</f>
        <v>6.6142857142857139</v>
      </c>
      <c r="CT6">
        <f t="shared" si="0"/>
        <v>0.9419445925236869</v>
      </c>
      <c r="CU6">
        <v>1</v>
      </c>
      <c r="CV6">
        <f t="shared" si="1"/>
        <v>3</v>
      </c>
      <c r="CW6">
        <f t="shared" si="2"/>
        <v>0</v>
      </c>
    </row>
    <row r="7" spans="1:101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P7">
        <v>6.5</v>
      </c>
      <c r="CR7">
        <f>COUNT(B7:CL7)</f>
        <v>70</v>
      </c>
      <c r="CS7" s="18">
        <f>AVERAGE(B7:CL7)</f>
        <v>6.6071428571428568</v>
      </c>
      <c r="CT7">
        <f t="shared" si="0"/>
        <v>1.0570846156365068</v>
      </c>
      <c r="CU7">
        <v>1</v>
      </c>
      <c r="CV7">
        <f t="shared" si="1"/>
        <v>2</v>
      </c>
      <c r="CW7">
        <f t="shared" si="2"/>
        <v>0</v>
      </c>
    </row>
    <row r="8" spans="1:101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R8">
        <f>COUNT(B8:CI8)</f>
        <v>68</v>
      </c>
      <c r="CS8" s="18">
        <f>AVERAGE(B8:CI8)</f>
        <v>6.4191176470588234</v>
      </c>
      <c r="CT8">
        <f t="shared" si="0"/>
        <v>1.1769245721961776</v>
      </c>
      <c r="CU8">
        <v>0</v>
      </c>
      <c r="CV8">
        <f t="shared" si="1"/>
        <v>0</v>
      </c>
      <c r="CW8">
        <f t="shared" si="2"/>
        <v>0</v>
      </c>
    </row>
    <row r="9" spans="1:101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f>COUNT(B9:CI9)</f>
        <v>67</v>
      </c>
      <c r="CS9" s="18">
        <f>AVERAGE(B9:CI9)</f>
        <v>5.9701492537313436</v>
      </c>
      <c r="CT9">
        <f t="shared" si="0"/>
        <v>0.96648378625350351</v>
      </c>
      <c r="CU9">
        <v>0</v>
      </c>
      <c r="CV9">
        <f t="shared" si="1"/>
        <v>0</v>
      </c>
      <c r="CW9">
        <f t="shared" si="2"/>
        <v>0</v>
      </c>
    </row>
    <row r="10" spans="1:101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P10">
        <v>5.5</v>
      </c>
      <c r="CR10">
        <f>COUNT(B10:CI10)</f>
        <v>62</v>
      </c>
      <c r="CS10" s="18">
        <f>AVERAGE(B10:CI10)</f>
        <v>5.717741935483871</v>
      </c>
      <c r="CT10">
        <f t="shared" si="0"/>
        <v>1.3617531291315086</v>
      </c>
      <c r="CU10">
        <v>1</v>
      </c>
      <c r="CV10">
        <f t="shared" si="1"/>
        <v>3</v>
      </c>
      <c r="CW10">
        <f t="shared" si="2"/>
        <v>0</v>
      </c>
    </row>
    <row r="11" spans="1:101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R11">
        <f>COUNT(B11:CI11)</f>
        <v>59</v>
      </c>
      <c r="CS11" s="18">
        <f>AVERAGE(B11:CI11)</f>
        <v>6.6779661016949152</v>
      </c>
      <c r="CT11">
        <f t="shared" si="0"/>
        <v>1.0072574989410263</v>
      </c>
      <c r="CU11">
        <v>1</v>
      </c>
      <c r="CV11">
        <f t="shared" si="1"/>
        <v>3</v>
      </c>
      <c r="CW11">
        <f t="shared" si="2"/>
        <v>0</v>
      </c>
    </row>
    <row r="12" spans="1:101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R12">
        <f>COUNT(B12:CP12)</f>
        <v>60</v>
      </c>
      <c r="CS12" s="18">
        <f>AVERAGE(B12:CP12)</f>
        <v>5.5250000000000004</v>
      </c>
      <c r="CT12">
        <f t="shared" si="0"/>
        <v>1.0254583642020354</v>
      </c>
      <c r="CU12">
        <v>1</v>
      </c>
      <c r="CV12">
        <f t="shared" si="1"/>
        <v>4</v>
      </c>
      <c r="CW12">
        <f t="shared" si="2"/>
        <v>0</v>
      </c>
    </row>
    <row r="13" spans="1:101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R13">
        <f>COUNT(B13:CN13)</f>
        <v>56</v>
      </c>
      <c r="CS13" s="18">
        <f>AVERAGE(B13:CN13)</f>
        <v>6.3571428571428568</v>
      </c>
      <c r="CT13">
        <f t="shared" si="0"/>
        <v>1.1769469323774333</v>
      </c>
      <c r="CU13">
        <v>1</v>
      </c>
      <c r="CV13">
        <f t="shared" si="1"/>
        <v>4</v>
      </c>
      <c r="CW13">
        <f t="shared" si="2"/>
        <v>0</v>
      </c>
    </row>
    <row r="14" spans="1:101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f>COUNT(B14:CI14)</f>
        <v>55</v>
      </c>
      <c r="CS14" s="18">
        <f>AVERAGE(B14:CI14)</f>
        <v>6.3181818181818183</v>
      </c>
      <c r="CT14">
        <f t="shared" si="0"/>
        <v>1.1213885273224193</v>
      </c>
      <c r="CU14">
        <v>0</v>
      </c>
      <c r="CV14">
        <f t="shared" si="1"/>
        <v>1</v>
      </c>
      <c r="CW14">
        <f t="shared" si="2"/>
        <v>1</v>
      </c>
    </row>
    <row r="15" spans="1:101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R15">
        <f>COUNT(B15:CI15)</f>
        <v>52</v>
      </c>
      <c r="CS15" s="18">
        <f>AVERAGE(B15:CI15)</f>
        <v>5.6923076923076925</v>
      </c>
      <c r="CT15">
        <f t="shared" si="0"/>
        <v>0.84687340856573534</v>
      </c>
      <c r="CU15">
        <v>0</v>
      </c>
      <c r="CV15">
        <f t="shared" si="1"/>
        <v>0</v>
      </c>
      <c r="CW15">
        <f t="shared" si="2"/>
        <v>0</v>
      </c>
    </row>
    <row r="16" spans="1:101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R16">
        <f>COUNT(B16:CI16)</f>
        <v>47</v>
      </c>
      <c r="CS16" s="18">
        <f>AVERAGE(B16:CI16)</f>
        <v>4.4255319148936172</v>
      </c>
      <c r="CT16">
        <f t="shared" si="0"/>
        <v>1.3391217246854428</v>
      </c>
      <c r="CU16">
        <v>0</v>
      </c>
      <c r="CV16">
        <f t="shared" si="1"/>
        <v>0</v>
      </c>
      <c r="CW16">
        <f t="shared" si="2"/>
        <v>0</v>
      </c>
    </row>
    <row r="17" spans="1:101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P17">
        <v>5.5</v>
      </c>
      <c r="CR17">
        <f>COUNT(B17:CL17)</f>
        <v>46</v>
      </c>
      <c r="CS17" s="18">
        <f>AVERAGE(B17:CL17)</f>
        <v>6.0652173913043477</v>
      </c>
      <c r="CT17">
        <f t="shared" si="0"/>
        <v>0.9573434129174403</v>
      </c>
      <c r="CU17">
        <v>1</v>
      </c>
      <c r="CV17">
        <f t="shared" si="1"/>
        <v>3</v>
      </c>
      <c r="CW17">
        <f t="shared" si="2"/>
        <v>0</v>
      </c>
    </row>
    <row r="18" spans="1:101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R18">
        <f>COUNT(B18:CL18)</f>
        <v>44</v>
      </c>
      <c r="CS18" s="18">
        <f>AVERAGE(B18:CL18)</f>
        <v>5.0113636363636367</v>
      </c>
      <c r="CT18">
        <f t="shared" si="0"/>
        <v>1.0645089158214895</v>
      </c>
      <c r="CU18">
        <v>1</v>
      </c>
      <c r="CV18">
        <f t="shared" si="1"/>
        <v>2</v>
      </c>
      <c r="CW18">
        <f t="shared" si="2"/>
        <v>0</v>
      </c>
    </row>
    <row r="19" spans="1:101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R19">
        <f>COUNT(B19:CI19)</f>
        <v>38</v>
      </c>
      <c r="CS19" s="18">
        <f>AVERAGE(B19:CI19)</f>
        <v>6.1578947368421053</v>
      </c>
      <c r="CT19">
        <f t="shared" si="0"/>
        <v>1.0973263770680928</v>
      </c>
      <c r="CU19">
        <v>0</v>
      </c>
      <c r="CV19">
        <f t="shared" si="1"/>
        <v>1</v>
      </c>
      <c r="CW19">
        <f t="shared" si="2"/>
        <v>1</v>
      </c>
    </row>
    <row r="20" spans="1:101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R20">
        <f>COUNT(B20:CJ20)</f>
        <v>37</v>
      </c>
      <c r="CS20" s="18">
        <f>AVERAGE(B20:CJ20)</f>
        <v>5.2027027027027026</v>
      </c>
      <c r="CT20">
        <f t="shared" si="0"/>
        <v>1.3241383031954423</v>
      </c>
      <c r="CU20">
        <v>0</v>
      </c>
      <c r="CV20">
        <f t="shared" si="1"/>
        <v>1</v>
      </c>
      <c r="CW20">
        <f t="shared" si="2"/>
        <v>1</v>
      </c>
    </row>
    <row r="21" spans="1:101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R21">
        <f>COUNT(B21:CI21)</f>
        <v>36</v>
      </c>
      <c r="CS21" s="18">
        <f>AVERAGE(B21:CI21)</f>
        <v>5.7361111111111107</v>
      </c>
      <c r="CT21">
        <f t="shared" si="0"/>
        <v>0.92956296268047622</v>
      </c>
      <c r="CU21">
        <v>1</v>
      </c>
      <c r="CV21">
        <f t="shared" si="1"/>
        <v>2</v>
      </c>
      <c r="CW21">
        <f t="shared" si="2"/>
        <v>0</v>
      </c>
    </row>
    <row r="22" spans="1:101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P22">
        <v>5.5</v>
      </c>
      <c r="CR22">
        <f>COUNT(B22:CI22)</f>
        <v>36</v>
      </c>
      <c r="CS22" s="18">
        <f>AVERAGE(B22:CI22)</f>
        <v>5.6111111111111107</v>
      </c>
      <c r="CT22">
        <f t="shared" si="0"/>
        <v>1.0098256776095882</v>
      </c>
      <c r="CU22">
        <v>1</v>
      </c>
      <c r="CV22">
        <f t="shared" si="1"/>
        <v>4</v>
      </c>
      <c r="CW22">
        <f t="shared" si="2"/>
        <v>0</v>
      </c>
    </row>
    <row r="23" spans="1:101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R23">
        <f>COUNT(B23:CN23)</f>
        <v>30</v>
      </c>
      <c r="CS23" s="18">
        <f>AVERAGE(B23:CN23)</f>
        <v>6.4</v>
      </c>
      <c r="CT23">
        <f t="shared" si="0"/>
        <v>0.90960483309014595</v>
      </c>
      <c r="CU23">
        <v>1</v>
      </c>
      <c r="CV23">
        <f t="shared" si="1"/>
        <v>4</v>
      </c>
      <c r="CW23">
        <f t="shared" si="2"/>
        <v>0</v>
      </c>
    </row>
    <row r="24" spans="1:101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f t="shared" ref="CR24:CR31" si="3">COUNT(B24:CI24)</f>
        <v>25</v>
      </c>
      <c r="CS24" s="18">
        <f t="shared" ref="CS24:CS31" si="4">AVERAGE(B24:CI24)</f>
        <v>5.4</v>
      </c>
      <c r="CT24">
        <f t="shared" si="0"/>
        <v>0.71728150235677346</v>
      </c>
      <c r="CU24">
        <v>0</v>
      </c>
      <c r="CV24">
        <f t="shared" si="1"/>
        <v>1</v>
      </c>
      <c r="CW24">
        <f t="shared" si="2"/>
        <v>1</v>
      </c>
    </row>
    <row r="25" spans="1:101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R25">
        <f t="shared" si="3"/>
        <v>19</v>
      </c>
      <c r="CS25" s="18">
        <f t="shared" si="4"/>
        <v>5.7894736842105265</v>
      </c>
      <c r="CT25">
        <f t="shared" si="0"/>
        <v>1.3674366679797902</v>
      </c>
      <c r="CU25">
        <v>0</v>
      </c>
      <c r="CV25">
        <f t="shared" si="1"/>
        <v>0</v>
      </c>
      <c r="CW25">
        <f t="shared" si="2"/>
        <v>0</v>
      </c>
    </row>
    <row r="26" spans="1:101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R26">
        <f t="shared" si="3"/>
        <v>18</v>
      </c>
      <c r="CS26" s="18">
        <f t="shared" si="4"/>
        <v>5.9444444444444446</v>
      </c>
      <c r="CT26">
        <f t="shared" si="0"/>
        <v>0.72535769855270305</v>
      </c>
      <c r="CU26">
        <v>0</v>
      </c>
      <c r="CV26">
        <f t="shared" si="1"/>
        <v>0</v>
      </c>
      <c r="CW26">
        <f t="shared" si="2"/>
        <v>0</v>
      </c>
    </row>
    <row r="27" spans="1:101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R27">
        <f t="shared" si="3"/>
        <v>17</v>
      </c>
      <c r="CS27" s="18">
        <f t="shared" si="4"/>
        <v>5.3235294117647056</v>
      </c>
      <c r="CT27">
        <f t="shared" si="0"/>
        <v>1.3456083251473603</v>
      </c>
      <c r="CU27">
        <v>0</v>
      </c>
      <c r="CV27">
        <f t="shared" si="1"/>
        <v>0</v>
      </c>
      <c r="CW27">
        <f t="shared" si="2"/>
        <v>0</v>
      </c>
    </row>
    <row r="28" spans="1:101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R28">
        <f t="shared" si="3"/>
        <v>16</v>
      </c>
      <c r="CS28" s="18">
        <f t="shared" si="4"/>
        <v>4.53125</v>
      </c>
      <c r="CT28">
        <f t="shared" si="0"/>
        <v>1.5434674167816653</v>
      </c>
      <c r="CU28">
        <v>0</v>
      </c>
      <c r="CV28">
        <f t="shared" si="1"/>
        <v>0</v>
      </c>
      <c r="CW28">
        <f t="shared" si="2"/>
        <v>0</v>
      </c>
    </row>
    <row r="29" spans="1:101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R29">
        <f t="shared" si="3"/>
        <v>16</v>
      </c>
      <c r="CS29" s="18">
        <f t="shared" si="4"/>
        <v>6.65625</v>
      </c>
      <c r="CT29">
        <f t="shared" si="0"/>
        <v>0.74651970279870483</v>
      </c>
      <c r="CU29">
        <v>1</v>
      </c>
      <c r="CV29">
        <f t="shared" si="1"/>
        <v>3</v>
      </c>
      <c r="CW29">
        <f t="shared" si="2"/>
        <v>0</v>
      </c>
    </row>
    <row r="30" spans="1:101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R30">
        <f t="shared" si="3"/>
        <v>15</v>
      </c>
      <c r="CS30" s="18">
        <f t="shared" si="4"/>
        <v>3.8666666666666667</v>
      </c>
      <c r="CT30">
        <f t="shared" si="0"/>
        <v>2.3563490726929555</v>
      </c>
      <c r="CU30">
        <v>0</v>
      </c>
      <c r="CV30">
        <f t="shared" si="1"/>
        <v>0</v>
      </c>
      <c r="CW30">
        <f t="shared" si="2"/>
        <v>0</v>
      </c>
    </row>
    <row r="31" spans="1:101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v>5.5</v>
      </c>
      <c r="CP31">
        <v>6</v>
      </c>
      <c r="CR31">
        <f t="shared" si="3"/>
        <v>14</v>
      </c>
      <c r="CS31" s="18">
        <f t="shared" si="4"/>
        <v>4.8214285714285712</v>
      </c>
      <c r="CT31">
        <f t="shared" si="0"/>
        <v>0.89335151148745728</v>
      </c>
      <c r="CU31">
        <v>0</v>
      </c>
      <c r="CV31">
        <f t="shared" si="1"/>
        <v>1</v>
      </c>
      <c r="CW31">
        <f t="shared" si="2"/>
        <v>1</v>
      </c>
    </row>
    <row r="32" spans="1:101" x14ac:dyDescent="0.35">
      <c r="A32" t="s">
        <v>81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>
        <v>7</v>
      </c>
      <c r="AA32" t="s">
        <v>26</v>
      </c>
      <c r="AB32" t="s">
        <v>26</v>
      </c>
      <c r="AC32" t="s">
        <v>26</v>
      </c>
      <c r="AD32">
        <v>8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>
        <v>5.5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>
        <v>6.5</v>
      </c>
      <c r="CA32" t="s">
        <v>26</v>
      </c>
      <c r="CB32" t="s">
        <v>26</v>
      </c>
      <c r="CE32">
        <v>6.5</v>
      </c>
      <c r="CG32">
        <v>6.5</v>
      </c>
      <c r="CH32">
        <v>6</v>
      </c>
      <c r="CI32">
        <v>6</v>
      </c>
      <c r="CJ32">
        <v>6</v>
      </c>
      <c r="CK32">
        <v>6.5</v>
      </c>
      <c r="CL32">
        <v>6.5</v>
      </c>
      <c r="CM32">
        <v>6</v>
      </c>
      <c r="CN32">
        <v>6.5</v>
      </c>
      <c r="CO32">
        <v>6</v>
      </c>
      <c r="CP32">
        <v>6</v>
      </c>
      <c r="CR32">
        <f>COUNT(B32:CP32)</f>
        <v>15</v>
      </c>
      <c r="CS32" s="18">
        <f>AVERAGE(B32:CP32)</f>
        <v>6.3666666666666663</v>
      </c>
      <c r="CT32">
        <f t="shared" si="0"/>
        <v>0.90829510622924903</v>
      </c>
      <c r="CU32">
        <v>1</v>
      </c>
      <c r="CV32">
        <f t="shared" si="1"/>
        <v>4</v>
      </c>
      <c r="CW32">
        <f t="shared" si="2"/>
        <v>0</v>
      </c>
    </row>
    <row r="33" spans="1:101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R33">
        <f t="shared" ref="CR33:CR64" si="5">COUNT(B33:CI33)</f>
        <v>13</v>
      </c>
      <c r="CS33" s="18">
        <f t="shared" ref="CS33:CS64" si="6">AVERAGE(B33:CI33)</f>
        <v>7.3461538461538458</v>
      </c>
      <c r="CT33">
        <f t="shared" si="0"/>
        <v>1.5191090506255012</v>
      </c>
      <c r="CU33">
        <v>0</v>
      </c>
      <c r="CV33">
        <f t="shared" si="1"/>
        <v>0</v>
      </c>
      <c r="CW33">
        <f t="shared" si="2"/>
        <v>0</v>
      </c>
    </row>
    <row r="34" spans="1:101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R34">
        <f t="shared" si="5"/>
        <v>11</v>
      </c>
      <c r="CS34" s="18">
        <f t="shared" si="6"/>
        <v>4.6818181818181817</v>
      </c>
      <c r="CT34">
        <f t="shared" ref="CT34:CT65" si="7">IF(CR34&gt;1,_xlfn.STDEV.S(B34:CF34),"")</f>
        <v>0.81463879335344846</v>
      </c>
      <c r="CU34">
        <v>0</v>
      </c>
      <c r="CV34">
        <f t="shared" ref="CV34:CV65" si="8">COUNT(CK34:CN34)</f>
        <v>0</v>
      </c>
      <c r="CW34">
        <f t="shared" ref="CW34:CW65" si="9">IF(CU34=0,CV34,0)</f>
        <v>0</v>
      </c>
    </row>
    <row r="35" spans="1:101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R35">
        <f t="shared" si="5"/>
        <v>10</v>
      </c>
      <c r="CS35" s="18">
        <f t="shared" si="6"/>
        <v>8.4499999999999993</v>
      </c>
      <c r="CT35">
        <f t="shared" si="7"/>
        <v>1.1890705987824657</v>
      </c>
      <c r="CU35">
        <v>0</v>
      </c>
      <c r="CV35">
        <f t="shared" si="8"/>
        <v>0</v>
      </c>
      <c r="CW35">
        <f t="shared" si="9"/>
        <v>0</v>
      </c>
    </row>
    <row r="36" spans="1:101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R36">
        <f t="shared" si="5"/>
        <v>8</v>
      </c>
      <c r="CS36" s="18">
        <f t="shared" si="6"/>
        <v>4.125</v>
      </c>
      <c r="CT36">
        <f t="shared" si="7"/>
        <v>1.7677669529663689</v>
      </c>
      <c r="CU36">
        <v>1</v>
      </c>
      <c r="CV36">
        <f t="shared" si="8"/>
        <v>3</v>
      </c>
      <c r="CW36">
        <f t="shared" si="9"/>
        <v>0</v>
      </c>
    </row>
    <row r="37" spans="1:101" x14ac:dyDescent="0.35">
      <c r="A37" t="s">
        <v>340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>
        <v>5.5</v>
      </c>
      <c r="AK37" t="s">
        <v>26</v>
      </c>
      <c r="AL37" t="s">
        <v>26</v>
      </c>
      <c r="AM37" t="s">
        <v>26</v>
      </c>
      <c r="AN37">
        <v>6.5</v>
      </c>
      <c r="AO37">
        <v>5</v>
      </c>
      <c r="AP37">
        <v>5.5</v>
      </c>
      <c r="AQ37">
        <v>6.5</v>
      </c>
      <c r="AR37">
        <v>5.5</v>
      </c>
      <c r="AS37">
        <v>5.5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 t="s">
        <v>26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L37">
        <v>6</v>
      </c>
      <c r="CR37">
        <f t="shared" si="5"/>
        <v>7</v>
      </c>
      <c r="CS37" s="18">
        <f t="shared" si="6"/>
        <v>5.7142857142857144</v>
      </c>
      <c r="CT37">
        <f t="shared" si="7"/>
        <v>0.56694670951384085</v>
      </c>
      <c r="CU37">
        <v>0</v>
      </c>
      <c r="CV37">
        <f t="shared" si="8"/>
        <v>1</v>
      </c>
      <c r="CW37">
        <f t="shared" si="9"/>
        <v>1</v>
      </c>
    </row>
    <row r="38" spans="1:101" x14ac:dyDescent="0.35">
      <c r="A38" t="s">
        <v>376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>
        <v>6.5</v>
      </c>
      <c r="BO38">
        <v>5.5</v>
      </c>
      <c r="BP38">
        <v>5.5</v>
      </c>
      <c r="BQ38">
        <v>5.5</v>
      </c>
      <c r="BR38" t="s">
        <v>26</v>
      </c>
      <c r="BS38">
        <v>5.5</v>
      </c>
      <c r="BT38" t="s">
        <v>26</v>
      </c>
      <c r="BU38" t="s">
        <v>26</v>
      </c>
      <c r="BV38">
        <v>6.5</v>
      </c>
      <c r="BW38">
        <v>5.5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N38">
        <v>6</v>
      </c>
      <c r="CO38">
        <v>5.5</v>
      </c>
      <c r="CR38">
        <f t="shared" si="5"/>
        <v>7</v>
      </c>
      <c r="CS38" s="18">
        <f t="shared" si="6"/>
        <v>5.7857142857142856</v>
      </c>
      <c r="CT38">
        <f t="shared" si="7"/>
        <v>0.4879500364742666</v>
      </c>
      <c r="CU38">
        <v>0</v>
      </c>
      <c r="CV38">
        <f t="shared" si="8"/>
        <v>1</v>
      </c>
      <c r="CW38">
        <f t="shared" si="9"/>
        <v>1</v>
      </c>
    </row>
    <row r="39" spans="1:101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P39">
        <v>6</v>
      </c>
      <c r="CR39">
        <f t="shared" si="5"/>
        <v>6</v>
      </c>
      <c r="CS39" s="18">
        <f t="shared" si="6"/>
        <v>5.166666666666667</v>
      </c>
      <c r="CT39">
        <f t="shared" si="7"/>
        <v>0.28867513459481287</v>
      </c>
      <c r="CU39">
        <v>1</v>
      </c>
      <c r="CV39">
        <f t="shared" si="8"/>
        <v>3</v>
      </c>
      <c r="CW39">
        <f t="shared" si="9"/>
        <v>0</v>
      </c>
    </row>
    <row r="40" spans="1:101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R40">
        <f t="shared" si="5"/>
        <v>5</v>
      </c>
      <c r="CS40" s="18">
        <f t="shared" si="6"/>
        <v>7.8</v>
      </c>
      <c r="CT40">
        <f t="shared" si="7"/>
        <v>1.0307764064044151</v>
      </c>
      <c r="CU40">
        <v>0</v>
      </c>
      <c r="CV40">
        <f t="shared" si="8"/>
        <v>0</v>
      </c>
      <c r="CW40">
        <f t="shared" si="9"/>
        <v>0</v>
      </c>
    </row>
    <row r="41" spans="1:101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R41">
        <f t="shared" si="5"/>
        <v>4</v>
      </c>
      <c r="CS41" s="18">
        <f t="shared" si="6"/>
        <v>3.375</v>
      </c>
      <c r="CT41">
        <f t="shared" si="7"/>
        <v>0.47871355387816905</v>
      </c>
      <c r="CU41">
        <v>0</v>
      </c>
      <c r="CV41">
        <f t="shared" si="8"/>
        <v>1</v>
      </c>
      <c r="CW41">
        <f t="shared" si="9"/>
        <v>1</v>
      </c>
    </row>
    <row r="42" spans="1:101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R42">
        <f t="shared" si="5"/>
        <v>4</v>
      </c>
      <c r="CS42" s="18">
        <f t="shared" si="6"/>
        <v>5.625</v>
      </c>
      <c r="CT42">
        <f t="shared" si="7"/>
        <v>0.9464847243000456</v>
      </c>
      <c r="CU42">
        <v>0</v>
      </c>
      <c r="CV42">
        <f t="shared" si="8"/>
        <v>0</v>
      </c>
      <c r="CW42">
        <f t="shared" si="9"/>
        <v>0</v>
      </c>
    </row>
    <row r="43" spans="1:101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R43">
        <f t="shared" si="5"/>
        <v>4</v>
      </c>
      <c r="CS43" s="18">
        <f t="shared" si="6"/>
        <v>6.75</v>
      </c>
      <c r="CT43">
        <f t="shared" si="7"/>
        <v>1.0408329997330663</v>
      </c>
      <c r="CU43">
        <v>0</v>
      </c>
      <c r="CV43">
        <f t="shared" si="8"/>
        <v>0</v>
      </c>
      <c r="CW43">
        <f t="shared" si="9"/>
        <v>0</v>
      </c>
    </row>
    <row r="44" spans="1:101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R44">
        <f t="shared" si="5"/>
        <v>4</v>
      </c>
      <c r="CS44" s="18">
        <f t="shared" si="6"/>
        <v>1.375</v>
      </c>
      <c r="CT44">
        <f t="shared" si="7"/>
        <v>1.8874586088176875</v>
      </c>
      <c r="CU44">
        <v>0</v>
      </c>
      <c r="CV44">
        <f t="shared" si="8"/>
        <v>0</v>
      </c>
      <c r="CW44">
        <f t="shared" si="9"/>
        <v>0</v>
      </c>
    </row>
    <row r="45" spans="1:101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R45">
        <f t="shared" si="5"/>
        <v>4</v>
      </c>
      <c r="CS45" s="18">
        <f t="shared" si="6"/>
        <v>4.625</v>
      </c>
      <c r="CT45">
        <f t="shared" si="7"/>
        <v>1.4361406616345072</v>
      </c>
      <c r="CU45">
        <v>0</v>
      </c>
      <c r="CV45">
        <f t="shared" si="8"/>
        <v>0</v>
      </c>
      <c r="CW45">
        <f t="shared" si="9"/>
        <v>0</v>
      </c>
    </row>
    <row r="46" spans="1:101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R46">
        <f t="shared" si="5"/>
        <v>4</v>
      </c>
      <c r="CS46" s="18">
        <f t="shared" si="6"/>
        <v>6.25</v>
      </c>
      <c r="CT46">
        <f t="shared" si="7"/>
        <v>0.8660254037844386</v>
      </c>
      <c r="CU46">
        <v>0</v>
      </c>
      <c r="CV46">
        <f t="shared" si="8"/>
        <v>0</v>
      </c>
      <c r="CW46">
        <f t="shared" si="9"/>
        <v>0</v>
      </c>
    </row>
    <row r="47" spans="1:101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R47">
        <f t="shared" si="5"/>
        <v>4</v>
      </c>
      <c r="CS47" s="18">
        <f t="shared" si="6"/>
        <v>2.875</v>
      </c>
      <c r="CT47">
        <f t="shared" si="7"/>
        <v>2.7801378862687129</v>
      </c>
      <c r="CU47">
        <v>0</v>
      </c>
      <c r="CV47">
        <f t="shared" si="8"/>
        <v>0</v>
      </c>
      <c r="CW47">
        <f t="shared" si="9"/>
        <v>0</v>
      </c>
    </row>
    <row r="48" spans="1:101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R48">
        <f t="shared" si="5"/>
        <v>3</v>
      </c>
      <c r="CS48" s="18">
        <f t="shared" si="6"/>
        <v>4.666666666666667</v>
      </c>
      <c r="CT48">
        <f t="shared" si="7"/>
        <v>1.4433756729740652</v>
      </c>
      <c r="CU48">
        <v>0</v>
      </c>
      <c r="CV48">
        <f t="shared" si="8"/>
        <v>0</v>
      </c>
      <c r="CW48">
        <f t="shared" si="9"/>
        <v>0</v>
      </c>
    </row>
    <row r="49" spans="1:101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R49">
        <f t="shared" si="5"/>
        <v>3</v>
      </c>
      <c r="CS49" s="18">
        <f t="shared" si="6"/>
        <v>8.5</v>
      </c>
      <c r="CT49">
        <f t="shared" si="7"/>
        <v>1.5</v>
      </c>
      <c r="CU49">
        <v>0</v>
      </c>
      <c r="CV49">
        <f t="shared" si="8"/>
        <v>0</v>
      </c>
      <c r="CW49">
        <f t="shared" si="9"/>
        <v>0</v>
      </c>
    </row>
    <row r="50" spans="1:101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R50">
        <f t="shared" si="5"/>
        <v>3</v>
      </c>
      <c r="CS50" s="18">
        <f t="shared" si="6"/>
        <v>4</v>
      </c>
      <c r="CT50">
        <f t="shared" si="7"/>
        <v>1.7320508075688772</v>
      </c>
      <c r="CU50">
        <v>0</v>
      </c>
      <c r="CV50">
        <f t="shared" si="8"/>
        <v>0</v>
      </c>
      <c r="CW50">
        <f t="shared" si="9"/>
        <v>0</v>
      </c>
    </row>
    <row r="51" spans="1:101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R51">
        <f t="shared" si="5"/>
        <v>3</v>
      </c>
      <c r="CS51" s="18">
        <f t="shared" si="6"/>
        <v>5.666666666666667</v>
      </c>
      <c r="CT51">
        <f t="shared" si="7"/>
        <v>0</v>
      </c>
      <c r="CU51">
        <v>0</v>
      </c>
      <c r="CV51">
        <f t="shared" si="8"/>
        <v>0</v>
      </c>
      <c r="CW51">
        <f t="shared" si="9"/>
        <v>0</v>
      </c>
    </row>
    <row r="52" spans="1:101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R52">
        <f t="shared" si="5"/>
        <v>3</v>
      </c>
      <c r="CS52" s="18">
        <f t="shared" si="6"/>
        <v>8.5</v>
      </c>
      <c r="CT52">
        <f t="shared" si="7"/>
        <v>0.35355339059327379</v>
      </c>
      <c r="CU52">
        <v>0</v>
      </c>
      <c r="CV52">
        <f t="shared" si="8"/>
        <v>0</v>
      </c>
      <c r="CW52">
        <f t="shared" si="9"/>
        <v>0</v>
      </c>
    </row>
    <row r="53" spans="1:101" x14ac:dyDescent="0.35">
      <c r="A53" t="s">
        <v>362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>
        <v>5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D53">
        <v>5.5</v>
      </c>
      <c r="CR53">
        <f t="shared" si="5"/>
        <v>2</v>
      </c>
      <c r="CS53" s="18">
        <f t="shared" si="6"/>
        <v>5.25</v>
      </c>
      <c r="CT53">
        <f t="shared" si="7"/>
        <v>0.35355339059327379</v>
      </c>
      <c r="CU53">
        <v>0</v>
      </c>
      <c r="CV53">
        <f t="shared" si="8"/>
        <v>0</v>
      </c>
      <c r="CW53">
        <f t="shared" si="9"/>
        <v>0</v>
      </c>
    </row>
    <row r="54" spans="1:101" x14ac:dyDescent="0.35">
      <c r="A54" t="s">
        <v>364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>
        <v>6.5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>
        <v>6.5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L54">
        <v>6.5</v>
      </c>
      <c r="CM54">
        <v>5.5</v>
      </c>
      <c r="CN54">
        <v>6</v>
      </c>
      <c r="CR54">
        <f t="shared" si="5"/>
        <v>2</v>
      </c>
      <c r="CS54" s="18">
        <f t="shared" si="6"/>
        <v>6.5</v>
      </c>
      <c r="CT54">
        <f t="shared" si="7"/>
        <v>0</v>
      </c>
      <c r="CU54">
        <v>1</v>
      </c>
      <c r="CV54">
        <f t="shared" si="8"/>
        <v>3</v>
      </c>
      <c r="CW54">
        <f t="shared" si="9"/>
        <v>0</v>
      </c>
    </row>
    <row r="55" spans="1:101" x14ac:dyDescent="0.35">
      <c r="A55" t="s">
        <v>53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>
        <v>5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>
        <v>5.5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R55">
        <f t="shared" si="5"/>
        <v>2</v>
      </c>
      <c r="CS55" s="18">
        <f t="shared" si="6"/>
        <v>5.25</v>
      </c>
      <c r="CT55">
        <f t="shared" si="7"/>
        <v>0.35355339059327379</v>
      </c>
      <c r="CU55">
        <v>0</v>
      </c>
      <c r="CV55">
        <f t="shared" si="8"/>
        <v>0</v>
      </c>
      <c r="CW55">
        <f t="shared" si="9"/>
        <v>0</v>
      </c>
    </row>
    <row r="56" spans="1:101" x14ac:dyDescent="0.35">
      <c r="A56" t="s">
        <v>339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>
        <v>8.5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>
        <v>5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R56">
        <f t="shared" si="5"/>
        <v>2</v>
      </c>
      <c r="CS56" s="18">
        <f t="shared" si="6"/>
        <v>6.75</v>
      </c>
      <c r="CT56">
        <f t="shared" si="7"/>
        <v>2.4748737341529163</v>
      </c>
      <c r="CU56">
        <v>0</v>
      </c>
      <c r="CV56">
        <f t="shared" si="8"/>
        <v>0</v>
      </c>
      <c r="CW56">
        <f t="shared" si="9"/>
        <v>0</v>
      </c>
    </row>
    <row r="57" spans="1:101" x14ac:dyDescent="0.35">
      <c r="A57" t="s">
        <v>342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>
        <v>7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4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J57">
        <v>5.5</v>
      </c>
      <c r="CO57">
        <v>6</v>
      </c>
      <c r="CR57">
        <f t="shared" si="5"/>
        <v>2</v>
      </c>
      <c r="CS57" s="18">
        <f t="shared" si="6"/>
        <v>5.5</v>
      </c>
      <c r="CT57">
        <f t="shared" si="7"/>
        <v>2.1213203435596424</v>
      </c>
      <c r="CU57">
        <v>0</v>
      </c>
      <c r="CV57">
        <f t="shared" si="8"/>
        <v>0</v>
      </c>
      <c r="CW57">
        <f t="shared" si="9"/>
        <v>0</v>
      </c>
    </row>
    <row r="58" spans="1:101" x14ac:dyDescent="0.35">
      <c r="A58" t="s">
        <v>369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>
        <v>6.5</v>
      </c>
      <c r="BH58">
        <v>5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R58">
        <f t="shared" si="5"/>
        <v>2</v>
      </c>
      <c r="CS58" s="18">
        <f t="shared" si="6"/>
        <v>5.75</v>
      </c>
      <c r="CT58">
        <f t="shared" si="7"/>
        <v>1.0606601717798212</v>
      </c>
      <c r="CU58">
        <v>0</v>
      </c>
      <c r="CV58">
        <f t="shared" si="8"/>
        <v>0</v>
      </c>
      <c r="CW58">
        <f t="shared" si="9"/>
        <v>0</v>
      </c>
    </row>
    <row r="59" spans="1:101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R59">
        <f t="shared" si="5"/>
        <v>2</v>
      </c>
      <c r="CS59" s="18">
        <f t="shared" si="6"/>
        <v>5.5</v>
      </c>
      <c r="CT59">
        <f t="shared" si="7"/>
        <v>0</v>
      </c>
      <c r="CU59">
        <v>0</v>
      </c>
      <c r="CV59">
        <f t="shared" si="8"/>
        <v>0</v>
      </c>
      <c r="CW59">
        <f t="shared" si="9"/>
        <v>0</v>
      </c>
    </row>
    <row r="60" spans="1:101" x14ac:dyDescent="0.35">
      <c r="A60" t="s">
        <v>390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R60">
        <f t="shared" si="5"/>
        <v>2</v>
      </c>
      <c r="CS60" s="18">
        <f t="shared" si="6"/>
        <v>7</v>
      </c>
      <c r="CT60" t="e">
        <f t="shared" si="7"/>
        <v>#DIV/0!</v>
      </c>
      <c r="CU60">
        <v>0</v>
      </c>
      <c r="CV60">
        <f t="shared" si="8"/>
        <v>0</v>
      </c>
      <c r="CW60">
        <f t="shared" si="9"/>
        <v>0</v>
      </c>
    </row>
    <row r="61" spans="1:101" x14ac:dyDescent="0.35">
      <c r="A61" t="s">
        <v>388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3.5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H61">
        <v>5</v>
      </c>
      <c r="CR61">
        <f t="shared" si="5"/>
        <v>2</v>
      </c>
      <c r="CS61" s="18">
        <f t="shared" si="6"/>
        <v>4.25</v>
      </c>
      <c r="CT61" t="e">
        <f t="shared" si="7"/>
        <v>#DIV/0!</v>
      </c>
      <c r="CU61">
        <v>0</v>
      </c>
      <c r="CV61">
        <f t="shared" si="8"/>
        <v>0</v>
      </c>
      <c r="CW61">
        <f t="shared" si="9"/>
        <v>0</v>
      </c>
    </row>
    <row r="62" spans="1:101" x14ac:dyDescent="0.35">
      <c r="A62" t="s">
        <v>345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>
        <v>2.5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I62">
        <v>6</v>
      </c>
      <c r="CJ62">
        <v>4</v>
      </c>
      <c r="CK62">
        <v>3.5</v>
      </c>
      <c r="CL62">
        <v>5.5</v>
      </c>
      <c r="CM62">
        <v>5.5</v>
      </c>
      <c r="CO62">
        <v>4.5</v>
      </c>
      <c r="CR62">
        <f t="shared" si="5"/>
        <v>2</v>
      </c>
      <c r="CS62" s="18">
        <f t="shared" si="6"/>
        <v>4.25</v>
      </c>
      <c r="CT62" t="e">
        <f t="shared" si="7"/>
        <v>#DIV/0!</v>
      </c>
      <c r="CU62">
        <v>1</v>
      </c>
      <c r="CV62">
        <f t="shared" si="8"/>
        <v>3</v>
      </c>
      <c r="CW62">
        <f t="shared" si="9"/>
        <v>0</v>
      </c>
    </row>
    <row r="63" spans="1:101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R63">
        <f t="shared" si="5"/>
        <v>2</v>
      </c>
      <c r="CS63" s="18">
        <f t="shared" si="6"/>
        <v>6.5</v>
      </c>
      <c r="CT63" t="e">
        <f t="shared" si="7"/>
        <v>#DIV/0!</v>
      </c>
      <c r="CU63">
        <v>0</v>
      </c>
      <c r="CV63">
        <f t="shared" si="8"/>
        <v>0</v>
      </c>
      <c r="CW63">
        <f t="shared" si="9"/>
        <v>0</v>
      </c>
    </row>
    <row r="64" spans="1:101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R64">
        <f t="shared" si="5"/>
        <v>1</v>
      </c>
      <c r="CS64" s="18">
        <f t="shared" si="6"/>
        <v>10</v>
      </c>
      <c r="CT64" t="str">
        <f t="shared" si="7"/>
        <v/>
      </c>
      <c r="CU64">
        <v>0</v>
      </c>
      <c r="CV64">
        <f t="shared" si="8"/>
        <v>0</v>
      </c>
      <c r="CW64">
        <f t="shared" si="9"/>
        <v>0</v>
      </c>
    </row>
    <row r="65" spans="1:101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R65">
        <f t="shared" ref="CR65:CR83" si="10">COUNT(B65:CI65)</f>
        <v>1</v>
      </c>
      <c r="CS65" s="18">
        <f t="shared" ref="CS65:CS83" si="11">AVERAGE(B65:CI65)</f>
        <v>7</v>
      </c>
      <c r="CT65" t="str">
        <f t="shared" si="7"/>
        <v/>
      </c>
      <c r="CU65">
        <v>0</v>
      </c>
      <c r="CV65">
        <f t="shared" si="8"/>
        <v>0</v>
      </c>
      <c r="CW65">
        <f t="shared" si="9"/>
        <v>0</v>
      </c>
    </row>
    <row r="66" spans="1:101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R66">
        <f t="shared" si="10"/>
        <v>1</v>
      </c>
      <c r="CS66" s="18">
        <f t="shared" si="11"/>
        <v>7</v>
      </c>
      <c r="CT66" t="str">
        <f t="shared" ref="CT66:CT83" si="12">IF(CR66&gt;1,_xlfn.STDEV.S(B66:CF66),"")</f>
        <v/>
      </c>
      <c r="CU66">
        <v>0</v>
      </c>
      <c r="CV66">
        <f t="shared" ref="CV66:CV83" si="13">COUNT(CK66:CN66)</f>
        <v>0</v>
      </c>
      <c r="CW66">
        <f t="shared" ref="CW66:CW83" si="14">IF(CU66=0,CV66,0)</f>
        <v>0</v>
      </c>
    </row>
    <row r="67" spans="1:101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R67">
        <f t="shared" si="10"/>
        <v>1</v>
      </c>
      <c r="CS67" s="18">
        <f t="shared" si="11"/>
        <v>7</v>
      </c>
      <c r="CT67" t="str">
        <f t="shared" si="12"/>
        <v/>
      </c>
      <c r="CU67">
        <v>0</v>
      </c>
      <c r="CV67">
        <f t="shared" si="13"/>
        <v>0</v>
      </c>
      <c r="CW67">
        <f t="shared" si="14"/>
        <v>0</v>
      </c>
    </row>
    <row r="68" spans="1:101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R68">
        <f t="shared" si="10"/>
        <v>1</v>
      </c>
      <c r="CS68" s="18">
        <f t="shared" si="11"/>
        <v>3.5</v>
      </c>
      <c r="CT68" t="str">
        <f t="shared" si="12"/>
        <v/>
      </c>
      <c r="CU68">
        <v>0</v>
      </c>
      <c r="CV68">
        <f t="shared" si="13"/>
        <v>0</v>
      </c>
      <c r="CW68">
        <f t="shared" si="14"/>
        <v>0</v>
      </c>
    </row>
    <row r="69" spans="1:101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R69">
        <f t="shared" si="10"/>
        <v>1</v>
      </c>
      <c r="CS69" s="18">
        <f t="shared" si="11"/>
        <v>3</v>
      </c>
      <c r="CT69" t="str">
        <f t="shared" si="12"/>
        <v/>
      </c>
      <c r="CU69">
        <v>0</v>
      </c>
      <c r="CV69">
        <f t="shared" si="13"/>
        <v>0</v>
      </c>
      <c r="CW69">
        <f t="shared" si="14"/>
        <v>0</v>
      </c>
    </row>
    <row r="70" spans="1:101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R70">
        <f t="shared" si="10"/>
        <v>1</v>
      </c>
      <c r="CS70" s="18">
        <f t="shared" si="11"/>
        <v>6.5</v>
      </c>
      <c r="CT70" t="str">
        <f t="shared" si="12"/>
        <v/>
      </c>
      <c r="CU70">
        <v>0</v>
      </c>
      <c r="CV70">
        <f t="shared" si="13"/>
        <v>0</v>
      </c>
      <c r="CW70">
        <f t="shared" si="14"/>
        <v>0</v>
      </c>
    </row>
    <row r="71" spans="1:101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R71">
        <f t="shared" si="10"/>
        <v>1</v>
      </c>
      <c r="CS71" s="18">
        <f t="shared" si="11"/>
        <v>4</v>
      </c>
      <c r="CT71" t="str">
        <f t="shared" si="12"/>
        <v/>
      </c>
      <c r="CU71">
        <v>0</v>
      </c>
      <c r="CV71">
        <f t="shared" si="13"/>
        <v>0</v>
      </c>
      <c r="CW71">
        <f t="shared" si="14"/>
        <v>0</v>
      </c>
    </row>
    <row r="72" spans="1:101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R72">
        <f t="shared" si="10"/>
        <v>1</v>
      </c>
      <c r="CS72" s="18">
        <f t="shared" si="11"/>
        <v>6.5</v>
      </c>
      <c r="CT72" t="str">
        <f t="shared" si="12"/>
        <v/>
      </c>
      <c r="CU72">
        <v>0</v>
      </c>
      <c r="CV72">
        <f t="shared" si="13"/>
        <v>0</v>
      </c>
      <c r="CW72">
        <f t="shared" si="14"/>
        <v>0</v>
      </c>
    </row>
    <row r="73" spans="1:101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R73">
        <f t="shared" si="10"/>
        <v>1</v>
      </c>
      <c r="CS73" s="18">
        <f t="shared" si="11"/>
        <v>5</v>
      </c>
      <c r="CT73" t="str">
        <f t="shared" si="12"/>
        <v/>
      </c>
      <c r="CU73">
        <v>0</v>
      </c>
      <c r="CV73">
        <f t="shared" si="13"/>
        <v>0</v>
      </c>
      <c r="CW73">
        <f t="shared" si="14"/>
        <v>0</v>
      </c>
    </row>
    <row r="74" spans="1:101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R74">
        <f t="shared" si="10"/>
        <v>1</v>
      </c>
      <c r="CS74" s="18">
        <f t="shared" si="11"/>
        <v>5.5</v>
      </c>
      <c r="CT74" t="str">
        <f t="shared" si="12"/>
        <v/>
      </c>
      <c r="CU74">
        <v>0</v>
      </c>
      <c r="CV74">
        <f t="shared" si="13"/>
        <v>0</v>
      </c>
      <c r="CW74">
        <f t="shared" si="14"/>
        <v>0</v>
      </c>
    </row>
    <row r="75" spans="1:101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R75">
        <f t="shared" si="10"/>
        <v>1</v>
      </c>
      <c r="CS75" s="18">
        <f t="shared" si="11"/>
        <v>2</v>
      </c>
      <c r="CT75" t="str">
        <f t="shared" si="12"/>
        <v/>
      </c>
      <c r="CU75">
        <v>0</v>
      </c>
      <c r="CV75">
        <f t="shared" si="13"/>
        <v>0</v>
      </c>
      <c r="CW75">
        <f t="shared" si="14"/>
        <v>0</v>
      </c>
    </row>
    <row r="76" spans="1:101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R76">
        <f t="shared" si="10"/>
        <v>1</v>
      </c>
      <c r="CS76" s="18">
        <f t="shared" si="11"/>
        <v>2.5</v>
      </c>
      <c r="CT76" t="str">
        <f t="shared" si="12"/>
        <v/>
      </c>
      <c r="CU76">
        <v>0</v>
      </c>
      <c r="CV76">
        <f t="shared" si="13"/>
        <v>0</v>
      </c>
      <c r="CW76">
        <f t="shared" si="14"/>
        <v>0</v>
      </c>
    </row>
    <row r="77" spans="1:101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R77">
        <f t="shared" si="10"/>
        <v>1</v>
      </c>
      <c r="CS77" s="18">
        <f t="shared" si="11"/>
        <v>7</v>
      </c>
      <c r="CT77" t="str">
        <f t="shared" si="12"/>
        <v/>
      </c>
      <c r="CU77">
        <v>0</v>
      </c>
      <c r="CV77">
        <f t="shared" si="13"/>
        <v>0</v>
      </c>
      <c r="CW77">
        <f t="shared" si="14"/>
        <v>0</v>
      </c>
    </row>
    <row r="78" spans="1:101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R78">
        <f t="shared" si="10"/>
        <v>1</v>
      </c>
      <c r="CS78" s="18">
        <f t="shared" si="11"/>
        <v>5.5</v>
      </c>
      <c r="CT78" t="str">
        <f t="shared" si="12"/>
        <v/>
      </c>
      <c r="CU78">
        <v>0</v>
      </c>
      <c r="CV78">
        <f t="shared" si="13"/>
        <v>0</v>
      </c>
      <c r="CW78">
        <f t="shared" si="14"/>
        <v>0</v>
      </c>
    </row>
    <row r="79" spans="1:101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R79">
        <f t="shared" si="10"/>
        <v>1</v>
      </c>
      <c r="CS79" s="18">
        <f t="shared" si="11"/>
        <v>5</v>
      </c>
      <c r="CT79" t="str">
        <f t="shared" si="12"/>
        <v/>
      </c>
      <c r="CU79">
        <v>0</v>
      </c>
      <c r="CV79">
        <f t="shared" si="13"/>
        <v>0</v>
      </c>
      <c r="CW79">
        <f t="shared" si="14"/>
        <v>0</v>
      </c>
    </row>
    <row r="80" spans="1:101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R80">
        <f t="shared" si="10"/>
        <v>1</v>
      </c>
      <c r="CS80" s="18">
        <f t="shared" si="11"/>
        <v>5.5</v>
      </c>
      <c r="CT80" t="str">
        <f t="shared" si="12"/>
        <v/>
      </c>
      <c r="CU80">
        <v>0</v>
      </c>
      <c r="CV80">
        <f t="shared" si="13"/>
        <v>0</v>
      </c>
      <c r="CW80">
        <f t="shared" si="14"/>
        <v>0</v>
      </c>
    </row>
    <row r="81" spans="1:101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R81">
        <f t="shared" si="10"/>
        <v>1</v>
      </c>
      <c r="CS81" s="18">
        <f t="shared" si="11"/>
        <v>5.5</v>
      </c>
      <c r="CT81" t="str">
        <f t="shared" si="12"/>
        <v/>
      </c>
      <c r="CU81">
        <v>0</v>
      </c>
      <c r="CV81">
        <f t="shared" si="13"/>
        <v>0</v>
      </c>
      <c r="CW81">
        <f t="shared" si="14"/>
        <v>0</v>
      </c>
    </row>
    <row r="82" spans="1:101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R82">
        <f t="shared" si="10"/>
        <v>1</v>
      </c>
      <c r="CS82" s="18">
        <f t="shared" si="11"/>
        <v>7.5</v>
      </c>
      <c r="CT82" t="str">
        <f t="shared" si="12"/>
        <v/>
      </c>
      <c r="CU82">
        <v>0</v>
      </c>
      <c r="CV82">
        <f t="shared" si="13"/>
        <v>0</v>
      </c>
      <c r="CW82">
        <f t="shared" si="14"/>
        <v>0</v>
      </c>
    </row>
    <row r="83" spans="1:101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R83">
        <f t="shared" si="10"/>
        <v>1</v>
      </c>
      <c r="CS83" s="18">
        <f t="shared" si="11"/>
        <v>7</v>
      </c>
      <c r="CT83" t="str">
        <f t="shared" si="12"/>
        <v/>
      </c>
      <c r="CU83">
        <v>0</v>
      </c>
      <c r="CV83">
        <f t="shared" si="13"/>
        <v>0</v>
      </c>
      <c r="CW83">
        <f t="shared" si="14"/>
        <v>0</v>
      </c>
    </row>
    <row r="84" spans="1:101" x14ac:dyDescent="0.35">
      <c r="A84" t="s">
        <v>393</v>
      </c>
      <c r="CO84">
        <v>6.5</v>
      </c>
      <c r="CP84">
        <v>7</v>
      </c>
      <c r="CR84">
        <f t="shared" ref="CR84:CR87" si="15">COUNT(B84:CI84)</f>
        <v>0</v>
      </c>
      <c r="CS84" s="18" t="e">
        <f t="shared" ref="CS84:CS87" si="16">AVERAGE(B84:CI84)</f>
        <v>#DIV/0!</v>
      </c>
      <c r="CT84" t="str">
        <f t="shared" ref="CT84:CT87" si="17">IF(CR84&gt;1,_xlfn.STDEV.S(B84:CF84),"")</f>
        <v/>
      </c>
      <c r="CU84">
        <v>0</v>
      </c>
      <c r="CV84">
        <f t="shared" ref="CV84:CV87" si="18">COUNT(CK84:CN84)</f>
        <v>0</v>
      </c>
      <c r="CW84">
        <f t="shared" ref="CW84:CW87" si="19">IF(CU84=0,CV84,0)</f>
        <v>0</v>
      </c>
    </row>
    <row r="85" spans="1:101" x14ac:dyDescent="0.35">
      <c r="A85" t="s">
        <v>394</v>
      </c>
      <c r="CP85">
        <v>6</v>
      </c>
      <c r="CR85">
        <f t="shared" si="15"/>
        <v>0</v>
      </c>
      <c r="CS85" s="18" t="e">
        <f t="shared" si="16"/>
        <v>#DIV/0!</v>
      </c>
      <c r="CT85" t="str">
        <f t="shared" si="17"/>
        <v/>
      </c>
      <c r="CU85">
        <v>0</v>
      </c>
      <c r="CV85">
        <f t="shared" si="18"/>
        <v>0</v>
      </c>
      <c r="CW85">
        <f t="shared" si="19"/>
        <v>0</v>
      </c>
    </row>
    <row r="86" spans="1:101" x14ac:dyDescent="0.35">
      <c r="A86" t="s">
        <v>395</v>
      </c>
      <c r="CP86">
        <v>5.5</v>
      </c>
      <c r="CR86">
        <f t="shared" si="15"/>
        <v>0</v>
      </c>
      <c r="CS86" s="18" t="e">
        <f t="shared" si="16"/>
        <v>#DIV/0!</v>
      </c>
      <c r="CT86" t="str">
        <f t="shared" si="17"/>
        <v/>
      </c>
      <c r="CU86">
        <v>0</v>
      </c>
      <c r="CV86">
        <f t="shared" si="18"/>
        <v>0</v>
      </c>
      <c r="CW86">
        <f t="shared" si="19"/>
        <v>0</v>
      </c>
    </row>
    <row r="87" spans="1:101" x14ac:dyDescent="0.35">
      <c r="A87" t="s">
        <v>396</v>
      </c>
      <c r="CP87">
        <v>6.5</v>
      </c>
      <c r="CR87">
        <f t="shared" si="15"/>
        <v>0</v>
      </c>
      <c r="CS87" s="18" t="e">
        <f t="shared" si="16"/>
        <v>#DIV/0!</v>
      </c>
      <c r="CT87" t="str">
        <f t="shared" si="17"/>
        <v/>
      </c>
      <c r="CU87">
        <v>0</v>
      </c>
      <c r="CV87">
        <f t="shared" si="18"/>
        <v>0</v>
      </c>
      <c r="CW87">
        <f t="shared" si="19"/>
        <v>0</v>
      </c>
    </row>
  </sheetData>
  <autoFilter ref="A1:CW83" xr:uid="{B9A4D56B-02EF-476F-9B0E-F093A198C591}">
    <sortState ref="A2:CW83">
      <sortCondition descending="1" ref="CR1:CR83"/>
    </sortState>
  </autoFilter>
  <conditionalFormatting sqref="CR2:CR8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87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R2:CR87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87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8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87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8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P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A7" workbookViewId="0">
      <selection activeCell="Q34" sqref="Q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A88"/>
  <sheetViews>
    <sheetView topLeftCell="A34" zoomScale="85" zoomScaleNormal="85" workbookViewId="0">
      <pane xSplit="1" topLeftCell="H1" activePane="topRight" state="frozen"/>
      <selection activeCell="A31" sqref="A31"/>
      <selection pane="topRight" activeCell="W54" sqref="W54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9.6328125" customWidth="1"/>
    <col min="27" max="27" width="16.6328125" bestFit="1" customWidth="1"/>
  </cols>
  <sheetData>
    <row r="1" spans="1:27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AA1" t="s">
        <v>349</v>
      </c>
    </row>
    <row r="2" spans="1:27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AA2" s="1">
        <v>46116</v>
      </c>
    </row>
    <row r="3" spans="1:27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21">
        <v>96.34</v>
      </c>
    </row>
    <row r="4" spans="1:27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7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t="s">
        <v>370</v>
      </c>
      <c r="AA5">
        <v>8</v>
      </c>
    </row>
    <row r="6" spans="1:27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Z6" t="s">
        <v>371</v>
      </c>
      <c r="AA6">
        <f>27*AA5</f>
        <v>216</v>
      </c>
    </row>
    <row r="7" spans="1:27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t="s">
        <v>372</v>
      </c>
      <c r="AA7">
        <f>1950-AA6</f>
        <v>1734</v>
      </c>
    </row>
    <row r="8" spans="1:27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Z8" t="s">
        <v>373</v>
      </c>
      <c r="AA8">
        <f>AA7/18</f>
        <v>96.333333333333329</v>
      </c>
    </row>
    <row r="9" spans="1:27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7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</row>
    <row r="11" spans="1:27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</row>
    <row r="12" spans="1:27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</row>
    <row r="13" spans="1:27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</row>
    <row r="14" spans="1:27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</row>
    <row r="15" spans="1:27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</row>
    <row r="16" spans="1:27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Z16" s="60"/>
    </row>
    <row r="17" spans="1:26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Z17" s="60"/>
    </row>
    <row r="18" spans="1:26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</row>
    <row r="19" spans="1:26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</row>
    <row r="20" spans="1:26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21">
        <v>48.17</v>
      </c>
    </row>
    <row r="21" spans="1:26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6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6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6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</row>
    <row r="25" spans="1:26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6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/>
      <c r="Y26" s="19"/>
    </row>
    <row r="27" spans="1:26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</row>
    <row r="28" spans="1:2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6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6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21">
        <v>27</v>
      </c>
      <c r="X30">
        <v>24.84</v>
      </c>
    </row>
    <row r="31" spans="1:26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6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</row>
    <row r="33" spans="1:24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4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>
        <v>-100</v>
      </c>
    </row>
    <row r="35" spans="1:24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</row>
    <row r="36" spans="1:24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4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</row>
    <row r="38" spans="1:24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4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</row>
    <row r="40" spans="1:24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21">
        <v>27</v>
      </c>
    </row>
    <row r="41" spans="1:24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4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</row>
    <row r="43" spans="1:24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</row>
    <row r="44" spans="1:24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4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4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4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</row>
    <row r="48" spans="1:24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4" x14ac:dyDescent="0.35">
      <c r="A49" t="s">
        <v>80</v>
      </c>
      <c r="G49" s="19">
        <v>25</v>
      </c>
      <c r="H49" s="19"/>
      <c r="I49" s="19"/>
    </row>
    <row r="50" spans="1:24" x14ac:dyDescent="0.35">
      <c r="A50" t="s">
        <v>83</v>
      </c>
      <c r="G50" s="19"/>
      <c r="H50" s="19">
        <v>25</v>
      </c>
      <c r="I50" s="19"/>
    </row>
    <row r="51" spans="1:24" x14ac:dyDescent="0.35">
      <c r="A51" t="s">
        <v>86</v>
      </c>
      <c r="G51" s="19"/>
      <c r="H51" s="19">
        <v>25</v>
      </c>
      <c r="I51" s="19"/>
    </row>
    <row r="52" spans="1:24" x14ac:dyDescent="0.35">
      <c r="A52" t="s">
        <v>85</v>
      </c>
      <c r="G52" s="19"/>
      <c r="H52" s="19">
        <v>25</v>
      </c>
      <c r="I52" s="19">
        <v>50</v>
      </c>
    </row>
    <row r="53" spans="1:24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</row>
    <row r="54" spans="1:24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21">
        <v>27</v>
      </c>
    </row>
    <row r="55" spans="1:24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4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4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</row>
    <row r="58" spans="1:24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>
        <v>-27</v>
      </c>
    </row>
    <row r="59" spans="1:24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4" x14ac:dyDescent="0.35">
      <c r="A60" t="s">
        <v>347</v>
      </c>
      <c r="G60"/>
      <c r="H60"/>
      <c r="I60"/>
      <c r="K60" s="19">
        <v>25</v>
      </c>
      <c r="L60" s="19"/>
    </row>
    <row r="61" spans="1:24" x14ac:dyDescent="0.35">
      <c r="A61" t="s">
        <v>354</v>
      </c>
      <c r="G61"/>
      <c r="H61"/>
      <c r="I61"/>
      <c r="K61" s="19"/>
      <c r="L61" s="19">
        <v>25</v>
      </c>
    </row>
    <row r="62" spans="1:24" x14ac:dyDescent="0.35">
      <c r="A62" t="s">
        <v>356</v>
      </c>
      <c r="L62" s="19">
        <v>25</v>
      </c>
    </row>
    <row r="63" spans="1:24" x14ac:dyDescent="0.35">
      <c r="A63" t="s">
        <v>352</v>
      </c>
      <c r="L63" s="19">
        <v>25</v>
      </c>
    </row>
    <row r="64" spans="1:24" x14ac:dyDescent="0.35">
      <c r="A64" t="s">
        <v>350</v>
      </c>
      <c r="L64" s="19">
        <v>25</v>
      </c>
    </row>
    <row r="65" spans="1:23" x14ac:dyDescent="0.35">
      <c r="A65" t="s">
        <v>363</v>
      </c>
      <c r="L65" s="19"/>
      <c r="M65" s="19">
        <v>25</v>
      </c>
      <c r="U65" s="19">
        <v>27</v>
      </c>
    </row>
    <row r="66" spans="1:23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3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</row>
    <row r="68" spans="1:23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3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3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</row>
    <row r="71" spans="1:23" x14ac:dyDescent="0.35">
      <c r="A71" t="s">
        <v>369</v>
      </c>
      <c r="O71" s="19">
        <v>54</v>
      </c>
      <c r="P71" s="19"/>
      <c r="Q71" s="19"/>
    </row>
    <row r="72" spans="1:23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</row>
    <row r="73" spans="1:23" x14ac:dyDescent="0.35">
      <c r="A73" t="s">
        <v>374</v>
      </c>
      <c r="O73" s="19"/>
      <c r="P73" s="19"/>
      <c r="Q73" s="19">
        <v>27</v>
      </c>
    </row>
    <row r="74" spans="1:23" x14ac:dyDescent="0.35">
      <c r="A74" t="s">
        <v>375</v>
      </c>
      <c r="O74" s="19"/>
      <c r="P74" s="19"/>
      <c r="Q74" s="19">
        <v>27</v>
      </c>
    </row>
    <row r="75" spans="1:23" x14ac:dyDescent="0.35">
      <c r="A75" t="s">
        <v>377</v>
      </c>
      <c r="O75" s="19"/>
      <c r="P75" s="19"/>
      <c r="Q75" s="19"/>
      <c r="R75" s="19">
        <v>27</v>
      </c>
      <c r="S75" s="19"/>
    </row>
    <row r="76" spans="1:23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</row>
    <row r="77" spans="1:23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3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3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3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3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3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3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3" x14ac:dyDescent="0.35">
      <c r="U84" s="22"/>
    </row>
    <row r="85" spans="1:23" x14ac:dyDescent="0.35">
      <c r="A85" t="s">
        <v>386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  <c r="W85" s="20">
        <f>SUM(W2:W83)</f>
        <v>1950.1299999999994</v>
      </c>
    </row>
    <row r="86" spans="1:23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  <c r="W86" s="20">
        <f>SUM(W3:W80)</f>
        <v>1853.7899999999993</v>
      </c>
    </row>
    <row r="87" spans="1:23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9*27+85.84*17</f>
        <v>1702.28</v>
      </c>
      <c r="V87" s="23">
        <f>19*27+85.84*17</f>
        <v>1972.28</v>
      </c>
      <c r="W87" s="23">
        <f>5*27+85.84*15.75</f>
        <v>1486.98</v>
      </c>
    </row>
    <row r="88" spans="1:23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0.91679143463415169</v>
      </c>
      <c r="V88" s="24">
        <f t="shared" si="8"/>
        <v>1.1355957576664863</v>
      </c>
      <c r="W88" s="24">
        <f t="shared" ref="W88" si="9">W87/W86</f>
        <v>0.80212969106533138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3"/>
  <sheetViews>
    <sheetView topLeftCell="A246" workbookViewId="0">
      <selection activeCell="K271" sqref="K271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385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385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393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393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396</v>
      </c>
      <c r="G271" s="8" t="s">
        <v>393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394</v>
      </c>
      <c r="O272" s="61" t="s">
        <v>395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394</v>
      </c>
      <c r="G273" s="61" t="s">
        <v>395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396</v>
      </c>
      <c r="O273" s="8" t="s">
        <v>393</v>
      </c>
      <c r="P27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W87"/>
  <sheetViews>
    <sheetView tabSelected="1" topLeftCell="A55" zoomScaleNormal="100" workbookViewId="0">
      <pane xSplit="1" topLeftCell="BK1" activePane="topRight" state="frozen"/>
      <selection pane="topRight" activeCell="BW84" sqref="BW84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5" width="10.453125" bestFit="1" customWidth="1"/>
  </cols>
  <sheetData>
    <row r="1" spans="1:75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</row>
    <row r="2" spans="1:75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</row>
    <row r="3" spans="1:75" x14ac:dyDescent="0.35">
      <c r="A3" t="s">
        <v>24</v>
      </c>
      <c r="BO3">
        <v>2</v>
      </c>
    </row>
    <row r="4" spans="1:75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5" hidden="1" x14ac:dyDescent="0.35">
      <c r="A5" t="s">
        <v>365</v>
      </c>
    </row>
    <row r="6" spans="1:75" x14ac:dyDescent="0.35">
      <c r="A6" t="s">
        <v>77</v>
      </c>
      <c r="G6">
        <v>3</v>
      </c>
    </row>
    <row r="7" spans="1:75" x14ac:dyDescent="0.35">
      <c r="A7" t="s">
        <v>393</v>
      </c>
      <c r="BW7">
        <v>2</v>
      </c>
    </row>
    <row r="8" spans="1:75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75" x14ac:dyDescent="0.35">
      <c r="A9" t="s">
        <v>7</v>
      </c>
      <c r="K9">
        <v>1</v>
      </c>
    </row>
    <row r="10" spans="1:75" x14ac:dyDescent="0.35">
      <c r="A10" t="s">
        <v>353</v>
      </c>
      <c r="G10">
        <v>1</v>
      </c>
    </row>
    <row r="11" spans="1:75" hidden="1" x14ac:dyDescent="0.35">
      <c r="A11" t="s">
        <v>347</v>
      </c>
    </row>
    <row r="12" spans="1:75" x14ac:dyDescent="0.35">
      <c r="A12" t="s">
        <v>48</v>
      </c>
    </row>
    <row r="13" spans="1:75" x14ac:dyDescent="0.35">
      <c r="A13" t="s">
        <v>382</v>
      </c>
    </row>
    <row r="14" spans="1:75" x14ac:dyDescent="0.35">
      <c r="A14" t="s">
        <v>395</v>
      </c>
      <c r="BW14">
        <v>1</v>
      </c>
    </row>
    <row r="15" spans="1:75" x14ac:dyDescent="0.35">
      <c r="A15" t="s">
        <v>362</v>
      </c>
      <c r="BK15">
        <v>1</v>
      </c>
    </row>
    <row r="16" spans="1:75" hidden="1" x14ac:dyDescent="0.35">
      <c r="A16" t="s">
        <v>18</v>
      </c>
    </row>
    <row r="17" spans="1:75" x14ac:dyDescent="0.35">
      <c r="A17" t="s">
        <v>25</v>
      </c>
      <c r="C17">
        <v>1</v>
      </c>
      <c r="E17">
        <v>1</v>
      </c>
      <c r="G17">
        <v>1</v>
      </c>
      <c r="J17">
        <v>3</v>
      </c>
      <c r="K17">
        <v>3</v>
      </c>
      <c r="M17">
        <v>1</v>
      </c>
      <c r="R17">
        <v>1</v>
      </c>
      <c r="V17">
        <v>1</v>
      </c>
      <c r="AE17">
        <v>1</v>
      </c>
      <c r="AF17">
        <v>1</v>
      </c>
      <c r="AH17">
        <v>2</v>
      </c>
      <c r="AT17">
        <v>1</v>
      </c>
      <c r="BA17">
        <v>1</v>
      </c>
      <c r="BH17">
        <v>1</v>
      </c>
      <c r="BM17">
        <v>1</v>
      </c>
    </row>
    <row r="18" spans="1:75" x14ac:dyDescent="0.35">
      <c r="A18" t="s">
        <v>14</v>
      </c>
      <c r="E18">
        <v>1</v>
      </c>
      <c r="F18">
        <v>1</v>
      </c>
      <c r="J18">
        <v>1</v>
      </c>
      <c r="P18">
        <v>1</v>
      </c>
      <c r="S18">
        <v>1</v>
      </c>
      <c r="W18">
        <v>1</v>
      </c>
      <c r="Z18">
        <v>2</v>
      </c>
      <c r="AA18">
        <v>0.5</v>
      </c>
      <c r="AK18">
        <v>1</v>
      </c>
      <c r="AR18">
        <v>2</v>
      </c>
      <c r="AX18">
        <v>1</v>
      </c>
    </row>
    <row r="19" spans="1:75" x14ac:dyDescent="0.35">
      <c r="A19" t="s">
        <v>378</v>
      </c>
      <c r="BL19">
        <v>1</v>
      </c>
      <c r="BR19">
        <v>1</v>
      </c>
    </row>
    <row r="20" spans="1:75" x14ac:dyDescent="0.35">
      <c r="A20" t="s">
        <v>54</v>
      </c>
      <c r="C20">
        <v>2</v>
      </c>
      <c r="D20">
        <v>3</v>
      </c>
      <c r="V20">
        <v>2</v>
      </c>
    </row>
    <row r="21" spans="1:75" x14ac:dyDescent="0.35">
      <c r="A21" t="s">
        <v>66</v>
      </c>
      <c r="D21">
        <v>2</v>
      </c>
      <c r="I21">
        <v>3</v>
      </c>
      <c r="J21">
        <v>1</v>
      </c>
      <c r="T21">
        <v>1</v>
      </c>
      <c r="W21">
        <v>1</v>
      </c>
      <c r="X21">
        <v>1</v>
      </c>
      <c r="Y21">
        <v>1</v>
      </c>
      <c r="Z21">
        <v>1</v>
      </c>
      <c r="AA21">
        <v>1</v>
      </c>
      <c r="AC21">
        <v>1</v>
      </c>
      <c r="AD21">
        <v>1</v>
      </c>
      <c r="AH21">
        <v>1</v>
      </c>
      <c r="AI21">
        <v>1</v>
      </c>
      <c r="BA21">
        <v>3</v>
      </c>
      <c r="BG21">
        <v>1</v>
      </c>
      <c r="BP21">
        <v>1</v>
      </c>
      <c r="BU21">
        <v>2</v>
      </c>
    </row>
    <row r="22" spans="1:75" x14ac:dyDescent="0.35">
      <c r="A22" t="s">
        <v>84</v>
      </c>
      <c r="I22">
        <v>2</v>
      </c>
      <c r="J22">
        <v>1</v>
      </c>
      <c r="L22">
        <v>3</v>
      </c>
      <c r="N22">
        <v>2</v>
      </c>
      <c r="O22">
        <v>2</v>
      </c>
      <c r="P22">
        <v>1</v>
      </c>
      <c r="S22">
        <v>2</v>
      </c>
      <c r="V22">
        <v>4</v>
      </c>
      <c r="W22">
        <v>6</v>
      </c>
      <c r="X22">
        <v>3</v>
      </c>
      <c r="AB22">
        <v>1</v>
      </c>
      <c r="AC22">
        <v>2</v>
      </c>
      <c r="AD22">
        <v>3</v>
      </c>
      <c r="AE22">
        <v>1</v>
      </c>
      <c r="AH22">
        <v>4</v>
      </c>
      <c r="AI22">
        <v>5</v>
      </c>
      <c r="AK22">
        <v>1</v>
      </c>
      <c r="AL22">
        <v>1</v>
      </c>
      <c r="AN22">
        <v>2</v>
      </c>
      <c r="AU22">
        <v>4</v>
      </c>
      <c r="AV22">
        <v>1</v>
      </c>
      <c r="AX22">
        <v>1</v>
      </c>
      <c r="BH22">
        <v>1</v>
      </c>
      <c r="BI22">
        <v>2</v>
      </c>
      <c r="BK22">
        <v>2</v>
      </c>
      <c r="BQ22">
        <v>2</v>
      </c>
      <c r="BR22">
        <v>3</v>
      </c>
      <c r="BU22">
        <v>1</v>
      </c>
      <c r="BV22">
        <v>1</v>
      </c>
    </row>
    <row r="23" spans="1:75" x14ac:dyDescent="0.35">
      <c r="A23" t="s">
        <v>391</v>
      </c>
      <c r="BP23">
        <v>2</v>
      </c>
    </row>
    <row r="24" spans="1:75" x14ac:dyDescent="0.35">
      <c r="A24" t="s">
        <v>15</v>
      </c>
      <c r="F24">
        <v>1</v>
      </c>
      <c r="H24">
        <v>2</v>
      </c>
      <c r="I24">
        <v>1</v>
      </c>
      <c r="AK24">
        <v>1</v>
      </c>
      <c r="AL24">
        <v>4</v>
      </c>
      <c r="AO24">
        <v>2</v>
      </c>
      <c r="AR24">
        <v>3</v>
      </c>
      <c r="AS24">
        <v>2</v>
      </c>
      <c r="AT24">
        <v>1</v>
      </c>
      <c r="AY24">
        <v>1</v>
      </c>
      <c r="BE24">
        <v>2</v>
      </c>
      <c r="BF24">
        <v>1</v>
      </c>
      <c r="BI24">
        <v>2</v>
      </c>
      <c r="BR24">
        <v>1</v>
      </c>
      <c r="BS24">
        <v>1</v>
      </c>
      <c r="BT24">
        <v>3</v>
      </c>
      <c r="BU24">
        <v>1</v>
      </c>
      <c r="BW24">
        <v>1</v>
      </c>
    </row>
    <row r="25" spans="1:75" x14ac:dyDescent="0.35">
      <c r="A25" t="s">
        <v>375</v>
      </c>
      <c r="AW25">
        <v>1</v>
      </c>
    </row>
    <row r="26" spans="1:75" x14ac:dyDescent="0.35">
      <c r="A26" t="s">
        <v>6</v>
      </c>
      <c r="B26">
        <v>3</v>
      </c>
      <c r="E26">
        <v>2</v>
      </c>
      <c r="H26">
        <v>1</v>
      </c>
      <c r="L26">
        <v>2</v>
      </c>
      <c r="M26">
        <v>2</v>
      </c>
      <c r="N26">
        <v>6</v>
      </c>
      <c r="O26">
        <v>1</v>
      </c>
      <c r="Q26">
        <v>3</v>
      </c>
      <c r="R26">
        <v>1</v>
      </c>
      <c r="S26">
        <v>1</v>
      </c>
      <c r="T26">
        <v>3</v>
      </c>
      <c r="U26">
        <v>3</v>
      </c>
      <c r="V26">
        <v>6</v>
      </c>
      <c r="W26">
        <v>2</v>
      </c>
      <c r="X26">
        <v>3</v>
      </c>
      <c r="Y26">
        <v>1</v>
      </c>
      <c r="Z26">
        <v>3.5</v>
      </c>
      <c r="AA26">
        <v>3.5</v>
      </c>
      <c r="AB26">
        <v>3</v>
      </c>
      <c r="AC26">
        <v>1</v>
      </c>
      <c r="AE26">
        <v>10</v>
      </c>
      <c r="AF26">
        <v>3</v>
      </c>
      <c r="AG26">
        <v>3</v>
      </c>
      <c r="AH26">
        <v>2</v>
      </c>
      <c r="AJ26">
        <v>3</v>
      </c>
      <c r="AK26">
        <v>3</v>
      </c>
      <c r="AL26">
        <v>5</v>
      </c>
      <c r="AN26">
        <v>1</v>
      </c>
      <c r="AO26">
        <v>6</v>
      </c>
      <c r="AP26">
        <v>4</v>
      </c>
      <c r="AQ26">
        <v>3</v>
      </c>
      <c r="AR26">
        <v>4</v>
      </c>
      <c r="AS26">
        <v>2</v>
      </c>
      <c r="AT26">
        <v>4</v>
      </c>
      <c r="AU26">
        <v>4</v>
      </c>
      <c r="AV26">
        <v>6</v>
      </c>
      <c r="AW26">
        <v>1</v>
      </c>
      <c r="AY26">
        <v>4</v>
      </c>
      <c r="AZ26">
        <v>1</v>
      </c>
      <c r="BA26">
        <v>3</v>
      </c>
      <c r="BC26">
        <v>5</v>
      </c>
      <c r="BD26">
        <v>2</v>
      </c>
      <c r="BE26">
        <v>3</v>
      </c>
      <c r="BF26">
        <v>3</v>
      </c>
      <c r="BG26">
        <v>3</v>
      </c>
      <c r="BH26">
        <v>1</v>
      </c>
      <c r="BI26">
        <v>5</v>
      </c>
      <c r="BJ26">
        <v>1</v>
      </c>
      <c r="BK26">
        <v>1</v>
      </c>
      <c r="BL26">
        <v>2</v>
      </c>
    </row>
    <row r="27" spans="1:75" x14ac:dyDescent="0.35">
      <c r="A27" t="s">
        <v>342</v>
      </c>
      <c r="T27">
        <v>4</v>
      </c>
      <c r="AH27">
        <v>1</v>
      </c>
      <c r="AK27">
        <v>1</v>
      </c>
      <c r="BQ27">
        <v>2</v>
      </c>
      <c r="BV27">
        <v>2</v>
      </c>
    </row>
    <row r="28" spans="1:75" hidden="1" x14ac:dyDescent="0.35">
      <c r="A28" t="s">
        <v>52</v>
      </c>
    </row>
    <row r="29" spans="1:75" x14ac:dyDescent="0.35">
      <c r="A29" t="s">
        <v>388</v>
      </c>
    </row>
    <row r="30" spans="1:75" x14ac:dyDescent="0.35">
      <c r="A30" t="s">
        <v>12</v>
      </c>
      <c r="N30">
        <v>2</v>
      </c>
      <c r="U30">
        <v>1</v>
      </c>
      <c r="AI30">
        <v>1</v>
      </c>
    </row>
    <row r="31" spans="1:75" x14ac:dyDescent="0.35">
      <c r="A31" t="s">
        <v>4</v>
      </c>
      <c r="E31">
        <v>1</v>
      </c>
      <c r="F31">
        <v>3</v>
      </c>
      <c r="H31">
        <v>1</v>
      </c>
      <c r="J31">
        <v>1</v>
      </c>
      <c r="K31">
        <v>3</v>
      </c>
      <c r="P31">
        <v>3</v>
      </c>
      <c r="U31">
        <v>3</v>
      </c>
      <c r="W31">
        <v>1</v>
      </c>
      <c r="AD31">
        <v>1</v>
      </c>
      <c r="AF31">
        <v>1</v>
      </c>
      <c r="AH31">
        <v>1</v>
      </c>
      <c r="AI31">
        <v>1</v>
      </c>
      <c r="AJ31">
        <v>2</v>
      </c>
      <c r="AO31">
        <v>2</v>
      </c>
      <c r="AP31">
        <v>2</v>
      </c>
      <c r="AQ31">
        <v>4</v>
      </c>
      <c r="AR31">
        <v>2</v>
      </c>
      <c r="AT31">
        <v>1</v>
      </c>
      <c r="AU31">
        <v>2</v>
      </c>
      <c r="AV31">
        <v>1</v>
      </c>
      <c r="AW31">
        <v>1</v>
      </c>
      <c r="AX31">
        <v>1</v>
      </c>
      <c r="AZ31">
        <v>2</v>
      </c>
      <c r="BA31">
        <v>2</v>
      </c>
      <c r="BB31">
        <v>1</v>
      </c>
      <c r="BD31">
        <v>2</v>
      </c>
      <c r="BE31">
        <v>3</v>
      </c>
      <c r="BF31">
        <v>1</v>
      </c>
      <c r="BG31">
        <v>1</v>
      </c>
      <c r="BJ31">
        <v>1</v>
      </c>
      <c r="BK31">
        <v>1</v>
      </c>
      <c r="BL31">
        <v>1</v>
      </c>
      <c r="BM31">
        <v>2</v>
      </c>
    </row>
    <row r="32" spans="1:75" x14ac:dyDescent="0.35">
      <c r="A32" t="s">
        <v>361</v>
      </c>
      <c r="AD32">
        <v>2</v>
      </c>
      <c r="AM32">
        <v>1</v>
      </c>
      <c r="AU32">
        <v>1</v>
      </c>
      <c r="BF32">
        <v>3</v>
      </c>
    </row>
    <row r="33" spans="1:75" x14ac:dyDescent="0.35">
      <c r="A33" t="s">
        <v>389</v>
      </c>
      <c r="BO33">
        <v>3</v>
      </c>
    </row>
    <row r="34" spans="1:75" x14ac:dyDescent="0.35">
      <c r="A34" t="s">
        <v>1</v>
      </c>
      <c r="B34">
        <v>1</v>
      </c>
      <c r="C34">
        <v>1</v>
      </c>
      <c r="D34">
        <v>1</v>
      </c>
      <c r="E34">
        <v>1</v>
      </c>
      <c r="F34">
        <v>2</v>
      </c>
      <c r="I34">
        <v>2</v>
      </c>
      <c r="J34">
        <v>1</v>
      </c>
      <c r="K34">
        <v>2</v>
      </c>
      <c r="L34">
        <v>1</v>
      </c>
      <c r="M34">
        <v>2</v>
      </c>
      <c r="N34">
        <v>1</v>
      </c>
      <c r="O34">
        <v>1</v>
      </c>
      <c r="P34">
        <v>2</v>
      </c>
      <c r="R34">
        <v>1</v>
      </c>
      <c r="T34">
        <v>1</v>
      </c>
      <c r="U34">
        <v>2</v>
      </c>
      <c r="Y34">
        <v>2</v>
      </c>
      <c r="AB34">
        <v>2</v>
      </c>
      <c r="AD34">
        <v>1</v>
      </c>
      <c r="AH34">
        <v>1</v>
      </c>
      <c r="AJ34">
        <v>1</v>
      </c>
      <c r="AN34">
        <v>2</v>
      </c>
      <c r="AO34">
        <v>1</v>
      </c>
      <c r="AP34">
        <v>2</v>
      </c>
      <c r="AQ34">
        <v>1</v>
      </c>
      <c r="AS34">
        <v>2</v>
      </c>
      <c r="AW34">
        <v>1</v>
      </c>
      <c r="AX34">
        <v>1</v>
      </c>
      <c r="AY34">
        <v>2</v>
      </c>
      <c r="AZ34">
        <v>2</v>
      </c>
      <c r="BA34">
        <v>1</v>
      </c>
      <c r="BB34">
        <v>2</v>
      </c>
      <c r="BC34">
        <v>4</v>
      </c>
      <c r="BD34">
        <v>1</v>
      </c>
      <c r="BE34">
        <v>1</v>
      </c>
      <c r="BG34">
        <v>2</v>
      </c>
      <c r="BH34">
        <v>3</v>
      </c>
      <c r="BJ34">
        <v>1</v>
      </c>
      <c r="BM34">
        <v>3</v>
      </c>
      <c r="BN34">
        <v>1</v>
      </c>
      <c r="BP34">
        <v>1</v>
      </c>
      <c r="BR34">
        <v>3</v>
      </c>
      <c r="BV34">
        <v>1</v>
      </c>
      <c r="BW34">
        <v>4</v>
      </c>
    </row>
    <row r="35" spans="1:75" hidden="1" x14ac:dyDescent="0.35">
      <c r="A35" t="s">
        <v>351</v>
      </c>
      <c r="Z35">
        <v>1</v>
      </c>
    </row>
    <row r="36" spans="1:75" x14ac:dyDescent="0.35">
      <c r="A36" t="s">
        <v>9</v>
      </c>
      <c r="C36">
        <v>1</v>
      </c>
      <c r="D36">
        <v>1</v>
      </c>
      <c r="G36">
        <v>2</v>
      </c>
      <c r="H36">
        <v>2</v>
      </c>
      <c r="I36">
        <v>1</v>
      </c>
      <c r="J36">
        <v>1</v>
      </c>
      <c r="K36">
        <v>2</v>
      </c>
      <c r="L36">
        <v>5</v>
      </c>
      <c r="M36">
        <v>1</v>
      </c>
      <c r="O36">
        <v>4</v>
      </c>
      <c r="P36">
        <v>1</v>
      </c>
      <c r="Q36">
        <v>2</v>
      </c>
      <c r="T36">
        <v>6</v>
      </c>
      <c r="X36">
        <v>2</v>
      </c>
      <c r="Y36">
        <v>2</v>
      </c>
      <c r="Z36">
        <v>1</v>
      </c>
      <c r="AA36">
        <v>1</v>
      </c>
      <c r="AB36">
        <v>1</v>
      </c>
      <c r="AC36">
        <v>3</v>
      </c>
      <c r="AF36">
        <v>4</v>
      </c>
      <c r="AI36">
        <v>1</v>
      </c>
      <c r="AL36">
        <v>1</v>
      </c>
      <c r="AN36">
        <v>1</v>
      </c>
      <c r="AR36">
        <v>2</v>
      </c>
      <c r="AS36">
        <v>3</v>
      </c>
      <c r="AT36">
        <v>1</v>
      </c>
      <c r="AW36">
        <v>2</v>
      </c>
      <c r="AX36">
        <v>5</v>
      </c>
      <c r="AY36">
        <v>3</v>
      </c>
      <c r="AZ36">
        <v>1</v>
      </c>
      <c r="BA36">
        <v>3</v>
      </c>
      <c r="BB36">
        <v>2</v>
      </c>
      <c r="BD36">
        <v>3</v>
      </c>
      <c r="BF36">
        <v>3</v>
      </c>
      <c r="BG36">
        <v>4</v>
      </c>
      <c r="BH36">
        <v>3</v>
      </c>
      <c r="BI36">
        <v>2</v>
      </c>
      <c r="BJ36">
        <v>1</v>
      </c>
      <c r="BL36">
        <v>1</v>
      </c>
      <c r="BM36">
        <v>2</v>
      </c>
      <c r="BN36">
        <v>1</v>
      </c>
      <c r="BP36">
        <v>1</v>
      </c>
      <c r="BQ36">
        <v>2</v>
      </c>
      <c r="BR36">
        <v>3</v>
      </c>
      <c r="BS36">
        <v>2</v>
      </c>
      <c r="BV36">
        <v>5</v>
      </c>
      <c r="BW36">
        <v>4</v>
      </c>
    </row>
    <row r="37" spans="1:75" x14ac:dyDescent="0.35">
      <c r="A37" t="s">
        <v>394</v>
      </c>
      <c r="BW37">
        <v>1</v>
      </c>
    </row>
    <row r="38" spans="1:75" x14ac:dyDescent="0.35">
      <c r="A38" t="s">
        <v>381</v>
      </c>
      <c r="BG38">
        <v>2</v>
      </c>
    </row>
    <row r="39" spans="1:75" x14ac:dyDescent="0.35">
      <c r="A39" t="s">
        <v>20</v>
      </c>
      <c r="B39">
        <v>1</v>
      </c>
      <c r="D39">
        <v>1</v>
      </c>
      <c r="F39">
        <v>2</v>
      </c>
      <c r="G39">
        <v>2</v>
      </c>
      <c r="H39">
        <v>4</v>
      </c>
      <c r="J39">
        <v>2</v>
      </c>
      <c r="K39">
        <v>2</v>
      </c>
      <c r="L39">
        <v>1</v>
      </c>
      <c r="M39">
        <v>1</v>
      </c>
      <c r="P39">
        <v>1</v>
      </c>
      <c r="Q39">
        <v>1</v>
      </c>
      <c r="R39">
        <v>3</v>
      </c>
      <c r="S39">
        <v>2</v>
      </c>
      <c r="T39">
        <v>2</v>
      </c>
      <c r="U39">
        <v>2</v>
      </c>
      <c r="W39">
        <v>3</v>
      </c>
      <c r="X39">
        <v>3</v>
      </c>
      <c r="Y39">
        <v>2</v>
      </c>
      <c r="AA39">
        <v>2</v>
      </c>
      <c r="AB39">
        <v>2</v>
      </c>
      <c r="AC39">
        <v>2</v>
      </c>
      <c r="AE39">
        <v>2</v>
      </c>
      <c r="AF39">
        <v>1</v>
      </c>
      <c r="AG39">
        <v>2</v>
      </c>
      <c r="AJ39">
        <v>4</v>
      </c>
      <c r="AK39">
        <v>2</v>
      </c>
      <c r="AM39">
        <v>1</v>
      </c>
      <c r="AN39">
        <v>1</v>
      </c>
      <c r="AO39">
        <v>1</v>
      </c>
      <c r="AP39">
        <v>1</v>
      </c>
      <c r="AU39">
        <v>1</v>
      </c>
      <c r="AV39">
        <v>1</v>
      </c>
      <c r="AW39">
        <v>2</v>
      </c>
      <c r="BA39">
        <v>1</v>
      </c>
      <c r="BH39">
        <v>2</v>
      </c>
      <c r="BJ39">
        <v>2</v>
      </c>
      <c r="BK39">
        <v>3</v>
      </c>
      <c r="BP39">
        <v>2</v>
      </c>
    </row>
    <row r="40" spans="1:75" x14ac:dyDescent="0.35">
      <c r="A40" t="s">
        <v>396</v>
      </c>
    </row>
    <row r="41" spans="1:75" x14ac:dyDescent="0.35">
      <c r="A41" t="s">
        <v>80</v>
      </c>
      <c r="F41">
        <v>1</v>
      </c>
    </row>
    <row r="42" spans="1:75" hidden="1" x14ac:dyDescent="0.35">
      <c r="A42" t="s">
        <v>61</v>
      </c>
      <c r="D42">
        <v>1</v>
      </c>
    </row>
    <row r="43" spans="1:75" x14ac:dyDescent="0.35">
      <c r="A43" t="s">
        <v>374</v>
      </c>
      <c r="AW43">
        <v>2</v>
      </c>
    </row>
    <row r="44" spans="1:75" x14ac:dyDescent="0.35">
      <c r="A44" t="s">
        <v>19</v>
      </c>
      <c r="B44">
        <v>2</v>
      </c>
      <c r="C44">
        <v>1</v>
      </c>
      <c r="D44">
        <v>1</v>
      </c>
      <c r="F44">
        <v>4</v>
      </c>
      <c r="G44">
        <v>3</v>
      </c>
      <c r="H44">
        <v>1</v>
      </c>
      <c r="I44">
        <v>1</v>
      </c>
      <c r="M44">
        <v>2</v>
      </c>
      <c r="N44">
        <v>3</v>
      </c>
      <c r="T44">
        <v>1</v>
      </c>
      <c r="X44">
        <v>1</v>
      </c>
      <c r="AA44">
        <v>2</v>
      </c>
      <c r="AB44">
        <v>2</v>
      </c>
      <c r="AC44">
        <v>1</v>
      </c>
      <c r="AD44">
        <v>2</v>
      </c>
      <c r="AE44">
        <v>1</v>
      </c>
      <c r="AG44">
        <v>1</v>
      </c>
      <c r="AH44">
        <v>2</v>
      </c>
      <c r="AJ44">
        <v>1</v>
      </c>
      <c r="AM44">
        <v>4</v>
      </c>
      <c r="AN44">
        <v>1</v>
      </c>
      <c r="AP44">
        <v>1</v>
      </c>
      <c r="AR44">
        <v>1</v>
      </c>
      <c r="AS44">
        <v>1</v>
      </c>
      <c r="AT44">
        <v>1</v>
      </c>
      <c r="AV44">
        <v>1</v>
      </c>
      <c r="AZ44">
        <v>2</v>
      </c>
      <c r="BA44">
        <v>1</v>
      </c>
      <c r="BC44">
        <v>3</v>
      </c>
      <c r="BD44">
        <v>1</v>
      </c>
      <c r="BI44">
        <v>1</v>
      </c>
      <c r="BJ44">
        <v>1</v>
      </c>
      <c r="BK44">
        <v>3</v>
      </c>
      <c r="BL44">
        <v>2</v>
      </c>
      <c r="BM44">
        <v>5</v>
      </c>
      <c r="BO44">
        <v>1</v>
      </c>
      <c r="BP44">
        <v>3</v>
      </c>
      <c r="BQ44">
        <v>3</v>
      </c>
      <c r="BS44">
        <v>1</v>
      </c>
    </row>
    <row r="45" spans="1:75" x14ac:dyDescent="0.35">
      <c r="A45" t="s">
        <v>43</v>
      </c>
      <c r="AQ45">
        <v>2</v>
      </c>
    </row>
    <row r="46" spans="1:75" x14ac:dyDescent="0.35">
      <c r="A46" t="s">
        <v>68</v>
      </c>
      <c r="E46">
        <v>1</v>
      </c>
      <c r="I46">
        <v>1</v>
      </c>
      <c r="N46">
        <v>1</v>
      </c>
      <c r="W46">
        <v>2</v>
      </c>
      <c r="AQ46">
        <v>1</v>
      </c>
    </row>
    <row r="47" spans="1:75" hidden="1" x14ac:dyDescent="0.35">
      <c r="A47" t="s">
        <v>53</v>
      </c>
      <c r="N47">
        <v>1</v>
      </c>
    </row>
    <row r="48" spans="1:75" x14ac:dyDescent="0.35">
      <c r="A48" t="s">
        <v>368</v>
      </c>
      <c r="AM48">
        <v>5</v>
      </c>
      <c r="BB48">
        <v>9</v>
      </c>
      <c r="BN48">
        <v>2</v>
      </c>
    </row>
    <row r="49" spans="1:75" x14ac:dyDescent="0.35">
      <c r="A49" t="s">
        <v>345</v>
      </c>
      <c r="U49">
        <v>1</v>
      </c>
      <c r="BR49">
        <v>1</v>
      </c>
      <c r="BS49">
        <v>1</v>
      </c>
      <c r="BT49">
        <v>1</v>
      </c>
    </row>
    <row r="50" spans="1:75" x14ac:dyDescent="0.35">
      <c r="A50" t="s">
        <v>343</v>
      </c>
      <c r="AN50">
        <v>1</v>
      </c>
      <c r="BR50">
        <v>1</v>
      </c>
      <c r="BS50">
        <v>1</v>
      </c>
      <c r="BT50">
        <v>3</v>
      </c>
    </row>
    <row r="51" spans="1:75" x14ac:dyDescent="0.35">
      <c r="A51" t="s">
        <v>344</v>
      </c>
      <c r="X51">
        <v>1</v>
      </c>
      <c r="Y51">
        <v>2</v>
      </c>
      <c r="AF51">
        <v>2</v>
      </c>
    </row>
    <row r="52" spans="1:75" x14ac:dyDescent="0.35">
      <c r="A52" t="s">
        <v>10</v>
      </c>
      <c r="B52">
        <v>2</v>
      </c>
      <c r="C52">
        <v>3</v>
      </c>
      <c r="F52">
        <v>2</v>
      </c>
      <c r="I52">
        <v>2</v>
      </c>
      <c r="J52">
        <v>2</v>
      </c>
      <c r="K52">
        <v>1</v>
      </c>
      <c r="L52">
        <v>1</v>
      </c>
      <c r="M52">
        <v>1</v>
      </c>
      <c r="O52">
        <v>2</v>
      </c>
      <c r="R52">
        <v>3</v>
      </c>
      <c r="S52">
        <v>1</v>
      </c>
      <c r="T52">
        <v>1</v>
      </c>
      <c r="V52">
        <v>1</v>
      </c>
      <c r="W52">
        <v>3</v>
      </c>
      <c r="X52">
        <v>1</v>
      </c>
      <c r="Y52">
        <v>1</v>
      </c>
      <c r="Z52">
        <v>1.5</v>
      </c>
      <c r="AC52">
        <v>1</v>
      </c>
      <c r="AD52">
        <v>2</v>
      </c>
      <c r="AE52">
        <v>1</v>
      </c>
      <c r="AF52">
        <v>2</v>
      </c>
      <c r="AH52">
        <v>2</v>
      </c>
      <c r="AL52">
        <v>3</v>
      </c>
      <c r="AP52">
        <v>2</v>
      </c>
      <c r="AQ52">
        <v>4</v>
      </c>
      <c r="AR52">
        <v>3</v>
      </c>
      <c r="AS52">
        <v>0.5</v>
      </c>
      <c r="AU52">
        <v>2</v>
      </c>
      <c r="AV52">
        <v>1</v>
      </c>
      <c r="BC52">
        <v>1</v>
      </c>
      <c r="BD52">
        <v>1</v>
      </c>
      <c r="BE52">
        <v>7</v>
      </c>
      <c r="BH52">
        <v>1</v>
      </c>
      <c r="BI52">
        <v>1</v>
      </c>
      <c r="BJ52">
        <v>3</v>
      </c>
      <c r="BK52">
        <v>3</v>
      </c>
      <c r="BL52">
        <v>1</v>
      </c>
      <c r="BM52">
        <v>1</v>
      </c>
      <c r="BN52">
        <v>4</v>
      </c>
      <c r="BP52">
        <v>1</v>
      </c>
      <c r="BQ52">
        <v>3</v>
      </c>
      <c r="BR52">
        <v>1</v>
      </c>
      <c r="BT52">
        <v>1</v>
      </c>
      <c r="BV52">
        <v>1</v>
      </c>
      <c r="BW52">
        <v>2</v>
      </c>
    </row>
    <row r="53" spans="1:75" x14ac:dyDescent="0.35">
      <c r="A53" t="s">
        <v>46</v>
      </c>
      <c r="B53">
        <v>1</v>
      </c>
      <c r="O53">
        <v>3</v>
      </c>
      <c r="P53">
        <v>1</v>
      </c>
      <c r="Q53">
        <v>2</v>
      </c>
      <c r="AM53">
        <v>1</v>
      </c>
      <c r="AN53">
        <v>1</v>
      </c>
      <c r="AP53">
        <v>1</v>
      </c>
      <c r="AS53">
        <v>1</v>
      </c>
      <c r="AV53">
        <v>1</v>
      </c>
      <c r="AX53">
        <v>5</v>
      </c>
      <c r="AY53">
        <v>1</v>
      </c>
      <c r="BA53">
        <v>2</v>
      </c>
      <c r="BB53">
        <v>4</v>
      </c>
      <c r="BE53">
        <v>3</v>
      </c>
      <c r="BF53">
        <v>2</v>
      </c>
      <c r="BH53">
        <v>3</v>
      </c>
      <c r="BK53">
        <v>1</v>
      </c>
      <c r="BT53">
        <v>3</v>
      </c>
    </row>
    <row r="54" spans="1:75" x14ac:dyDescent="0.35">
      <c r="A54" t="s">
        <v>377</v>
      </c>
    </row>
    <row r="55" spans="1:75" x14ac:dyDescent="0.35">
      <c r="A55" t="s">
        <v>3</v>
      </c>
      <c r="F55">
        <v>3</v>
      </c>
      <c r="L55">
        <v>1</v>
      </c>
      <c r="S55">
        <v>3</v>
      </c>
      <c r="AH55">
        <v>1</v>
      </c>
    </row>
    <row r="56" spans="1:75" hidden="1" x14ac:dyDescent="0.35">
      <c r="A56" t="s">
        <v>350</v>
      </c>
    </row>
    <row r="57" spans="1:75" x14ac:dyDescent="0.35">
      <c r="A57" t="s">
        <v>56</v>
      </c>
      <c r="C57">
        <v>3</v>
      </c>
      <c r="E57">
        <v>2</v>
      </c>
      <c r="F57">
        <v>1</v>
      </c>
      <c r="G57">
        <v>2</v>
      </c>
      <c r="I57">
        <v>1</v>
      </c>
      <c r="J57">
        <v>1</v>
      </c>
      <c r="K57">
        <v>1</v>
      </c>
      <c r="L57">
        <v>1</v>
      </c>
      <c r="M57">
        <v>1</v>
      </c>
      <c r="P57">
        <v>1</v>
      </c>
      <c r="R57">
        <v>1</v>
      </c>
      <c r="S57">
        <v>4</v>
      </c>
      <c r="T57">
        <v>1</v>
      </c>
      <c r="V57">
        <v>1</v>
      </c>
      <c r="W57">
        <v>2</v>
      </c>
      <c r="Z57">
        <v>2</v>
      </c>
      <c r="AA57">
        <v>1</v>
      </c>
      <c r="AB57">
        <v>4</v>
      </c>
      <c r="AC57">
        <v>1</v>
      </c>
      <c r="AD57">
        <v>1</v>
      </c>
      <c r="AX57">
        <v>1</v>
      </c>
      <c r="AY57">
        <v>1</v>
      </c>
      <c r="AZ57">
        <v>2</v>
      </c>
      <c r="BD57">
        <v>1</v>
      </c>
      <c r="BF57">
        <v>1</v>
      </c>
      <c r="BH57">
        <v>1</v>
      </c>
      <c r="BI57">
        <v>1</v>
      </c>
      <c r="BJ57">
        <v>2</v>
      </c>
      <c r="BK57">
        <v>1</v>
      </c>
      <c r="BL57">
        <v>2</v>
      </c>
      <c r="BM57">
        <v>2</v>
      </c>
      <c r="BN57">
        <v>2</v>
      </c>
      <c r="BO57">
        <v>1</v>
      </c>
      <c r="BP57">
        <v>1</v>
      </c>
      <c r="BR57">
        <v>1</v>
      </c>
      <c r="BS57">
        <v>2</v>
      </c>
      <c r="BU57">
        <v>2</v>
      </c>
      <c r="BV57">
        <v>1</v>
      </c>
    </row>
    <row r="58" spans="1:75" x14ac:dyDescent="0.35">
      <c r="A58" t="s">
        <v>369</v>
      </c>
      <c r="AN58">
        <v>3</v>
      </c>
    </row>
    <row r="59" spans="1:75" x14ac:dyDescent="0.35">
      <c r="A59" t="s">
        <v>387</v>
      </c>
      <c r="BN59">
        <v>3</v>
      </c>
      <c r="BO59">
        <v>2</v>
      </c>
      <c r="BQ59">
        <v>2</v>
      </c>
    </row>
    <row r="60" spans="1:75" x14ac:dyDescent="0.35">
      <c r="A60" t="s">
        <v>60</v>
      </c>
      <c r="B60">
        <v>2</v>
      </c>
      <c r="BF60">
        <v>1</v>
      </c>
      <c r="BT60">
        <v>2</v>
      </c>
    </row>
    <row r="61" spans="1:75" x14ac:dyDescent="0.35">
      <c r="A61" t="s">
        <v>340</v>
      </c>
      <c r="Q61">
        <v>1</v>
      </c>
      <c r="U61">
        <v>1</v>
      </c>
      <c r="W61">
        <v>1</v>
      </c>
      <c r="X61">
        <v>3</v>
      </c>
      <c r="Y61">
        <v>1</v>
      </c>
      <c r="Z61">
        <v>1</v>
      </c>
    </row>
    <row r="62" spans="1:75" x14ac:dyDescent="0.35">
      <c r="A62" t="s">
        <v>339</v>
      </c>
    </row>
    <row r="63" spans="1:75" x14ac:dyDescent="0.35">
      <c r="A63" t="s">
        <v>11</v>
      </c>
    </row>
    <row r="64" spans="1:75" x14ac:dyDescent="0.35">
      <c r="A64" t="s">
        <v>55</v>
      </c>
      <c r="B64">
        <v>2</v>
      </c>
      <c r="C64">
        <v>1</v>
      </c>
      <c r="D64">
        <v>1</v>
      </c>
      <c r="E64">
        <v>1</v>
      </c>
      <c r="F64">
        <v>3</v>
      </c>
      <c r="G64">
        <v>2</v>
      </c>
      <c r="H64">
        <v>3</v>
      </c>
      <c r="J64">
        <v>1</v>
      </c>
      <c r="K64">
        <v>1</v>
      </c>
      <c r="M64">
        <v>3</v>
      </c>
      <c r="N64">
        <v>4</v>
      </c>
      <c r="X64">
        <v>6</v>
      </c>
      <c r="Y64">
        <v>5</v>
      </c>
      <c r="Z64">
        <v>1</v>
      </c>
      <c r="AD64">
        <v>2</v>
      </c>
      <c r="AG64">
        <v>3</v>
      </c>
      <c r="AJ64">
        <v>2</v>
      </c>
      <c r="AM64">
        <v>2</v>
      </c>
      <c r="AO64">
        <v>3</v>
      </c>
      <c r="AQ64">
        <v>2</v>
      </c>
      <c r="AT64">
        <v>1</v>
      </c>
      <c r="AU64">
        <v>4</v>
      </c>
      <c r="AV64">
        <v>2</v>
      </c>
      <c r="AX64">
        <v>1</v>
      </c>
      <c r="AY64">
        <v>2</v>
      </c>
      <c r="AZ64">
        <v>1</v>
      </c>
      <c r="BA64">
        <v>4</v>
      </c>
      <c r="BB64">
        <v>2</v>
      </c>
      <c r="BH64">
        <v>1</v>
      </c>
      <c r="BR64">
        <v>2</v>
      </c>
    </row>
    <row r="65" spans="1:75" x14ac:dyDescent="0.35">
      <c r="A65" t="s">
        <v>21</v>
      </c>
    </row>
    <row r="66" spans="1:75" x14ac:dyDescent="0.35">
      <c r="A66" t="s">
        <v>81</v>
      </c>
      <c r="G66">
        <v>3</v>
      </c>
      <c r="K66">
        <v>1</v>
      </c>
      <c r="BG66">
        <v>2</v>
      </c>
      <c r="BN66">
        <v>4</v>
      </c>
      <c r="BP66">
        <v>1</v>
      </c>
      <c r="BR66">
        <v>2</v>
      </c>
      <c r="BS66">
        <v>3</v>
      </c>
      <c r="BU66">
        <v>3</v>
      </c>
      <c r="BV66">
        <v>2</v>
      </c>
      <c r="BW66">
        <v>2</v>
      </c>
    </row>
    <row r="67" spans="1:75" x14ac:dyDescent="0.35">
      <c r="A67" t="s">
        <v>63</v>
      </c>
      <c r="B67">
        <v>2</v>
      </c>
      <c r="D67">
        <v>1</v>
      </c>
      <c r="AF67">
        <v>2</v>
      </c>
      <c r="AQ67">
        <v>3</v>
      </c>
      <c r="BF67">
        <v>1</v>
      </c>
      <c r="BM67">
        <v>1</v>
      </c>
      <c r="BW67">
        <v>1</v>
      </c>
    </row>
    <row r="68" spans="1:75" hidden="1" x14ac:dyDescent="0.35">
      <c r="A68" t="s">
        <v>83</v>
      </c>
    </row>
    <row r="69" spans="1:75" x14ac:dyDescent="0.35">
      <c r="A69" t="s">
        <v>22</v>
      </c>
      <c r="Y69">
        <v>1</v>
      </c>
      <c r="AB69">
        <v>2</v>
      </c>
      <c r="AD69">
        <v>3</v>
      </c>
      <c r="AI69">
        <v>1</v>
      </c>
      <c r="AR69">
        <v>4</v>
      </c>
      <c r="AV69">
        <v>3</v>
      </c>
      <c r="BA69">
        <v>2</v>
      </c>
      <c r="BB69">
        <v>5</v>
      </c>
      <c r="BE69">
        <v>6</v>
      </c>
      <c r="BS69">
        <v>1</v>
      </c>
      <c r="BT69">
        <v>1</v>
      </c>
      <c r="BU69">
        <v>2</v>
      </c>
      <c r="BV69">
        <v>3</v>
      </c>
    </row>
    <row r="70" spans="1:75" x14ac:dyDescent="0.35">
      <c r="A70" t="s">
        <v>376</v>
      </c>
      <c r="AU70">
        <v>1</v>
      </c>
      <c r="AV70">
        <v>1</v>
      </c>
      <c r="AW70">
        <v>3</v>
      </c>
      <c r="AX70">
        <v>1</v>
      </c>
      <c r="AZ70">
        <v>1</v>
      </c>
      <c r="BC70">
        <v>2</v>
      </c>
    </row>
    <row r="71" spans="1:75" x14ac:dyDescent="0.35">
      <c r="A71" t="s">
        <v>44</v>
      </c>
      <c r="N71">
        <v>3</v>
      </c>
      <c r="S71">
        <v>2</v>
      </c>
      <c r="AG71">
        <v>2</v>
      </c>
      <c r="AI71">
        <v>1</v>
      </c>
      <c r="AP71">
        <v>2</v>
      </c>
      <c r="AQ71">
        <v>1</v>
      </c>
      <c r="AR71">
        <v>3</v>
      </c>
      <c r="AW71">
        <v>1</v>
      </c>
      <c r="BA71">
        <v>1</v>
      </c>
      <c r="BE71">
        <v>1</v>
      </c>
      <c r="BI71">
        <v>2</v>
      </c>
      <c r="BL71">
        <v>2</v>
      </c>
      <c r="BN71">
        <v>2</v>
      </c>
      <c r="BO71">
        <v>1</v>
      </c>
      <c r="BP71">
        <v>1</v>
      </c>
      <c r="BR71">
        <v>1</v>
      </c>
    </row>
    <row r="72" spans="1:75" x14ac:dyDescent="0.35">
      <c r="A72" t="s">
        <v>379</v>
      </c>
      <c r="BF72">
        <v>1</v>
      </c>
      <c r="BG72">
        <v>1</v>
      </c>
    </row>
    <row r="73" spans="1:75" x14ac:dyDescent="0.35">
      <c r="A73" t="s">
        <v>8</v>
      </c>
      <c r="B73">
        <v>1</v>
      </c>
      <c r="H73">
        <v>1</v>
      </c>
      <c r="J73">
        <v>2</v>
      </c>
      <c r="Q73">
        <v>2</v>
      </c>
    </row>
    <row r="74" spans="1:75" hidden="1" x14ac:dyDescent="0.35">
      <c r="A74" t="s">
        <v>354</v>
      </c>
    </row>
    <row r="75" spans="1:75" x14ac:dyDescent="0.35">
      <c r="A75" t="s">
        <v>82</v>
      </c>
      <c r="B75">
        <v>2</v>
      </c>
      <c r="C75">
        <v>2</v>
      </c>
      <c r="D75">
        <v>1</v>
      </c>
      <c r="E75">
        <v>2</v>
      </c>
      <c r="F75">
        <v>1</v>
      </c>
      <c r="G75">
        <v>2</v>
      </c>
      <c r="H75">
        <v>2</v>
      </c>
      <c r="I75">
        <v>3</v>
      </c>
      <c r="J75">
        <v>4</v>
      </c>
      <c r="L75">
        <v>4</v>
      </c>
      <c r="M75">
        <v>1</v>
      </c>
      <c r="N75">
        <v>2</v>
      </c>
      <c r="O75">
        <v>1</v>
      </c>
      <c r="P75">
        <v>1</v>
      </c>
      <c r="Q75">
        <v>1</v>
      </c>
      <c r="R75">
        <v>3</v>
      </c>
      <c r="S75">
        <v>3</v>
      </c>
      <c r="U75">
        <v>3</v>
      </c>
      <c r="V75">
        <v>1</v>
      </c>
      <c r="W75">
        <v>3</v>
      </c>
      <c r="AC75">
        <v>1</v>
      </c>
      <c r="AF75">
        <v>1</v>
      </c>
      <c r="AH75">
        <v>2</v>
      </c>
      <c r="AI75">
        <v>3</v>
      </c>
      <c r="AJ75">
        <v>1</v>
      </c>
      <c r="AK75">
        <v>4</v>
      </c>
      <c r="AL75">
        <v>3</v>
      </c>
      <c r="AN75">
        <v>1</v>
      </c>
      <c r="AP75">
        <v>2</v>
      </c>
      <c r="AT75">
        <v>2</v>
      </c>
      <c r="AU75">
        <v>3</v>
      </c>
      <c r="AV75">
        <v>1</v>
      </c>
      <c r="AW75">
        <v>1</v>
      </c>
      <c r="AX75">
        <v>1</v>
      </c>
      <c r="AY75">
        <v>1</v>
      </c>
      <c r="AZ75">
        <v>2</v>
      </c>
      <c r="BC75">
        <v>2</v>
      </c>
      <c r="BD75">
        <v>1</v>
      </c>
      <c r="BF75">
        <v>2</v>
      </c>
      <c r="BH75">
        <v>3</v>
      </c>
      <c r="BI75">
        <v>1</v>
      </c>
      <c r="BJ75">
        <v>2</v>
      </c>
      <c r="BK75">
        <v>3</v>
      </c>
      <c r="BM75">
        <v>2</v>
      </c>
      <c r="BN75">
        <v>3</v>
      </c>
      <c r="BU75">
        <v>1</v>
      </c>
      <c r="BV75">
        <v>3</v>
      </c>
    </row>
    <row r="76" spans="1:75" x14ac:dyDescent="0.35">
      <c r="A76" t="s">
        <v>49</v>
      </c>
      <c r="G76">
        <v>2</v>
      </c>
    </row>
    <row r="77" spans="1:75" x14ac:dyDescent="0.35">
      <c r="A77" t="s">
        <v>385</v>
      </c>
    </row>
    <row r="78" spans="1:75" x14ac:dyDescent="0.35">
      <c r="A78" t="s">
        <v>85</v>
      </c>
      <c r="K78">
        <v>4</v>
      </c>
      <c r="L78">
        <v>2</v>
      </c>
      <c r="M78">
        <v>5</v>
      </c>
    </row>
    <row r="79" spans="1:75" x14ac:dyDescent="0.35">
      <c r="A79" t="s">
        <v>5</v>
      </c>
      <c r="B79">
        <v>1</v>
      </c>
      <c r="C79">
        <v>2</v>
      </c>
      <c r="D79">
        <v>2</v>
      </c>
      <c r="E79">
        <v>3</v>
      </c>
      <c r="F79">
        <v>2</v>
      </c>
      <c r="G79">
        <v>3</v>
      </c>
      <c r="H79">
        <v>1</v>
      </c>
      <c r="M79">
        <v>4</v>
      </c>
      <c r="N79">
        <v>6</v>
      </c>
      <c r="P79">
        <v>2</v>
      </c>
      <c r="Q79">
        <v>1</v>
      </c>
      <c r="R79">
        <v>2</v>
      </c>
      <c r="S79">
        <v>3</v>
      </c>
      <c r="V79">
        <v>2</v>
      </c>
      <c r="W79">
        <v>1</v>
      </c>
      <c r="X79">
        <v>1</v>
      </c>
      <c r="Y79">
        <v>4</v>
      </c>
      <c r="Z79">
        <v>5</v>
      </c>
      <c r="AA79">
        <v>1</v>
      </c>
      <c r="AB79">
        <v>3</v>
      </c>
      <c r="AC79">
        <v>4</v>
      </c>
      <c r="AD79">
        <v>3</v>
      </c>
      <c r="AE79">
        <v>3</v>
      </c>
      <c r="AF79">
        <v>2</v>
      </c>
      <c r="AG79">
        <v>5</v>
      </c>
      <c r="AH79">
        <v>7</v>
      </c>
      <c r="AI79">
        <v>3</v>
      </c>
      <c r="AJ79">
        <v>1</v>
      </c>
      <c r="AK79">
        <v>1</v>
      </c>
      <c r="AL79">
        <v>6</v>
      </c>
      <c r="AR79">
        <v>3</v>
      </c>
      <c r="AS79">
        <v>2</v>
      </c>
      <c r="AV79">
        <v>2</v>
      </c>
      <c r="AW79">
        <v>1</v>
      </c>
      <c r="AX79">
        <v>4</v>
      </c>
      <c r="AY79">
        <v>3</v>
      </c>
      <c r="AZ79">
        <v>4</v>
      </c>
      <c r="BA79">
        <v>5</v>
      </c>
      <c r="BB79">
        <v>6</v>
      </c>
      <c r="BC79">
        <v>2</v>
      </c>
      <c r="BD79">
        <v>2</v>
      </c>
      <c r="BE79">
        <v>7</v>
      </c>
      <c r="BG79">
        <v>4</v>
      </c>
      <c r="BH79">
        <v>3</v>
      </c>
      <c r="BI79">
        <v>4</v>
      </c>
      <c r="BK79">
        <v>1</v>
      </c>
      <c r="BL79">
        <v>8</v>
      </c>
      <c r="BM79">
        <v>4</v>
      </c>
      <c r="BN79">
        <v>5</v>
      </c>
      <c r="BO79">
        <v>3</v>
      </c>
      <c r="BP79">
        <v>1</v>
      </c>
      <c r="BQ79">
        <v>1</v>
      </c>
      <c r="BR79">
        <v>3</v>
      </c>
      <c r="BS79">
        <v>1</v>
      </c>
    </row>
    <row r="80" spans="1:75" x14ac:dyDescent="0.35">
      <c r="A80" t="s">
        <v>45</v>
      </c>
      <c r="K80">
        <v>1</v>
      </c>
      <c r="BJ80">
        <v>1</v>
      </c>
    </row>
    <row r="81" spans="1:75" x14ac:dyDescent="0.35">
      <c r="A81" t="s">
        <v>367</v>
      </c>
      <c r="B81">
        <v>1</v>
      </c>
      <c r="D81">
        <v>1</v>
      </c>
      <c r="E81">
        <v>3</v>
      </c>
      <c r="O81">
        <v>2</v>
      </c>
      <c r="P81">
        <v>2</v>
      </c>
      <c r="Q81">
        <v>1</v>
      </c>
      <c r="R81">
        <v>1</v>
      </c>
      <c r="AD81">
        <v>1</v>
      </c>
      <c r="AE81">
        <v>1</v>
      </c>
      <c r="AG81">
        <v>1</v>
      </c>
      <c r="AH81">
        <v>2</v>
      </c>
      <c r="AL81">
        <v>3</v>
      </c>
      <c r="AM81">
        <v>2</v>
      </c>
      <c r="AN81">
        <v>1</v>
      </c>
      <c r="AO81">
        <v>1</v>
      </c>
      <c r="AR81">
        <v>1</v>
      </c>
      <c r="AS81">
        <v>1</v>
      </c>
      <c r="AT81">
        <v>1</v>
      </c>
      <c r="AV81">
        <v>1</v>
      </c>
      <c r="AW81">
        <v>2</v>
      </c>
      <c r="BD81">
        <v>1</v>
      </c>
      <c r="BF81">
        <v>1</v>
      </c>
      <c r="BI81">
        <v>1</v>
      </c>
      <c r="BU81">
        <v>2</v>
      </c>
      <c r="BW81">
        <v>2</v>
      </c>
    </row>
    <row r="82" spans="1:75" hidden="1" x14ac:dyDescent="0.35">
      <c r="A82" t="s">
        <v>352</v>
      </c>
      <c r="Z82">
        <v>1</v>
      </c>
    </row>
    <row r="83" spans="1:75" hidden="1" x14ac:dyDescent="0.35">
      <c r="A83" t="s">
        <v>366</v>
      </c>
    </row>
    <row r="84" spans="1:75" x14ac:dyDescent="0.35">
      <c r="A84" t="s">
        <v>17</v>
      </c>
      <c r="F84">
        <v>2</v>
      </c>
      <c r="J84">
        <v>1</v>
      </c>
      <c r="K84">
        <v>1</v>
      </c>
    </row>
    <row r="85" spans="1:75" hidden="1" x14ac:dyDescent="0.35">
      <c r="A85" t="s">
        <v>86</v>
      </c>
      <c r="K85">
        <v>5</v>
      </c>
    </row>
    <row r="86" spans="1:75" x14ac:dyDescent="0.35">
      <c r="A86" t="s">
        <v>16</v>
      </c>
      <c r="C86">
        <v>4</v>
      </c>
      <c r="D86">
        <v>3</v>
      </c>
      <c r="F86">
        <v>2</v>
      </c>
      <c r="G86">
        <v>5</v>
      </c>
      <c r="H86">
        <v>3</v>
      </c>
      <c r="I86">
        <v>2</v>
      </c>
      <c r="J86">
        <v>5</v>
      </c>
      <c r="K86">
        <v>3</v>
      </c>
      <c r="L86">
        <v>2</v>
      </c>
      <c r="M86">
        <v>3</v>
      </c>
      <c r="O86">
        <v>5</v>
      </c>
      <c r="P86">
        <v>5</v>
      </c>
      <c r="Q86">
        <v>3</v>
      </c>
      <c r="R86">
        <v>2</v>
      </c>
      <c r="S86">
        <v>3</v>
      </c>
      <c r="T86">
        <v>1</v>
      </c>
      <c r="U86">
        <v>1</v>
      </c>
      <c r="V86">
        <v>3</v>
      </c>
      <c r="W86">
        <v>3</v>
      </c>
      <c r="X86">
        <v>5</v>
      </c>
      <c r="Y86">
        <v>4</v>
      </c>
      <c r="Z86">
        <v>1</v>
      </c>
      <c r="AA86">
        <v>3</v>
      </c>
      <c r="AC86">
        <v>1</v>
      </c>
      <c r="AE86">
        <v>4</v>
      </c>
      <c r="AF86">
        <v>2</v>
      </c>
      <c r="AG86">
        <v>3</v>
      </c>
      <c r="AH86">
        <v>2</v>
      </c>
      <c r="AI86">
        <v>2</v>
      </c>
      <c r="AJ86">
        <v>7</v>
      </c>
      <c r="AK86">
        <v>3</v>
      </c>
      <c r="AL86">
        <v>5</v>
      </c>
      <c r="AM86">
        <v>1</v>
      </c>
      <c r="AN86">
        <v>4</v>
      </c>
      <c r="AO86">
        <v>3</v>
      </c>
      <c r="AP86">
        <v>6</v>
      </c>
      <c r="AQ86">
        <v>4</v>
      </c>
      <c r="AR86">
        <v>5</v>
      </c>
      <c r="AS86">
        <v>3</v>
      </c>
      <c r="AT86">
        <v>2</v>
      </c>
      <c r="AU86">
        <v>2</v>
      </c>
      <c r="AW86">
        <v>3</v>
      </c>
      <c r="AY86">
        <v>1</v>
      </c>
      <c r="AZ86">
        <v>3</v>
      </c>
      <c r="BB86">
        <v>4</v>
      </c>
      <c r="BC86">
        <v>4</v>
      </c>
      <c r="BD86">
        <v>3</v>
      </c>
      <c r="BF86">
        <v>2</v>
      </c>
      <c r="BG86">
        <v>4</v>
      </c>
      <c r="BH86">
        <v>5</v>
      </c>
      <c r="BJ86">
        <v>4</v>
      </c>
      <c r="BK86">
        <v>2</v>
      </c>
      <c r="BL86">
        <v>4</v>
      </c>
      <c r="BM86">
        <v>1</v>
      </c>
      <c r="BN86">
        <v>2</v>
      </c>
      <c r="BO86">
        <v>3</v>
      </c>
      <c r="BS86">
        <v>3</v>
      </c>
      <c r="BT86">
        <v>4</v>
      </c>
      <c r="BU86">
        <v>4</v>
      </c>
      <c r="BV86">
        <v>3</v>
      </c>
    </row>
    <row r="87" spans="1:75" hidden="1" x14ac:dyDescent="0.35">
      <c r="A87" t="s">
        <v>47</v>
      </c>
    </row>
  </sheetData>
  <autoFilter ref="A1:AB87" xr:uid="{130C2564-D265-4C41-A3E0-02A62EDAC91D}">
    <sortState ref="A2:AB87">
      <sortCondition ref="A1:A87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2026-04-09T13:09:19Z</dcterms:modified>
</cp:coreProperties>
</file>