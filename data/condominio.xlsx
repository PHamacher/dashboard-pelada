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69" documentId="14_{A1B3B906-E661-414D-BCC5-34D6B6413D4C}" xr6:coauthVersionLast="36" xr6:coauthVersionMax="36" xr10:uidLastSave="{94F2B126-0C5A-4B7D-9B0B-8CA76E01F0FA}"/>
  <bookViews>
    <workbookView xWindow="0" yWindow="0" windowWidth="13800" windowHeight="3780" activeTab="3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artilharia!$A$1:$AB$83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notas!$A$1:$CR$83</definedName>
  </definedNames>
  <calcPr calcId="191029"/>
</workbook>
</file>

<file path=xl/calcChain.xml><?xml version="1.0" encoding="utf-8"?>
<calcChain xmlns="http://schemas.openxmlformats.org/spreadsheetml/2006/main">
  <c r="CM38" i="1" l="1"/>
  <c r="CN38" i="1"/>
  <c r="CM24" i="1"/>
  <c r="CN24" i="1"/>
  <c r="CM16" i="1"/>
  <c r="CN16" i="1"/>
  <c r="CM15" i="1"/>
  <c r="CN15" i="1"/>
  <c r="CM13" i="1"/>
  <c r="CN13" i="1"/>
  <c r="CM12" i="1"/>
  <c r="CN12" i="1"/>
  <c r="CM9" i="1"/>
  <c r="CN9" i="1"/>
  <c r="CM8" i="1"/>
  <c r="CN8" i="1"/>
  <c r="CM7" i="1"/>
  <c r="CN7" i="1"/>
  <c r="CM3" i="1"/>
  <c r="CN3" i="1"/>
  <c r="CM2" i="1"/>
  <c r="CN2" i="1"/>
  <c r="V87" i="4" l="1"/>
  <c r="U88" i="4"/>
  <c r="U87" i="4"/>
  <c r="T87" i="4"/>
  <c r="V85" i="4" l="1"/>
  <c r="V81" i="4"/>
  <c r="CQ83" i="1"/>
  <c r="CQ82" i="1"/>
  <c r="CQ81" i="1"/>
  <c r="CQ80" i="1"/>
  <c r="CQ79" i="1"/>
  <c r="CQ78" i="1"/>
  <c r="CQ77" i="1"/>
  <c r="CQ76" i="1"/>
  <c r="CQ75" i="1"/>
  <c r="CQ74" i="1"/>
  <c r="CQ73" i="1"/>
  <c r="CQ72" i="1"/>
  <c r="CQ71" i="1"/>
  <c r="CQ70" i="1"/>
  <c r="CQ69" i="1"/>
  <c r="CQ68" i="1"/>
  <c r="CQ67" i="1"/>
  <c r="CQ66" i="1"/>
  <c r="CQ65" i="1"/>
  <c r="CQ64" i="1"/>
  <c r="CQ63" i="1"/>
  <c r="CQ62" i="1"/>
  <c r="CQ61" i="1"/>
  <c r="CQ60" i="1"/>
  <c r="CQ59" i="1"/>
  <c r="CQ58" i="1"/>
  <c r="CQ57" i="1"/>
  <c r="CQ56" i="1"/>
  <c r="CQ55" i="1"/>
  <c r="CQ54" i="1"/>
  <c r="CQ53" i="1"/>
  <c r="CQ52" i="1"/>
  <c r="CQ51" i="1"/>
  <c r="CQ50" i="1"/>
  <c r="CQ49" i="1"/>
  <c r="CQ48" i="1"/>
  <c r="CQ47" i="1"/>
  <c r="CQ46" i="1"/>
  <c r="CQ45" i="1"/>
  <c r="CQ44" i="1"/>
  <c r="CQ43" i="1"/>
  <c r="CQ42" i="1"/>
  <c r="CQ41" i="1"/>
  <c r="CQ40" i="1"/>
  <c r="CQ39" i="1"/>
  <c r="CQ38" i="1"/>
  <c r="CQ37" i="1"/>
  <c r="CQ36" i="1"/>
  <c r="CQ35" i="1"/>
  <c r="CQ34" i="1"/>
  <c r="CQ33" i="1"/>
  <c r="CQ32" i="1"/>
  <c r="CQ31" i="1"/>
  <c r="CQ30" i="1"/>
  <c r="CQ29" i="1"/>
  <c r="CQ28" i="1"/>
  <c r="CQ27" i="1"/>
  <c r="CQ26" i="1"/>
  <c r="CQ25" i="1"/>
  <c r="CQ24" i="1"/>
  <c r="CQ23" i="1"/>
  <c r="CQ22" i="1"/>
  <c r="CQ21" i="1"/>
  <c r="CQ20" i="1"/>
  <c r="CQ19" i="1"/>
  <c r="CQ18" i="1"/>
  <c r="CQ17" i="1"/>
  <c r="CQ16" i="1"/>
  <c r="CQ15" i="1"/>
  <c r="CQ14" i="1"/>
  <c r="CQ13" i="1"/>
  <c r="CQ12" i="1"/>
  <c r="CQ11" i="1"/>
  <c r="CQ10" i="1"/>
  <c r="CQ9" i="1"/>
  <c r="CQ8" i="1"/>
  <c r="CQ7" i="1"/>
  <c r="CQ6" i="1"/>
  <c r="CQ5" i="1"/>
  <c r="CQ4" i="1"/>
  <c r="CQ3" i="1"/>
  <c r="CQ2" i="1"/>
  <c r="V86" i="4"/>
  <c r="V88" i="4" l="1"/>
  <c r="CM19" i="1"/>
  <c r="CN19" i="1"/>
  <c r="CM83" i="1" l="1"/>
  <c r="CO83" i="1" s="1"/>
  <c r="CN83" i="1"/>
  <c r="CR83" i="1"/>
  <c r="CO3" i="1"/>
  <c r="CR3" i="1"/>
  <c r="CM4" i="1"/>
  <c r="CO4" i="1" s="1"/>
  <c r="CN4" i="1"/>
  <c r="CR4" i="1"/>
  <c r="CM5" i="1"/>
  <c r="CN5" i="1"/>
  <c r="CO5" i="1"/>
  <c r="CR5" i="1"/>
  <c r="CM6" i="1"/>
  <c r="CO6" i="1" s="1"/>
  <c r="CN6" i="1"/>
  <c r="CR6" i="1"/>
  <c r="CO7" i="1"/>
  <c r="CR7" i="1"/>
  <c r="CO8" i="1"/>
  <c r="CR8" i="1"/>
  <c r="CO9" i="1"/>
  <c r="CR9" i="1"/>
  <c r="CM10" i="1"/>
  <c r="CO10" i="1" s="1"/>
  <c r="CN10" i="1"/>
  <c r="CR10" i="1"/>
  <c r="CM11" i="1"/>
  <c r="CO11" i="1" s="1"/>
  <c r="CN11" i="1"/>
  <c r="CR11" i="1"/>
  <c r="CO12" i="1"/>
  <c r="CR12" i="1"/>
  <c r="CO13" i="1"/>
  <c r="CR13" i="1"/>
  <c r="CM14" i="1"/>
  <c r="CN14" i="1"/>
  <c r="CO14" i="1"/>
  <c r="CR14" i="1"/>
  <c r="CO15" i="1"/>
  <c r="CR15" i="1"/>
  <c r="CO16" i="1"/>
  <c r="CR16" i="1"/>
  <c r="CM17" i="1"/>
  <c r="CO17" i="1" s="1"/>
  <c r="CN17" i="1"/>
  <c r="CR17" i="1"/>
  <c r="CM18" i="1"/>
  <c r="CN18" i="1"/>
  <c r="CO18" i="1"/>
  <c r="CR18" i="1"/>
  <c r="CO19" i="1"/>
  <c r="CR19" i="1"/>
  <c r="CM20" i="1"/>
  <c r="CO20" i="1" s="1"/>
  <c r="CN20" i="1"/>
  <c r="CR20" i="1"/>
  <c r="CM21" i="1"/>
  <c r="CN21" i="1"/>
  <c r="CO21" i="1"/>
  <c r="CR21" i="1"/>
  <c r="CM22" i="1"/>
  <c r="CO22" i="1" s="1"/>
  <c r="CN22" i="1"/>
  <c r="CR22" i="1"/>
  <c r="CM23" i="1"/>
  <c r="CO23" i="1" s="1"/>
  <c r="CN23" i="1"/>
  <c r="CR23" i="1"/>
  <c r="CO24" i="1"/>
  <c r="CR24" i="1"/>
  <c r="CM25" i="1"/>
  <c r="CN25" i="1"/>
  <c r="CO25" i="1"/>
  <c r="CR25" i="1"/>
  <c r="CM26" i="1"/>
  <c r="CO26" i="1" s="1"/>
  <c r="CN26" i="1"/>
  <c r="CR26" i="1"/>
  <c r="CM27" i="1"/>
  <c r="CO27" i="1" s="1"/>
  <c r="CN27" i="1"/>
  <c r="CR27" i="1"/>
  <c r="CM28" i="1"/>
  <c r="CO28" i="1" s="1"/>
  <c r="CN28" i="1"/>
  <c r="CR28" i="1"/>
  <c r="CM29" i="1"/>
  <c r="CO29" i="1" s="1"/>
  <c r="CN29" i="1"/>
  <c r="CR29" i="1"/>
  <c r="CM30" i="1"/>
  <c r="CN30" i="1"/>
  <c r="CO30" i="1"/>
  <c r="CR30" i="1"/>
  <c r="CM31" i="1"/>
  <c r="CO31" i="1" s="1"/>
  <c r="CN31" i="1"/>
  <c r="CR31" i="1"/>
  <c r="CM32" i="1"/>
  <c r="CO32" i="1" s="1"/>
  <c r="CN32" i="1"/>
  <c r="CR32" i="1"/>
  <c r="CM33" i="1"/>
  <c r="CO33" i="1" s="1"/>
  <c r="CN33" i="1"/>
  <c r="CR33" i="1"/>
  <c r="CM34" i="1"/>
  <c r="CO34" i="1" s="1"/>
  <c r="CN34" i="1"/>
  <c r="CR34" i="1"/>
  <c r="CM35" i="1"/>
  <c r="CO35" i="1" s="1"/>
  <c r="CN35" i="1"/>
  <c r="CR35" i="1"/>
  <c r="CM36" i="1"/>
  <c r="CN36" i="1"/>
  <c r="CO36" i="1"/>
  <c r="CR36" i="1"/>
  <c r="CM37" i="1"/>
  <c r="CN37" i="1"/>
  <c r="CO37" i="1"/>
  <c r="CR37" i="1"/>
  <c r="CO38" i="1"/>
  <c r="CR38" i="1"/>
  <c r="CM39" i="1"/>
  <c r="CO39" i="1" s="1"/>
  <c r="CN39" i="1"/>
  <c r="CR39" i="1"/>
  <c r="CM40" i="1"/>
  <c r="CO40" i="1" s="1"/>
  <c r="CN40" i="1"/>
  <c r="CR40" i="1"/>
  <c r="CM41" i="1"/>
  <c r="CO41" i="1" s="1"/>
  <c r="CN41" i="1"/>
  <c r="CR41" i="1"/>
  <c r="CM42" i="1"/>
  <c r="CO42" i="1" s="1"/>
  <c r="CN42" i="1"/>
  <c r="CR42" i="1"/>
  <c r="CM43" i="1"/>
  <c r="CN43" i="1"/>
  <c r="CO43" i="1"/>
  <c r="CR43" i="1"/>
  <c r="CM44" i="1"/>
  <c r="CN44" i="1"/>
  <c r="CO44" i="1"/>
  <c r="CR44" i="1"/>
  <c r="CM45" i="1"/>
  <c r="CN45" i="1"/>
  <c r="CO45" i="1"/>
  <c r="CR45" i="1"/>
  <c r="CM46" i="1"/>
  <c r="CO46" i="1" s="1"/>
  <c r="CN46" i="1"/>
  <c r="CR46" i="1"/>
  <c r="CM47" i="1"/>
  <c r="CN47" i="1"/>
  <c r="CO47" i="1"/>
  <c r="CR47" i="1"/>
  <c r="CM48" i="1"/>
  <c r="CO48" i="1" s="1"/>
  <c r="CN48" i="1"/>
  <c r="CR48" i="1"/>
  <c r="CM49" i="1"/>
  <c r="CO49" i="1" s="1"/>
  <c r="CN49" i="1"/>
  <c r="CR49" i="1"/>
  <c r="CM50" i="1"/>
  <c r="CN50" i="1"/>
  <c r="CO50" i="1"/>
  <c r="CR50" i="1"/>
  <c r="CM51" i="1"/>
  <c r="CO51" i="1" s="1"/>
  <c r="CN51" i="1"/>
  <c r="CR51" i="1"/>
  <c r="CM52" i="1"/>
  <c r="CN52" i="1"/>
  <c r="CO52" i="1"/>
  <c r="CR52" i="1"/>
  <c r="CM53" i="1"/>
  <c r="CO53" i="1" s="1"/>
  <c r="CN53" i="1"/>
  <c r="CR53" i="1"/>
  <c r="CM54" i="1"/>
  <c r="CO54" i="1" s="1"/>
  <c r="CN54" i="1"/>
  <c r="CR54" i="1"/>
  <c r="CM55" i="1"/>
  <c r="CN55" i="1"/>
  <c r="CO55" i="1"/>
  <c r="CR55" i="1"/>
  <c r="CM56" i="1"/>
  <c r="CO56" i="1" s="1"/>
  <c r="CN56" i="1"/>
  <c r="CR56" i="1"/>
  <c r="CM57" i="1"/>
  <c r="CO57" i="1" s="1"/>
  <c r="CN57" i="1"/>
  <c r="CR57" i="1"/>
  <c r="CM58" i="1"/>
  <c r="CN58" i="1"/>
  <c r="CO58" i="1"/>
  <c r="CR58" i="1"/>
  <c r="CM59" i="1"/>
  <c r="CO59" i="1" s="1"/>
  <c r="CN59" i="1"/>
  <c r="CR59" i="1"/>
  <c r="CM60" i="1"/>
  <c r="CO60" i="1" s="1"/>
  <c r="CN60" i="1"/>
  <c r="CR60" i="1"/>
  <c r="CM61" i="1"/>
  <c r="CN61" i="1"/>
  <c r="CO61" i="1"/>
  <c r="CR61" i="1"/>
  <c r="CM62" i="1"/>
  <c r="CN62" i="1"/>
  <c r="CO62" i="1"/>
  <c r="CR62" i="1"/>
  <c r="CM63" i="1"/>
  <c r="CO63" i="1" s="1"/>
  <c r="CN63" i="1"/>
  <c r="CR63" i="1"/>
  <c r="CM64" i="1"/>
  <c r="CN64" i="1"/>
  <c r="CO64" i="1"/>
  <c r="CR64" i="1"/>
  <c r="CM65" i="1"/>
  <c r="CO65" i="1" s="1"/>
  <c r="CN65" i="1"/>
  <c r="CR65" i="1"/>
  <c r="CM66" i="1"/>
  <c r="CN66" i="1"/>
  <c r="CO66" i="1"/>
  <c r="CR66" i="1"/>
  <c r="CM67" i="1"/>
  <c r="CO67" i="1" s="1"/>
  <c r="CN67" i="1"/>
  <c r="CR67" i="1"/>
  <c r="CM68" i="1"/>
  <c r="CO68" i="1" s="1"/>
  <c r="CN68" i="1"/>
  <c r="CR68" i="1"/>
  <c r="CM69" i="1"/>
  <c r="CO69" i="1" s="1"/>
  <c r="CN69" i="1"/>
  <c r="CR69" i="1"/>
  <c r="CM70" i="1"/>
  <c r="CO70" i="1" s="1"/>
  <c r="CN70" i="1"/>
  <c r="CR70" i="1"/>
  <c r="CM71" i="1"/>
  <c r="CN71" i="1"/>
  <c r="CO71" i="1"/>
  <c r="CR71" i="1"/>
  <c r="CM72" i="1"/>
  <c r="CO72" i="1" s="1"/>
  <c r="CN72" i="1"/>
  <c r="CR72" i="1"/>
  <c r="CM73" i="1"/>
  <c r="CO73" i="1" s="1"/>
  <c r="CN73" i="1"/>
  <c r="CR73" i="1"/>
  <c r="CM74" i="1"/>
  <c r="CN74" i="1"/>
  <c r="CO74" i="1"/>
  <c r="CR74" i="1"/>
  <c r="CM75" i="1"/>
  <c r="CO75" i="1" s="1"/>
  <c r="CN75" i="1"/>
  <c r="CR75" i="1"/>
  <c r="CM76" i="1"/>
  <c r="CO76" i="1" s="1"/>
  <c r="CN76" i="1"/>
  <c r="CR76" i="1"/>
  <c r="CM77" i="1"/>
  <c r="CO77" i="1" s="1"/>
  <c r="CN77" i="1"/>
  <c r="CR77" i="1"/>
  <c r="CM78" i="1"/>
  <c r="CN78" i="1"/>
  <c r="CO78" i="1"/>
  <c r="CR78" i="1"/>
  <c r="CM79" i="1"/>
  <c r="CN79" i="1"/>
  <c r="CO79" i="1"/>
  <c r="CR79" i="1"/>
  <c r="CM80" i="1"/>
  <c r="CN80" i="1"/>
  <c r="CO80" i="1"/>
  <c r="CR80" i="1"/>
  <c r="CM81" i="1"/>
  <c r="CO81" i="1" s="1"/>
  <c r="CN81" i="1"/>
  <c r="CR81" i="1"/>
  <c r="CM82" i="1"/>
  <c r="CO82" i="1" s="1"/>
  <c r="CN82" i="1"/>
  <c r="CR82" i="1"/>
  <c r="S87" i="4" l="1"/>
  <c r="U85" i="4" l="1"/>
  <c r="T85" i="4"/>
  <c r="S85" i="4"/>
  <c r="Q85" i="4"/>
  <c r="N85" i="4"/>
  <c r="M85" i="4"/>
  <c r="L85" i="4"/>
  <c r="J85" i="4"/>
  <c r="I85" i="4"/>
  <c r="H85" i="4"/>
  <c r="G85" i="4"/>
  <c r="E85" i="4"/>
  <c r="D85" i="4"/>
  <c r="C85" i="4"/>
  <c r="U86" i="4"/>
  <c r="CR2" i="1"/>
  <c r="T86" i="4" l="1"/>
  <c r="R87" i="4"/>
  <c r="N87" i="4"/>
  <c r="K87" i="4"/>
  <c r="T88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7" i="4"/>
  <c r="U6" i="6" l="1"/>
  <c r="W5" i="6"/>
  <c r="Q7" i="6"/>
  <c r="S6" i="6"/>
  <c r="S86" i="4"/>
  <c r="S88" i="4" s="1"/>
  <c r="W6" i="6" l="1"/>
  <c r="U7" i="6"/>
  <c r="S7" i="6"/>
  <c r="Q8" i="6"/>
  <c r="P87" i="4"/>
  <c r="W7" i="6" l="1"/>
  <c r="U8" i="6"/>
  <c r="S8" i="6"/>
  <c r="Q9" i="6"/>
  <c r="R32" i="4"/>
  <c r="R72" i="4"/>
  <c r="R26" i="4"/>
  <c r="R53" i="4"/>
  <c r="R17" i="4"/>
  <c r="R86" i="4" l="1"/>
  <c r="R85" i="4"/>
  <c r="U9" i="6"/>
  <c r="W8" i="6"/>
  <c r="Q10" i="6"/>
  <c r="S9" i="6"/>
  <c r="R88" i="4"/>
  <c r="U10" i="6" l="1"/>
  <c r="W9" i="6"/>
  <c r="Q11" i="6"/>
  <c r="S10" i="6"/>
  <c r="U11" i="6" l="1"/>
  <c r="W10" i="6"/>
  <c r="Q12" i="6"/>
  <c r="S11" i="6"/>
  <c r="CO2" i="1"/>
  <c r="W11" i="6" l="1"/>
  <c r="U12" i="6"/>
  <c r="Q13" i="6"/>
  <c r="S12" i="6"/>
  <c r="U13" i="6" l="1"/>
  <c r="W12" i="6"/>
  <c r="S13" i="6"/>
  <c r="Q14" i="6"/>
  <c r="Q86" i="4"/>
  <c r="Q88" i="4" s="1"/>
  <c r="W13" i="6" l="1"/>
  <c r="U14" i="6"/>
  <c r="Q15" i="6"/>
  <c r="S14" i="6"/>
  <c r="O87" i="4"/>
  <c r="W14" i="6" l="1"/>
  <c r="U15" i="6"/>
  <c r="S15" i="6"/>
  <c r="Q16" i="6"/>
  <c r="P43" i="4"/>
  <c r="P86" i="4" l="1"/>
  <c r="P88" i="4" s="1"/>
  <c r="P85" i="4"/>
  <c r="W15" i="6"/>
  <c r="U16" i="6"/>
  <c r="Q17" i="6"/>
  <c r="S16" i="6"/>
  <c r="W16" i="6" l="1"/>
  <c r="U17" i="6"/>
  <c r="Q18" i="6"/>
  <c r="S17" i="6"/>
  <c r="O30" i="4"/>
  <c r="O59" i="4"/>
  <c r="O86" i="4"/>
  <c r="Z6" i="4"/>
  <c r="O85" i="4" l="1"/>
  <c r="U18" i="6"/>
  <c r="W17" i="6"/>
  <c r="Q19" i="6"/>
  <c r="S18" i="6"/>
  <c r="O88" i="4"/>
  <c r="U19" i="6" l="1"/>
  <c r="W18" i="6"/>
  <c r="Q20" i="6"/>
  <c r="S19" i="6"/>
  <c r="M87" i="4"/>
  <c r="U20" i="6" l="1"/>
  <c r="W19" i="6"/>
  <c r="Q21" i="6"/>
  <c r="S20" i="6"/>
  <c r="L87" i="4"/>
  <c r="Z7" i="4"/>
  <c r="Z8" i="4" s="1"/>
  <c r="M86" i="4"/>
  <c r="N86" i="4"/>
  <c r="U21" i="6" l="1"/>
  <c r="W20" i="6"/>
  <c r="S21" i="6"/>
  <c r="Q22" i="6"/>
  <c r="N88" i="4"/>
  <c r="U22" i="6" l="1"/>
  <c r="W21" i="6"/>
  <c r="Q23" i="6"/>
  <c r="S22" i="6"/>
  <c r="M88" i="4"/>
  <c r="W22" i="6" l="1"/>
  <c r="U23" i="6"/>
  <c r="S23" i="6"/>
  <c r="Q24" i="6"/>
  <c r="L86" i="4"/>
  <c r="W23" i="6" l="1"/>
  <c r="U24" i="6"/>
  <c r="Q25" i="6"/>
  <c r="S24" i="6"/>
  <c r="L88" i="4"/>
  <c r="W24" i="6" l="1"/>
  <c r="U25" i="6"/>
  <c r="S25" i="6"/>
  <c r="Q26" i="6"/>
  <c r="J87" i="4"/>
  <c r="I87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6" i="4" s="1"/>
  <c r="K2" i="4"/>
  <c r="K85" i="4" s="1"/>
  <c r="U27" i="6" l="1"/>
  <c r="W26" i="6"/>
  <c r="Q28" i="6"/>
  <c r="S27" i="6"/>
  <c r="K88" i="4"/>
  <c r="U28" i="6" l="1"/>
  <c r="W27" i="6"/>
  <c r="Q29" i="6"/>
  <c r="S28" i="6"/>
  <c r="J86" i="4"/>
  <c r="U29" i="6" l="1"/>
  <c r="W28" i="6"/>
  <c r="S29" i="6"/>
  <c r="Q30" i="6"/>
  <c r="J88" i="4"/>
  <c r="U30" i="6" l="1"/>
  <c r="W29" i="6"/>
  <c r="Q31" i="6"/>
  <c r="S30" i="6"/>
  <c r="E87" i="4"/>
  <c r="U31" i="6" l="1"/>
  <c r="W30" i="6"/>
  <c r="S31" i="6"/>
  <c r="Q32" i="6"/>
  <c r="G87" i="4"/>
  <c r="H87" i="4"/>
  <c r="W31" i="6" l="1"/>
  <c r="U32" i="6"/>
  <c r="S32" i="6"/>
  <c r="Q33" i="6"/>
  <c r="I86" i="4"/>
  <c r="I88" i="4" s="1"/>
  <c r="U33" i="6" l="1"/>
  <c r="W32" i="6"/>
  <c r="Q34" i="6"/>
  <c r="S33" i="6"/>
  <c r="D87" i="4"/>
  <c r="C87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7" i="4"/>
  <c r="H86" i="4"/>
  <c r="U37" i="6" l="1"/>
  <c r="W36" i="6"/>
  <c r="S37" i="6"/>
  <c r="Q38" i="6"/>
  <c r="H7" i="6"/>
  <c r="I6" i="6"/>
  <c r="J6" i="6" s="1"/>
  <c r="H88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6" i="4"/>
  <c r="I10" i="6" l="1"/>
  <c r="J10" i="6" s="1"/>
  <c r="H11" i="6"/>
  <c r="G88" i="4"/>
  <c r="B87" i="4"/>
  <c r="E86" i="4"/>
  <c r="D86" i="4"/>
  <c r="C86" i="4"/>
  <c r="F20" i="4"/>
  <c r="F19" i="4"/>
  <c r="F85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5" i="4" l="1"/>
  <c r="E88" i="4"/>
  <c r="F86" i="4"/>
  <c r="F88" i="4" s="1"/>
  <c r="H12" i="6"/>
  <c r="I11" i="6"/>
  <c r="J11" i="6" s="1"/>
  <c r="C88" i="4"/>
  <c r="D88" i="4"/>
  <c r="B86" i="4"/>
  <c r="B88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<sst xmlns="http://schemas.openxmlformats.org/spreadsheetml/2006/main" count="9111" uniqueCount="393">
  <si>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</si>
  <si>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</si>
  <si>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</si>
  <si>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</si>
  <si>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</si>
  <si>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</si>
  <si>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</si>
  <si>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</si>
  <si>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</si>
  <si>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</si>
  <si>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</si>
  <si>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</si>
  <si>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</si>
  <si>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</si>
  <si>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</si>
  <si>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</si>
  <si>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</si>
  <si>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</si>
  <si>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</si>
  <si>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</si>
  <si>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</si>
  <si>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</si>
  <si>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</si>
  <si>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</si>
  <si>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</si>
  <si>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</si>
  <si>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</si>
  <si>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</si>
  <si>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</si>
  <si>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</si>
  <si>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</si>
  <si>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</si>
  <si>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</si>
  <si>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</si>
  <si>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</si>
  <si>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</si>
  <si>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</si>
  <si>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</si>
  <si>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</si>
  <si>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</si>
  <si>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</si>
  <si>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</si>
  <si>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</si>
  <si>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</si>
  <si>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</si>
  <si>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</si>
  <si>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</si>
  <si>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</si>
  <si>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</si>
  <si>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</si>
  <si>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</si>
  <si>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</si>
  <si>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</si>
  <si>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</si>
  <si>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</si>
  <si>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</si>
  <si>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</si>
  <si>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</si>
  <si>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</si>
  <si>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</si>
  <si>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</si>
  <si>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</si>
  <si>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</si>
  <si>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</si>
  <si>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</si>
  <si>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</si>
  <si>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</si>
  <si>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</si>
  <si>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</si>
  <si>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</si>
  <si>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</si>
  <si>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</si>
  <si>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</si>
  <si>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</si>
  <si>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</si>
  <si>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</si>
  <si>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</si>
  <si>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</si>
  <si>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</si>
  <si>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</si>
  <si>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</si>
  <si>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</si>
  <si>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</si>
  <si>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</si>
  <si>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</si>
  <si>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</si>
  <si>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</si>
  <si>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</si>
  <si>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</si>
  <si>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</si>
  <si>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</si>
  <si>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</si>
  <si>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</si>
  <si>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</si>
  <si>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</si>
  <si>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</si>
  <si>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</si>
  <si>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</si>
  <si>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</si>
  <si>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</si>
  <si>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</si>
  <si>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</si>
  <si>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</si>
  <si>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</si>
  <si>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</si>
  <si>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</si>
  <si>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</si>
  <si>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</si>
  <si>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</si>
  <si>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</si>
  <si>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</si>
  <si>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</si>
  <si>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</si>
  <si>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</si>
  <si>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</si>
  <si>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</si>
  <si>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</si>
  <si>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</si>
  <si>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</si>
  <si>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</si>
  <si>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</si>
  <si>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</si>
  <si>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</si>
  <si>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</si>
  <si>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</si>
  <si>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</si>
  <si>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</si>
  <si>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</si>
  <si>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</si>
  <si>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</si>
  <si>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</si>
  <si>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</si>
  <si>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</si>
  <si>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</si>
  <si>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</si>
  <si>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</si>
  <si>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</si>
  <si>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</si>
  <si>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</si>
  <si>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</si>
  <si>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</si>
  <si>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</si>
  <si>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</si>
  <si>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</si>
  <si>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</si>
  <si>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</si>
  <si>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</si>
  <si>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</si>
  <si>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</si>
  <si>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</si>
  <si>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</si>
  <si>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</si>
  <si>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</si>
  <si>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</si>
  <si>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</si>
  <si>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</si>
  <si>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</si>
  <si>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</si>
  <si>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</si>
  <si>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</si>
  <si>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</si>
  <si>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</si>
  <si>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</si>
  <si>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</si>
  <si>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</si>
  <si>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</si>
  <si>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</si>
  <si>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</si>
  <si>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</si>
  <si>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</si>
  <si>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</si>
  <si>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</si>
  <si>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</si>
  <si>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</si>
  <si>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</si>
  <si>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</si>
  <si>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</si>
  <si>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</si>
  <si>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</si>
  <si>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</si>
  <si>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</si>
  <si>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</si>
  <si>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</si>
  <si>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</si>
  <si>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</si>
  <si>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</si>
  <si>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</si>
  <si>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</si>
  <si>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</si>
  <si>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</si>
  <si>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</si>
  <si>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</si>
  <si>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</si>
  <si>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</si>
  <si>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</si>
  <si>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</si>
  <si>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</si>
  <si>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</si>
  <si>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</si>
  <si>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</si>
  <si>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</si>
  <si>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</si>
  <si>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</si>
  <si>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</si>
  <si>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</si>
  <si>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</si>
  <si>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</si>
  <si>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</si>
  <si>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</si>
  <si>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</si>
  <si>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</si>
  <si>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</si>
  <si>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</si>
  <si>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</si>
  <si>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</si>
  <si>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</si>
  <si>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</si>
  <si>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</si>
  <si>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</si>
  <si>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</si>
  <si>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</si>
  <si>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</si>
  <si>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</si>
  <si>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</si>
  <si>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</si>
  <si>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</si>
  <si>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</si>
  <si>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</si>
  <si>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</si>
  <si>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</si>
  <si>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</si>
  <si>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</si>
  <si>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</si>
  <si>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</si>
  <si>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</si>
  <si>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</si>
  <si>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</si>
  <si>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</si>
  <si>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</si>
  <si>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</si>
  <si>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</si>
  <si>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</si>
  <si>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</si>
  <si>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</si>
  <si>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</si>
  <si>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</si>
  <si>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</si>
  <si>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</si>
  <si>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</si>
  <si>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</si>
  <si>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</si>
  <si>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</si>
  <si>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</si>
  <si>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</si>
  <si>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</si>
  <si>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</si>
  <si>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</si>
  <si>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</si>
  <si>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</si>
  <si>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</si>
  <si>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</si>
  <si>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</si>
  <si>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</si>
  <si>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</si>
  <si>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</si>
  <si>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</si>
  <si>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</si>
  <si>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</si>
  <si>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</si>
  <si>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</si>
  <si>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</si>
  <si>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</si>
  <si>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</si>
  <si>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</si>
  <si>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</si>
  <si>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</si>
  <si>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</si>
  <si>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</si>
  <si>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</si>
  <si>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</si>
  <si>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</si>
  <si>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</si>
  <si>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</si>
  <si>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</si>
  <si>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</si>
  <si>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</si>
  <si>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</si>
  <si>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</si>
  <si>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</si>
  <si>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</si>
  <si>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</si>
  <si>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</si>
  <si>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</si>
  <si>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</si>
  <si>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</si>
  <si>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</si>
  <si>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</si>
  <si>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</si>
  <si>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</si>
  <si>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</si>
  <si>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</si>
  <si>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</si>
  <si>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</si>
  <si>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</si>
  <si>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</si>
  <si>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</si>
  <si>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</si>
  <si>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</si>
  <si>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</si>
  <si>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</si>
  <si>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</si>
  <si>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</si>
  <si>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</si>
  <si>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</si>
  <si>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</si>
  <si>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</si>
  <si>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</si>
  <si>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</si>
  <si>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</si>
  <si>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</si>
  <si>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</si>
  <si>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</si>
  <si>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</si>
  <si>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</si>
  <si>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</si>
  <si>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</si>
  <si>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</si>
  <si>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</si>
  <si>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</si>
  <si>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</si>
  <si>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</si>
  <si>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</si>
  <si>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</si>
  <si>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</si>
  <si>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</si>
  <si>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</si>
  <si>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</si>
  <si>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</si>
  <si>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</si>
  <si>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</si>
  <si>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</si>
  <si>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</si>
  <si>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</si>
  <si>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</si>
  <si>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</si>
  <si>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</si>
  <si>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</si>
  <si>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</si>
  <si>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</si>
  <si>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</si>
  <si>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</si>
  <si>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</si>
  <si>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</si>
  <si>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</si>
  <si>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</si>
  <si>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</si>
  <si>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</si>
  <si>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</si>
  <si>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</si>
  <si>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</si>
  <si>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</si>
  <si>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</si>
  <si>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</si>
  <si>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</si>
  <si>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</si>
  <si>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</si>
  <si>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</si>
  <si>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</si>
  <si>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</si>
  <si>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</si>
  <si>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</si>
  <si>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</si>
  <si>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</si>
  <si>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</si>
  <si>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</si>
  <si>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</si>
  <si>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</si>
  <si>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</si>
  <si>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</si>
  <si>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</si>
  <si>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</si>
  <si>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</si>
  <si>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</si>
  <si>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</si>
  <si>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</si>
  <si>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</si>
  <si>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jan</t>
  </si>
  <si>
    <t>Verificação</t>
  </si>
  <si>
    <t>Passo</t>
  </si>
  <si>
    <t>Gabe</t>
  </si>
  <si>
    <t>G. Ripardo</t>
  </si>
  <si>
    <t>Thiago T.</t>
  </si>
  <si>
    <t>Eduardo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</si>
</sst>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R83"/>
  <sheetViews>
    <sheetView zoomScale="85" zoomScaleNormal="85" workbookViewId="0">
      <pane xSplit="1" topLeftCell="BU1" activePane="topRight" state="frozen"/>
      <selection pane="topRight" activeCell="CK40" sqref="CK40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90" width="11" customWidth="1"/>
  </cols>
  <sheetData>
    <row r="1" spans="1:96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/>
      <c r="CM1" t="s">
        <v>57</v>
      </c>
      <c r="CN1" t="s">
        <v>58</v>
      </c>
      <c r="CO1" t="s">
        <v>59</v>
      </c>
      <c r="CP1" t="s">
        <v>62</v>
      </c>
      <c r="CQ1" t="s">
        <v>386</v>
      </c>
      <c r="CR1" t="s">
        <v>384</v>
      </c>
    </row>
    <row r="2" spans="1:96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M2">
        <f>COUNT(B2:CK2)</f>
        <v>82</v>
      </c>
      <c r="CN2" s="18">
        <f>AVERAGE(B2:CK2)</f>
        <v>6.0426829268292686</v>
      </c>
      <c r="CO2">
        <f t="shared" ref="CO2" si="0">IF(CM2&gt;1,_xlfn.STDEV.S(B2:CF2),"")</f>
        <v>1.2512468149547391</v>
      </c>
      <c r="CP2">
        <v>1</v>
      </c>
      <c r="CQ2">
        <f>COUNT(CG2:CJ2)</f>
        <v>4</v>
      </c>
      <c r="CR2">
        <f t="shared" ref="CR2" si="1">IF(CP2=0,CQ2,0)</f>
        <v>0</v>
      </c>
    </row>
    <row r="3" spans="1:96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f>COUNT(B3:CK3)</f>
        <v>79</v>
      </c>
      <c r="CN3" s="18">
        <f>AVERAGE(B3:CK3)</f>
        <v>5.6518987341772151</v>
      </c>
      <c r="CO3">
        <f t="shared" ref="CO3:CO66" si="2">IF(CM3&gt;1,_xlfn.STDEV.S(B3:CF3),"")</f>
        <v>1.0518094984498128</v>
      </c>
      <c r="CP3">
        <v>1</v>
      </c>
      <c r="CQ3">
        <f t="shared" ref="CQ3:CQ66" si="3">COUNT(CG3:CJ3)</f>
        <v>4</v>
      </c>
      <c r="CR3">
        <f t="shared" ref="CR3:CR66" si="4">IF(CP3=0,CQ3,0)</f>
        <v>0</v>
      </c>
    </row>
    <row r="4" spans="1:96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M4">
        <f t="shared" ref="CM4:CM66" si="5">COUNT(B4:CI4)</f>
        <v>72</v>
      </c>
      <c r="CN4" s="18">
        <f t="shared" ref="CN4:CN66" si="6">AVERAGE(B4:CI4)</f>
        <v>5.708333333333333</v>
      </c>
      <c r="CO4">
        <f t="shared" si="2"/>
        <v>0.96435844595057774</v>
      </c>
      <c r="CP4">
        <v>1</v>
      </c>
      <c r="CQ4">
        <f t="shared" si="3"/>
        <v>3</v>
      </c>
      <c r="CR4">
        <f t="shared" si="4"/>
        <v>0</v>
      </c>
    </row>
    <row r="5" spans="1:96" x14ac:dyDescent="0.35">
      <c r="A5" t="s">
        <v>6</v>
      </c>
      <c r="B5">
        <v>8</v>
      </c>
      <c r="C5">
        <v>7</v>
      </c>
      <c r="D5">
        <v>7</v>
      </c>
      <c r="E5">
        <v>8</v>
      </c>
      <c r="F5">
        <v>5.5</v>
      </c>
      <c r="G5">
        <v>5.5</v>
      </c>
      <c r="H5" t="s">
        <v>26</v>
      </c>
      <c r="I5">
        <v>8</v>
      </c>
      <c r="J5" t="s">
        <v>26</v>
      </c>
      <c r="K5">
        <v>8</v>
      </c>
      <c r="L5" t="s">
        <v>26</v>
      </c>
      <c r="M5" t="s">
        <v>26</v>
      </c>
      <c r="N5">
        <v>5.5</v>
      </c>
      <c r="O5">
        <v>7</v>
      </c>
      <c r="P5">
        <v>5.5</v>
      </c>
      <c r="Q5" t="s">
        <v>26</v>
      </c>
      <c r="R5" t="s">
        <v>26</v>
      </c>
      <c r="S5">
        <v>5.5</v>
      </c>
      <c r="T5">
        <v>7</v>
      </c>
      <c r="U5">
        <v>7</v>
      </c>
      <c r="V5" t="s">
        <v>26</v>
      </c>
      <c r="W5">
        <v>5.5</v>
      </c>
      <c r="X5">
        <v>5.5</v>
      </c>
      <c r="Y5" t="s">
        <v>26</v>
      </c>
      <c r="Z5" t="s">
        <v>26</v>
      </c>
      <c r="AA5">
        <v>5.5</v>
      </c>
      <c r="AB5" t="s">
        <v>26</v>
      </c>
      <c r="AC5" t="s">
        <v>26</v>
      </c>
      <c r="AD5" t="s">
        <v>26</v>
      </c>
      <c r="AE5">
        <v>7</v>
      </c>
      <c r="AF5">
        <v>8</v>
      </c>
      <c r="AG5">
        <v>8.5</v>
      </c>
      <c r="AH5">
        <v>6.5</v>
      </c>
      <c r="AI5" t="s">
        <v>26</v>
      </c>
      <c r="AJ5">
        <v>6.5</v>
      </c>
      <c r="AK5">
        <v>5.5</v>
      </c>
      <c r="AL5">
        <v>5</v>
      </c>
      <c r="AM5">
        <v>6.5</v>
      </c>
      <c r="AN5">
        <v>8</v>
      </c>
      <c r="AO5">
        <v>7</v>
      </c>
      <c r="AP5">
        <v>5.5</v>
      </c>
      <c r="AQ5">
        <v>6.5</v>
      </c>
      <c r="AR5">
        <v>6.5</v>
      </c>
      <c r="AS5">
        <v>5.5</v>
      </c>
      <c r="AT5">
        <v>6.5</v>
      </c>
      <c r="AU5">
        <v>5.5</v>
      </c>
      <c r="AV5">
        <v>5.5</v>
      </c>
      <c r="AW5" t="s">
        <v>26</v>
      </c>
      <c r="AX5">
        <v>10</v>
      </c>
      <c r="AY5">
        <v>6.5</v>
      </c>
      <c r="AZ5">
        <v>5.5</v>
      </c>
      <c r="BA5">
        <v>5.5</v>
      </c>
      <c r="BB5">
        <v>5</v>
      </c>
      <c r="BC5">
        <v>8.5</v>
      </c>
      <c r="BD5">
        <v>6.5</v>
      </c>
      <c r="BE5">
        <v>8</v>
      </c>
      <c r="BF5">
        <v>5</v>
      </c>
      <c r="BG5">
        <v>5</v>
      </c>
      <c r="BH5">
        <v>9.5</v>
      </c>
      <c r="BI5">
        <v>8</v>
      </c>
      <c r="BJ5">
        <v>7</v>
      </c>
      <c r="BK5">
        <v>6.5</v>
      </c>
      <c r="BL5">
        <v>5.5</v>
      </c>
      <c r="BM5">
        <v>7</v>
      </c>
      <c r="BN5">
        <v>7</v>
      </c>
      <c r="BO5">
        <v>8</v>
      </c>
      <c r="BP5">
        <v>5.5</v>
      </c>
      <c r="BQ5">
        <v>5</v>
      </c>
      <c r="BR5">
        <v>7</v>
      </c>
      <c r="BS5">
        <v>5.5</v>
      </c>
      <c r="BT5">
        <v>6.5</v>
      </c>
      <c r="BU5">
        <v>5</v>
      </c>
      <c r="BV5">
        <v>6.5</v>
      </c>
      <c r="BW5">
        <v>5.5</v>
      </c>
      <c r="BX5">
        <v>5.5</v>
      </c>
      <c r="BY5">
        <v>5.5</v>
      </c>
      <c r="BZ5">
        <v>5.5</v>
      </c>
      <c r="CA5">
        <v>5.5</v>
      </c>
      <c r="CB5">
        <v>7</v>
      </c>
      <c r="CC5">
        <v>5.5</v>
      </c>
      <c r="CD5">
        <v>5.5</v>
      </c>
      <c r="CE5">
        <v>5</v>
      </c>
      <c r="CM5">
        <f t="shared" si="5"/>
        <v>68</v>
      </c>
      <c r="CN5" s="18">
        <f t="shared" si="6"/>
        <v>6.4191176470588234</v>
      </c>
      <c r="CO5">
        <f t="shared" si="2"/>
        <v>1.1769245721961776</v>
      </c>
      <c r="CP5">
        <v>0</v>
      </c>
      <c r="CQ5">
        <f t="shared" si="3"/>
        <v>0</v>
      </c>
      <c r="CR5">
        <f t="shared" si="4"/>
        <v>0</v>
      </c>
    </row>
    <row r="6" spans="1:96" x14ac:dyDescent="0.35">
      <c r="A6" t="s">
        <v>20</v>
      </c>
      <c r="B6" t="s">
        <v>26</v>
      </c>
      <c r="C6" t="s">
        <v>26</v>
      </c>
      <c r="D6">
        <v>7</v>
      </c>
      <c r="E6">
        <v>7</v>
      </c>
      <c r="F6">
        <v>7</v>
      </c>
      <c r="G6">
        <v>7</v>
      </c>
      <c r="H6">
        <v>8</v>
      </c>
      <c r="I6">
        <v>7</v>
      </c>
      <c r="J6">
        <v>8</v>
      </c>
      <c r="K6">
        <v>7</v>
      </c>
      <c r="L6">
        <v>5.5</v>
      </c>
      <c r="M6">
        <v>5</v>
      </c>
      <c r="N6">
        <v>5</v>
      </c>
      <c r="O6" t="s">
        <v>26</v>
      </c>
      <c r="P6">
        <v>7</v>
      </c>
      <c r="Q6">
        <v>3.5</v>
      </c>
      <c r="R6">
        <v>5.5</v>
      </c>
      <c r="S6">
        <v>7</v>
      </c>
      <c r="T6">
        <v>5.5</v>
      </c>
      <c r="U6">
        <v>7</v>
      </c>
      <c r="V6">
        <v>5.5</v>
      </c>
      <c r="W6">
        <v>5.5</v>
      </c>
      <c r="X6">
        <v>5</v>
      </c>
      <c r="Y6">
        <v>5.5</v>
      </c>
      <c r="Z6">
        <v>5.5</v>
      </c>
      <c r="AA6">
        <v>7</v>
      </c>
      <c r="AB6">
        <v>5</v>
      </c>
      <c r="AC6">
        <v>5.5</v>
      </c>
      <c r="AD6">
        <v>7</v>
      </c>
      <c r="AE6">
        <v>7</v>
      </c>
      <c r="AF6">
        <v>7</v>
      </c>
      <c r="AG6">
        <v>8</v>
      </c>
      <c r="AH6" t="s">
        <v>26</v>
      </c>
      <c r="AI6">
        <v>6.5</v>
      </c>
      <c r="AJ6">
        <v>5.5</v>
      </c>
      <c r="AK6">
        <v>6.5</v>
      </c>
      <c r="AL6">
        <v>5.5</v>
      </c>
      <c r="AM6">
        <v>5.5</v>
      </c>
      <c r="AN6">
        <v>6.5</v>
      </c>
      <c r="AO6" t="s">
        <v>26</v>
      </c>
      <c r="AP6">
        <v>5.5</v>
      </c>
      <c r="AQ6">
        <v>5</v>
      </c>
      <c r="AR6">
        <v>5</v>
      </c>
      <c r="AS6" t="s">
        <v>26</v>
      </c>
      <c r="AT6">
        <v>6.5</v>
      </c>
      <c r="AU6">
        <v>6.5</v>
      </c>
      <c r="AV6">
        <v>5.5</v>
      </c>
      <c r="AW6">
        <v>5</v>
      </c>
      <c r="AX6">
        <v>5</v>
      </c>
      <c r="AY6">
        <v>5.5</v>
      </c>
      <c r="AZ6">
        <v>6.5</v>
      </c>
      <c r="BA6" t="s">
        <v>26</v>
      </c>
      <c r="BB6">
        <v>5</v>
      </c>
      <c r="BC6">
        <v>7</v>
      </c>
      <c r="BD6">
        <v>6.5</v>
      </c>
      <c r="BE6">
        <v>4</v>
      </c>
      <c r="BF6">
        <v>5</v>
      </c>
      <c r="BG6">
        <v>6.5</v>
      </c>
      <c r="BH6">
        <v>5.5</v>
      </c>
      <c r="BI6">
        <v>5.5</v>
      </c>
      <c r="BJ6">
        <v>6.5</v>
      </c>
      <c r="BK6" t="s">
        <v>26</v>
      </c>
      <c r="BL6" t="s">
        <v>26</v>
      </c>
      <c r="BM6">
        <v>4</v>
      </c>
      <c r="BN6">
        <v>6.5</v>
      </c>
      <c r="BO6">
        <v>5</v>
      </c>
      <c r="BP6">
        <v>5.5</v>
      </c>
      <c r="BQ6">
        <v>5.5</v>
      </c>
      <c r="BR6">
        <v>5.5</v>
      </c>
      <c r="BS6" t="s">
        <v>26</v>
      </c>
      <c r="BT6">
        <v>6.5</v>
      </c>
      <c r="BU6" t="s">
        <v>26</v>
      </c>
      <c r="BV6" t="s">
        <v>26</v>
      </c>
      <c r="BW6" t="s">
        <v>26</v>
      </c>
      <c r="BX6" t="s">
        <v>26</v>
      </c>
      <c r="BY6" t="s">
        <v>26</v>
      </c>
      <c r="BZ6">
        <v>5.5</v>
      </c>
      <c r="CA6">
        <v>5.5</v>
      </c>
      <c r="CB6" t="s">
        <v>26</v>
      </c>
      <c r="CC6">
        <v>6.5</v>
      </c>
      <c r="CD6">
        <v>7</v>
      </c>
      <c r="CF6">
        <v>5.5</v>
      </c>
      <c r="CI6">
        <v>5.5</v>
      </c>
      <c r="CM6">
        <f t="shared" si="5"/>
        <v>67</v>
      </c>
      <c r="CN6" s="18">
        <f t="shared" si="6"/>
        <v>5.9701492537313436</v>
      </c>
      <c r="CO6">
        <f t="shared" si="2"/>
        <v>0.96648378625350351</v>
      </c>
      <c r="CP6">
        <v>0</v>
      </c>
      <c r="CQ6">
        <f t="shared" si="3"/>
        <v>1</v>
      </c>
      <c r="CR6">
        <f t="shared" si="4"/>
        <v>1</v>
      </c>
    </row>
    <row r="7" spans="1:96" x14ac:dyDescent="0.35">
      <c r="A7" t="s">
        <v>82</v>
      </c>
      <c r="B7">
        <v>10</v>
      </c>
      <c r="C7" t="s">
        <v>26</v>
      </c>
      <c r="D7">
        <v>8</v>
      </c>
      <c r="E7">
        <v>7</v>
      </c>
      <c r="F7">
        <v>5.5</v>
      </c>
      <c r="G7">
        <v>7</v>
      </c>
      <c r="H7">
        <v>5.5</v>
      </c>
      <c r="I7">
        <v>7</v>
      </c>
      <c r="J7">
        <v>7</v>
      </c>
      <c r="K7">
        <v>7</v>
      </c>
      <c r="L7">
        <v>5.5</v>
      </c>
      <c r="M7">
        <v>5.5</v>
      </c>
      <c r="N7">
        <v>7</v>
      </c>
      <c r="O7">
        <v>7</v>
      </c>
      <c r="P7">
        <v>7</v>
      </c>
      <c r="Q7">
        <v>7</v>
      </c>
      <c r="R7">
        <v>8</v>
      </c>
      <c r="S7">
        <v>7</v>
      </c>
      <c r="T7">
        <v>8</v>
      </c>
      <c r="U7">
        <v>7</v>
      </c>
      <c r="V7">
        <v>7</v>
      </c>
      <c r="W7">
        <v>7</v>
      </c>
      <c r="X7">
        <v>5.5</v>
      </c>
      <c r="Y7">
        <v>5.5</v>
      </c>
      <c r="Z7">
        <v>5.5</v>
      </c>
      <c r="AA7">
        <v>7</v>
      </c>
      <c r="AB7">
        <v>7</v>
      </c>
      <c r="AC7">
        <v>7</v>
      </c>
      <c r="AD7" t="s">
        <v>26</v>
      </c>
      <c r="AE7">
        <v>8.5</v>
      </c>
      <c r="AF7">
        <v>7</v>
      </c>
      <c r="AG7">
        <v>7</v>
      </c>
      <c r="AH7">
        <v>5.5</v>
      </c>
      <c r="AI7">
        <v>8</v>
      </c>
      <c r="AJ7">
        <v>6.5</v>
      </c>
      <c r="AK7">
        <v>8</v>
      </c>
      <c r="AL7">
        <v>6.5</v>
      </c>
      <c r="AM7" t="s">
        <v>26</v>
      </c>
      <c r="AN7">
        <v>8</v>
      </c>
      <c r="AO7">
        <v>6.5</v>
      </c>
      <c r="AP7">
        <v>7</v>
      </c>
      <c r="AQ7" t="s">
        <v>26</v>
      </c>
      <c r="AR7" t="s">
        <v>26</v>
      </c>
      <c r="AS7" t="s">
        <v>26</v>
      </c>
      <c r="AT7" t="s">
        <v>26</v>
      </c>
      <c r="AU7" t="s">
        <v>26</v>
      </c>
      <c r="AV7">
        <v>5.5</v>
      </c>
      <c r="AW7" t="s">
        <v>26</v>
      </c>
      <c r="AX7" t="s">
        <v>26</v>
      </c>
      <c r="AY7">
        <v>7</v>
      </c>
      <c r="AZ7" t="s">
        <v>26</v>
      </c>
      <c r="BA7">
        <v>5.5</v>
      </c>
      <c r="BB7">
        <v>7</v>
      </c>
      <c r="BC7">
        <v>5.5</v>
      </c>
      <c r="BD7">
        <v>8</v>
      </c>
      <c r="BE7">
        <v>7</v>
      </c>
      <c r="BF7">
        <v>5.5</v>
      </c>
      <c r="BG7">
        <v>6.5</v>
      </c>
      <c r="BH7">
        <v>6.5</v>
      </c>
      <c r="BI7">
        <v>5.5</v>
      </c>
      <c r="BJ7" t="s">
        <v>26</v>
      </c>
      <c r="BK7" t="s">
        <v>26</v>
      </c>
      <c r="BL7">
        <v>5.5</v>
      </c>
      <c r="BM7">
        <v>6.5</v>
      </c>
      <c r="BN7">
        <v>8</v>
      </c>
      <c r="BO7">
        <v>7</v>
      </c>
      <c r="BP7">
        <v>5.5</v>
      </c>
      <c r="BQ7">
        <v>5.5</v>
      </c>
      <c r="BR7">
        <v>6.5</v>
      </c>
      <c r="BS7">
        <v>6.5</v>
      </c>
      <c r="BT7" t="s">
        <v>26</v>
      </c>
      <c r="BU7" t="s">
        <v>26</v>
      </c>
      <c r="BV7">
        <v>6.5</v>
      </c>
      <c r="BW7">
        <v>5.5</v>
      </c>
      <c r="BX7" t="s">
        <v>26</v>
      </c>
      <c r="BY7">
        <v>6.5</v>
      </c>
      <c r="BZ7" t="s">
        <v>26</v>
      </c>
      <c r="CA7">
        <v>6.5</v>
      </c>
      <c r="CB7">
        <v>5.5</v>
      </c>
      <c r="CC7">
        <v>6.5</v>
      </c>
      <c r="CD7">
        <v>7.5</v>
      </c>
      <c r="CF7">
        <v>6.5</v>
      </c>
      <c r="CG7">
        <v>6.5</v>
      </c>
      <c r="CH7">
        <v>5.5</v>
      </c>
      <c r="CJ7">
        <v>4.5</v>
      </c>
      <c r="CK7">
        <v>6</v>
      </c>
      <c r="CM7">
        <f>COUNT(B7:CK7)</f>
        <v>69</v>
      </c>
      <c r="CN7" s="18">
        <f>AVERAGE(B7:CK7)</f>
        <v>6.6231884057971016</v>
      </c>
      <c r="CO7">
        <f t="shared" si="2"/>
        <v>0.9419445925236869</v>
      </c>
      <c r="CP7">
        <v>1</v>
      </c>
      <c r="CQ7">
        <f t="shared" si="3"/>
        <v>3</v>
      </c>
      <c r="CR7">
        <f t="shared" si="4"/>
        <v>0</v>
      </c>
    </row>
    <row r="8" spans="1:96" x14ac:dyDescent="0.35">
      <c r="A8" t="s">
        <v>9</v>
      </c>
      <c r="B8">
        <v>7</v>
      </c>
      <c r="C8" t="s">
        <v>26</v>
      </c>
      <c r="D8">
        <v>7</v>
      </c>
      <c r="E8">
        <v>5.5</v>
      </c>
      <c r="F8">
        <v>8</v>
      </c>
      <c r="G8">
        <v>7</v>
      </c>
      <c r="H8">
        <v>7</v>
      </c>
      <c r="I8" t="s">
        <v>26</v>
      </c>
      <c r="J8">
        <v>5.5</v>
      </c>
      <c r="K8" t="s">
        <v>26</v>
      </c>
      <c r="L8">
        <v>7</v>
      </c>
      <c r="M8">
        <v>7</v>
      </c>
      <c r="N8">
        <v>8</v>
      </c>
      <c r="O8">
        <v>5.5</v>
      </c>
      <c r="P8">
        <v>5.5</v>
      </c>
      <c r="Q8">
        <v>7</v>
      </c>
      <c r="R8" t="s">
        <v>26</v>
      </c>
      <c r="S8">
        <v>5.5</v>
      </c>
      <c r="T8">
        <v>8</v>
      </c>
      <c r="U8" t="s">
        <v>26</v>
      </c>
      <c r="V8">
        <v>5.5</v>
      </c>
      <c r="W8">
        <v>7</v>
      </c>
      <c r="X8">
        <v>7</v>
      </c>
      <c r="Y8" t="s">
        <v>26</v>
      </c>
      <c r="Z8">
        <v>8</v>
      </c>
      <c r="AA8">
        <v>7</v>
      </c>
      <c r="AB8">
        <v>7</v>
      </c>
      <c r="AC8">
        <v>5.5</v>
      </c>
      <c r="AD8">
        <v>7</v>
      </c>
      <c r="AE8">
        <v>10</v>
      </c>
      <c r="AF8">
        <v>8</v>
      </c>
      <c r="AG8" t="s">
        <v>26</v>
      </c>
      <c r="AH8">
        <v>9.5</v>
      </c>
      <c r="AI8">
        <v>6.5</v>
      </c>
      <c r="AJ8">
        <v>6.5</v>
      </c>
      <c r="AK8">
        <v>6.5</v>
      </c>
      <c r="AL8" t="s">
        <v>26</v>
      </c>
      <c r="AM8">
        <v>8.5</v>
      </c>
      <c r="AN8" t="s">
        <v>26</v>
      </c>
      <c r="AO8" t="s">
        <v>26</v>
      </c>
      <c r="AP8" t="s">
        <v>26</v>
      </c>
      <c r="AQ8">
        <v>5.5</v>
      </c>
      <c r="AR8">
        <v>6.5</v>
      </c>
      <c r="AS8">
        <v>5.5</v>
      </c>
      <c r="AT8">
        <v>6.5</v>
      </c>
      <c r="AU8">
        <v>6.5</v>
      </c>
      <c r="AV8">
        <v>6.5</v>
      </c>
      <c r="AW8" t="s">
        <v>26</v>
      </c>
      <c r="AX8">
        <v>7</v>
      </c>
      <c r="AY8">
        <v>8</v>
      </c>
      <c r="AZ8">
        <v>6.5</v>
      </c>
      <c r="BA8">
        <v>6.5</v>
      </c>
      <c r="BB8">
        <v>5</v>
      </c>
      <c r="BC8">
        <v>4</v>
      </c>
      <c r="BD8">
        <v>5</v>
      </c>
      <c r="BE8">
        <v>6.5</v>
      </c>
      <c r="BF8">
        <v>5.5</v>
      </c>
      <c r="BG8">
        <v>5.5</v>
      </c>
      <c r="BH8">
        <v>5.5</v>
      </c>
      <c r="BI8" t="s">
        <v>26</v>
      </c>
      <c r="BJ8" t="s">
        <v>26</v>
      </c>
      <c r="BK8">
        <v>5.5</v>
      </c>
      <c r="BL8">
        <v>6.5</v>
      </c>
      <c r="BM8">
        <v>5.5</v>
      </c>
      <c r="BN8" t="s">
        <v>26</v>
      </c>
      <c r="BO8" t="s">
        <v>26</v>
      </c>
      <c r="BP8">
        <v>6.5</v>
      </c>
      <c r="BQ8">
        <v>8.5</v>
      </c>
      <c r="BR8">
        <v>7</v>
      </c>
      <c r="BS8">
        <v>6.5</v>
      </c>
      <c r="BT8">
        <v>6.5</v>
      </c>
      <c r="BU8">
        <v>6.5</v>
      </c>
      <c r="BV8" t="s">
        <v>26</v>
      </c>
      <c r="BW8">
        <v>7</v>
      </c>
      <c r="BX8" t="s">
        <v>26</v>
      </c>
      <c r="BY8">
        <v>7</v>
      </c>
      <c r="BZ8">
        <v>7</v>
      </c>
      <c r="CA8">
        <v>6.5</v>
      </c>
      <c r="CB8">
        <v>6.5</v>
      </c>
      <c r="CC8">
        <v>6.5</v>
      </c>
      <c r="CD8">
        <v>6</v>
      </c>
      <c r="CE8">
        <v>6</v>
      </c>
      <c r="CF8">
        <v>7</v>
      </c>
      <c r="CG8">
        <v>6.5</v>
      </c>
      <c r="CI8">
        <v>6</v>
      </c>
      <c r="CJ8">
        <v>6.5</v>
      </c>
      <c r="CK8">
        <v>6.5</v>
      </c>
      <c r="CM8">
        <f>COUNT(B8:CK8)</f>
        <v>69</v>
      </c>
      <c r="CN8" s="18">
        <f>AVERAGE(B8:CK8)</f>
        <v>6.6086956521739131</v>
      </c>
      <c r="CO8">
        <f t="shared" si="2"/>
        <v>1.0570846156365068</v>
      </c>
      <c r="CP8">
        <v>1</v>
      </c>
      <c r="CQ8">
        <f t="shared" si="3"/>
        <v>3</v>
      </c>
      <c r="CR8">
        <f t="shared" si="4"/>
        <v>0</v>
      </c>
    </row>
    <row r="9" spans="1:96" x14ac:dyDescent="0.35">
      <c r="A9" t="s">
        <v>5</v>
      </c>
      <c r="B9">
        <v>10</v>
      </c>
      <c r="C9">
        <v>9.5</v>
      </c>
      <c r="D9">
        <v>9.5</v>
      </c>
      <c r="E9">
        <v>8</v>
      </c>
      <c r="F9">
        <v>7</v>
      </c>
      <c r="G9">
        <v>8</v>
      </c>
      <c r="H9">
        <v>7</v>
      </c>
      <c r="I9" t="s">
        <v>26</v>
      </c>
      <c r="J9">
        <v>9.5</v>
      </c>
      <c r="K9">
        <v>8</v>
      </c>
      <c r="L9">
        <v>9.5</v>
      </c>
      <c r="M9">
        <v>7</v>
      </c>
      <c r="N9">
        <v>8</v>
      </c>
      <c r="O9">
        <v>8</v>
      </c>
      <c r="P9">
        <v>7</v>
      </c>
      <c r="Q9">
        <v>7</v>
      </c>
      <c r="R9" t="s">
        <v>26</v>
      </c>
      <c r="S9" t="s">
        <v>26</v>
      </c>
      <c r="T9" t="s">
        <v>26</v>
      </c>
      <c r="U9">
        <v>7</v>
      </c>
      <c r="V9">
        <v>5.5</v>
      </c>
      <c r="W9">
        <v>8</v>
      </c>
      <c r="X9">
        <v>7</v>
      </c>
      <c r="Y9">
        <v>7</v>
      </c>
      <c r="Z9">
        <v>7</v>
      </c>
      <c r="AA9">
        <v>7</v>
      </c>
      <c r="AB9" t="s">
        <v>26</v>
      </c>
      <c r="AC9" t="s">
        <v>26</v>
      </c>
      <c r="AD9" t="s">
        <v>26</v>
      </c>
      <c r="AE9" t="s">
        <v>26</v>
      </c>
      <c r="AF9">
        <v>8</v>
      </c>
      <c r="AG9">
        <v>10</v>
      </c>
      <c r="AH9" t="s">
        <v>26</v>
      </c>
      <c r="AI9">
        <v>8</v>
      </c>
      <c r="AJ9">
        <v>6.5</v>
      </c>
      <c r="AK9">
        <v>8</v>
      </c>
      <c r="AL9">
        <v>7</v>
      </c>
      <c r="AM9" t="s">
        <v>26</v>
      </c>
      <c r="AN9" t="s">
        <v>26</v>
      </c>
      <c r="AO9">
        <v>7</v>
      </c>
      <c r="AP9">
        <v>5.5</v>
      </c>
      <c r="AQ9">
        <v>6.5</v>
      </c>
      <c r="AR9">
        <v>8</v>
      </c>
      <c r="AS9">
        <v>7</v>
      </c>
      <c r="AT9">
        <v>6.5</v>
      </c>
      <c r="AU9">
        <v>8</v>
      </c>
      <c r="AV9">
        <v>7</v>
      </c>
      <c r="AW9">
        <v>7</v>
      </c>
      <c r="AX9">
        <v>7</v>
      </c>
      <c r="AY9">
        <v>6.5</v>
      </c>
      <c r="AZ9">
        <v>8.5</v>
      </c>
      <c r="BA9">
        <v>10</v>
      </c>
      <c r="BB9">
        <v>6.5</v>
      </c>
      <c r="BC9">
        <v>5</v>
      </c>
      <c r="BD9">
        <v>6.5</v>
      </c>
      <c r="BE9">
        <v>8</v>
      </c>
      <c r="BF9">
        <v>6.5</v>
      </c>
      <c r="BG9">
        <v>5.5</v>
      </c>
      <c r="BH9" t="s">
        <v>26</v>
      </c>
      <c r="BI9" t="s">
        <v>26</v>
      </c>
      <c r="BJ9" t="s">
        <v>26</v>
      </c>
      <c r="BK9">
        <v>6.5</v>
      </c>
      <c r="BL9">
        <v>7</v>
      </c>
      <c r="BM9" t="s">
        <v>26</v>
      </c>
      <c r="BN9" t="s">
        <v>26</v>
      </c>
      <c r="BO9">
        <v>6.5</v>
      </c>
      <c r="BP9">
        <v>6.5</v>
      </c>
      <c r="BQ9">
        <v>7</v>
      </c>
      <c r="BR9">
        <v>6.5</v>
      </c>
      <c r="BS9">
        <v>7</v>
      </c>
      <c r="BT9">
        <v>7</v>
      </c>
      <c r="BU9">
        <v>8</v>
      </c>
      <c r="BV9">
        <v>6.5</v>
      </c>
      <c r="BW9">
        <v>6.5</v>
      </c>
      <c r="BX9">
        <v>8</v>
      </c>
      <c r="BY9" t="s">
        <v>26</v>
      </c>
      <c r="BZ9">
        <v>7</v>
      </c>
      <c r="CA9">
        <v>6.5</v>
      </c>
      <c r="CB9">
        <v>7</v>
      </c>
      <c r="CD9">
        <v>5.5</v>
      </c>
      <c r="CE9">
        <v>9</v>
      </c>
      <c r="CF9">
        <v>7</v>
      </c>
      <c r="CG9">
        <v>8</v>
      </c>
      <c r="CH9">
        <v>7.5</v>
      </c>
      <c r="CI9">
        <v>6.5</v>
      </c>
      <c r="CJ9">
        <v>5.5</v>
      </c>
      <c r="CK9">
        <v>6.5</v>
      </c>
      <c r="CM9">
        <f>COUNT(B9:CK9)</f>
        <v>70</v>
      </c>
      <c r="CN9" s="18">
        <f>AVERAGE(B9:CK9)</f>
        <v>7.2928571428571427</v>
      </c>
      <c r="CO9">
        <f t="shared" si="2"/>
        <v>1.1294250579557983</v>
      </c>
      <c r="CP9">
        <v>1</v>
      </c>
      <c r="CQ9">
        <f t="shared" si="3"/>
        <v>4</v>
      </c>
      <c r="CR9">
        <f t="shared" si="4"/>
        <v>0</v>
      </c>
    </row>
    <row r="10" spans="1:96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M10">
        <f t="shared" si="5"/>
        <v>62</v>
      </c>
      <c r="CN10" s="18">
        <f t="shared" si="6"/>
        <v>5.717741935483871</v>
      </c>
      <c r="CO10">
        <f t="shared" si="2"/>
        <v>1.3617531291315086</v>
      </c>
      <c r="CP10">
        <v>1</v>
      </c>
      <c r="CQ10">
        <f t="shared" si="3"/>
        <v>1</v>
      </c>
      <c r="CR10">
        <f t="shared" si="4"/>
        <v>0</v>
      </c>
    </row>
    <row r="11" spans="1:96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M11">
        <f t="shared" si="5"/>
        <v>59</v>
      </c>
      <c r="CN11" s="18">
        <f t="shared" si="6"/>
        <v>6.6779661016949152</v>
      </c>
      <c r="CO11">
        <f t="shared" si="2"/>
        <v>1.0072574989410263</v>
      </c>
      <c r="CP11">
        <v>1</v>
      </c>
      <c r="CQ11">
        <f t="shared" si="3"/>
        <v>2</v>
      </c>
      <c r="CR11">
        <f t="shared" si="4"/>
        <v>0</v>
      </c>
    </row>
    <row r="12" spans="1:96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M12">
        <f>COUNT(B12:CK12)</f>
        <v>55</v>
      </c>
      <c r="CN12" s="18">
        <f>AVERAGE(B12:CK12)</f>
        <v>5.4818181818181815</v>
      </c>
      <c r="CO12">
        <f t="shared" si="2"/>
        <v>1.0254583642020354</v>
      </c>
      <c r="CP12">
        <v>1</v>
      </c>
      <c r="CQ12">
        <f t="shared" si="3"/>
        <v>2</v>
      </c>
      <c r="CR12">
        <f t="shared" si="4"/>
        <v>0</v>
      </c>
    </row>
    <row r="13" spans="1:96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M13">
        <f>COUNT(B13:CK13)</f>
        <v>53</v>
      </c>
      <c r="CN13" s="18">
        <f>AVERAGE(B13:CK13)</f>
        <v>6.3867924528301883</v>
      </c>
      <c r="CO13">
        <f t="shared" si="2"/>
        <v>1.1769469323774333</v>
      </c>
      <c r="CP13">
        <v>1</v>
      </c>
      <c r="CQ13">
        <f t="shared" si="3"/>
        <v>3</v>
      </c>
      <c r="CR13">
        <f t="shared" si="4"/>
        <v>0</v>
      </c>
    </row>
    <row r="14" spans="1:96" x14ac:dyDescent="0.35">
      <c r="A14" t="s">
        <v>25</v>
      </c>
      <c r="B14" t="s">
        <v>26</v>
      </c>
      <c r="C14" t="s">
        <v>26</v>
      </c>
      <c r="D14" t="s">
        <v>26</v>
      </c>
      <c r="E14">
        <v>3.5</v>
      </c>
      <c r="F14">
        <v>5.5</v>
      </c>
      <c r="G14">
        <v>3</v>
      </c>
      <c r="H14" t="s">
        <v>26</v>
      </c>
      <c r="I14" t="s">
        <v>26</v>
      </c>
      <c r="J14">
        <v>3.5</v>
      </c>
      <c r="K14" t="s">
        <v>26</v>
      </c>
      <c r="L14">
        <v>1</v>
      </c>
      <c r="M14">
        <v>3.5</v>
      </c>
      <c r="N14">
        <v>5</v>
      </c>
      <c r="O14">
        <v>5.5</v>
      </c>
      <c r="P14">
        <v>3.5</v>
      </c>
      <c r="Q14" t="s">
        <v>26</v>
      </c>
      <c r="R14" t="s">
        <v>26</v>
      </c>
      <c r="S14">
        <v>3</v>
      </c>
      <c r="T14">
        <v>5.5</v>
      </c>
      <c r="U14">
        <v>1</v>
      </c>
      <c r="V14">
        <v>5</v>
      </c>
      <c r="W14">
        <v>5.5</v>
      </c>
      <c r="X14">
        <v>5.5</v>
      </c>
      <c r="Y14" t="s">
        <v>26</v>
      </c>
      <c r="Z14">
        <v>5</v>
      </c>
      <c r="AA14" t="s">
        <v>26</v>
      </c>
      <c r="AB14" t="s">
        <v>26</v>
      </c>
      <c r="AC14">
        <v>3</v>
      </c>
      <c r="AD14">
        <v>3.5</v>
      </c>
      <c r="AE14">
        <v>4</v>
      </c>
      <c r="AF14">
        <v>2</v>
      </c>
      <c r="AG14">
        <v>2.5</v>
      </c>
      <c r="AH14">
        <v>5.5</v>
      </c>
      <c r="AI14" t="s">
        <v>26</v>
      </c>
      <c r="AJ14" t="s">
        <v>26</v>
      </c>
      <c r="AK14">
        <v>5.5</v>
      </c>
      <c r="AL14">
        <v>2</v>
      </c>
      <c r="AM14">
        <v>4</v>
      </c>
      <c r="AN14" t="s">
        <v>26</v>
      </c>
      <c r="AO14">
        <v>6.5</v>
      </c>
      <c r="AP14">
        <v>6.5</v>
      </c>
      <c r="AQ14">
        <v>4</v>
      </c>
      <c r="AR14">
        <v>3.5</v>
      </c>
      <c r="AS14" t="s">
        <v>26</v>
      </c>
      <c r="AT14">
        <v>5.5</v>
      </c>
      <c r="AU14">
        <v>4</v>
      </c>
      <c r="AV14" t="s">
        <v>26</v>
      </c>
      <c r="AW14" t="s">
        <v>26</v>
      </c>
      <c r="AX14">
        <v>6.5</v>
      </c>
      <c r="AY14">
        <v>5</v>
      </c>
      <c r="AZ14">
        <v>5</v>
      </c>
      <c r="BA14">
        <v>5.5</v>
      </c>
      <c r="BB14" t="s">
        <v>26</v>
      </c>
      <c r="BC14">
        <v>4</v>
      </c>
      <c r="BD14" t="s">
        <v>26</v>
      </c>
      <c r="BE14">
        <v>5</v>
      </c>
      <c r="BF14" t="s">
        <v>26</v>
      </c>
      <c r="BG14" t="s">
        <v>26</v>
      </c>
      <c r="BH14" t="s">
        <v>26</v>
      </c>
      <c r="BI14" t="s">
        <v>26</v>
      </c>
      <c r="BJ14" t="s">
        <v>26</v>
      </c>
      <c r="BK14">
        <v>5</v>
      </c>
      <c r="BL14">
        <v>4</v>
      </c>
      <c r="BM14">
        <v>5.5</v>
      </c>
      <c r="BN14" t="s">
        <v>26</v>
      </c>
      <c r="BO14">
        <v>5</v>
      </c>
      <c r="BP14" t="s">
        <v>26</v>
      </c>
      <c r="BQ14" t="s">
        <v>26</v>
      </c>
      <c r="BR14">
        <v>5</v>
      </c>
      <c r="BS14" t="s">
        <v>26</v>
      </c>
      <c r="BT14">
        <v>5.5</v>
      </c>
      <c r="BU14" t="s">
        <v>26</v>
      </c>
      <c r="BV14" t="s">
        <v>26</v>
      </c>
      <c r="BW14" t="s">
        <v>26</v>
      </c>
      <c r="BX14" t="s">
        <v>26</v>
      </c>
      <c r="BY14" t="s">
        <v>26</v>
      </c>
      <c r="BZ14" t="s">
        <v>26</v>
      </c>
      <c r="CA14">
        <v>5.5</v>
      </c>
      <c r="CB14" t="s">
        <v>26</v>
      </c>
      <c r="CC14">
        <v>4.5</v>
      </c>
      <c r="CE14">
        <v>5</v>
      </c>
      <c r="CF14">
        <v>5.5</v>
      </c>
      <c r="CM14">
        <f t="shared" si="5"/>
        <v>47</v>
      </c>
      <c r="CN14" s="18">
        <f t="shared" si="6"/>
        <v>4.4255319148936172</v>
      </c>
      <c r="CO14">
        <f t="shared" si="2"/>
        <v>1.3391217246854428</v>
      </c>
      <c r="CP14">
        <v>1</v>
      </c>
      <c r="CQ14">
        <f t="shared" si="3"/>
        <v>0</v>
      </c>
      <c r="CR14">
        <f t="shared" si="4"/>
        <v>0</v>
      </c>
    </row>
    <row r="15" spans="1:96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5.5</v>
      </c>
      <c r="Y15">
        <v>7</v>
      </c>
      <c r="Z15">
        <v>7</v>
      </c>
      <c r="AA15" t="s">
        <v>26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26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26</v>
      </c>
      <c r="AY15" t="s">
        <v>26</v>
      </c>
      <c r="AZ15" t="s">
        <v>26</v>
      </c>
      <c r="BA15" t="s">
        <v>26</v>
      </c>
      <c r="BB15" t="s">
        <v>26</v>
      </c>
      <c r="BC15" t="s">
        <v>26</v>
      </c>
      <c r="BD15" t="s">
        <v>26</v>
      </c>
      <c r="BE15" t="s">
        <v>26</v>
      </c>
      <c r="BF15" t="s">
        <v>26</v>
      </c>
      <c r="BG15" t="s">
        <v>26</v>
      </c>
      <c r="BH15" t="s">
        <v>26</v>
      </c>
      <c r="BI15" t="s">
        <v>26</v>
      </c>
      <c r="BJ15" t="s">
        <v>26</v>
      </c>
      <c r="BK15" t="s">
        <v>26</v>
      </c>
      <c r="BL15" t="s">
        <v>26</v>
      </c>
      <c r="BM15" t="s">
        <v>26</v>
      </c>
      <c r="BN15" t="s">
        <v>26</v>
      </c>
      <c r="BO15" t="s">
        <v>26</v>
      </c>
      <c r="BP15">
        <v>5.5</v>
      </c>
      <c r="BQ15">
        <v>5.5</v>
      </c>
      <c r="BR15">
        <v>6.5</v>
      </c>
      <c r="BS15">
        <v>6.5</v>
      </c>
      <c r="BT15" t="s">
        <v>26</v>
      </c>
      <c r="BU15" t="s">
        <v>26</v>
      </c>
      <c r="BV15">
        <v>5.5</v>
      </c>
      <c r="BW15">
        <v>6.5</v>
      </c>
      <c r="BX15" t="s">
        <v>26</v>
      </c>
      <c r="BY15">
        <v>5</v>
      </c>
      <c r="BZ15" t="s">
        <v>26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M15">
        <f>COUNT(B15:CK15)</f>
        <v>45</v>
      </c>
      <c r="CN15" s="18">
        <f>AVERAGE(B15:CK15)</f>
        <v>6.0666666666666664</v>
      </c>
      <c r="CO15">
        <f t="shared" si="2"/>
        <v>0.9573434129174403</v>
      </c>
      <c r="CP15">
        <v>1</v>
      </c>
      <c r="CQ15">
        <f t="shared" si="3"/>
        <v>4</v>
      </c>
      <c r="CR15">
        <f t="shared" si="4"/>
        <v>0</v>
      </c>
    </row>
    <row r="16" spans="1:96" x14ac:dyDescent="0.35">
      <c r="A16" t="s">
        <v>44</v>
      </c>
      <c r="B16" t="s">
        <v>26</v>
      </c>
      <c r="C16" t="s">
        <v>26</v>
      </c>
      <c r="D16" t="s">
        <v>26</v>
      </c>
      <c r="E16" t="s">
        <v>26</v>
      </c>
      <c r="F16">
        <v>5</v>
      </c>
      <c r="G16">
        <v>3.5</v>
      </c>
      <c r="H16">
        <v>5.5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5.5</v>
      </c>
      <c r="R16" t="s">
        <v>26</v>
      </c>
      <c r="S16">
        <v>5.5</v>
      </c>
      <c r="T16">
        <v>5.5</v>
      </c>
      <c r="U16" t="s">
        <v>26</v>
      </c>
      <c r="V16" t="s">
        <v>26</v>
      </c>
      <c r="W16" t="s">
        <v>26</v>
      </c>
      <c r="X16" t="s">
        <v>26</v>
      </c>
      <c r="Y16" t="s">
        <v>26</v>
      </c>
      <c r="Z16" t="s">
        <v>26</v>
      </c>
      <c r="AA16" t="s">
        <v>26</v>
      </c>
      <c r="AB16" t="s">
        <v>26</v>
      </c>
      <c r="AC16" t="s">
        <v>26</v>
      </c>
      <c r="AD16" t="s">
        <v>26</v>
      </c>
      <c r="AE16" t="s">
        <v>26</v>
      </c>
      <c r="AF16" t="s">
        <v>26</v>
      </c>
      <c r="AG16">
        <v>8</v>
      </c>
      <c r="AH16" t="s">
        <v>26</v>
      </c>
      <c r="AI16">
        <v>4</v>
      </c>
      <c r="AJ16">
        <v>3.5</v>
      </c>
      <c r="AK16">
        <v>2.5</v>
      </c>
      <c r="AL16">
        <v>5.5</v>
      </c>
      <c r="AM16" t="s">
        <v>26</v>
      </c>
      <c r="AN16">
        <v>5.5</v>
      </c>
      <c r="AO16">
        <v>5.5</v>
      </c>
      <c r="AP16" t="s">
        <v>26</v>
      </c>
      <c r="AQ16" t="s">
        <v>26</v>
      </c>
      <c r="AR16" t="s">
        <v>26</v>
      </c>
      <c r="AS16" t="s">
        <v>26</v>
      </c>
      <c r="AT16" t="s">
        <v>26</v>
      </c>
      <c r="AU16" t="s">
        <v>26</v>
      </c>
      <c r="AV16" t="s">
        <v>26</v>
      </c>
      <c r="AW16">
        <v>5</v>
      </c>
      <c r="AX16">
        <v>5</v>
      </c>
      <c r="AY16">
        <v>5</v>
      </c>
      <c r="AZ16">
        <v>5</v>
      </c>
      <c r="BA16" t="s">
        <v>26</v>
      </c>
      <c r="BB16">
        <v>6.5</v>
      </c>
      <c r="BC16">
        <v>2</v>
      </c>
      <c r="BD16" t="s">
        <v>26</v>
      </c>
      <c r="BE16">
        <v>4</v>
      </c>
      <c r="BF16">
        <v>5.5</v>
      </c>
      <c r="BG16">
        <v>3.5</v>
      </c>
      <c r="BH16">
        <v>4</v>
      </c>
      <c r="BI16">
        <v>5.5</v>
      </c>
      <c r="BJ16">
        <v>5</v>
      </c>
      <c r="BK16">
        <v>5.5</v>
      </c>
      <c r="BL16">
        <v>5</v>
      </c>
      <c r="BM16" t="s">
        <v>26</v>
      </c>
      <c r="BN16" t="s">
        <v>26</v>
      </c>
      <c r="BO16">
        <v>4</v>
      </c>
      <c r="BP16">
        <v>5.5</v>
      </c>
      <c r="BQ16">
        <v>5</v>
      </c>
      <c r="BR16" t="s">
        <v>26</v>
      </c>
      <c r="BS16">
        <v>5</v>
      </c>
      <c r="BT16">
        <v>5</v>
      </c>
      <c r="BU16" t="s">
        <v>26</v>
      </c>
      <c r="BV16">
        <v>4</v>
      </c>
      <c r="BW16" t="s">
        <v>26</v>
      </c>
      <c r="BX16">
        <v>5.5</v>
      </c>
      <c r="BY16" t="s">
        <v>26</v>
      </c>
      <c r="BZ16" t="s">
        <v>26</v>
      </c>
      <c r="CA16" t="s">
        <v>26</v>
      </c>
      <c r="CB16">
        <v>5.5</v>
      </c>
      <c r="CC16">
        <v>5.5</v>
      </c>
      <c r="CD16">
        <v>4.5</v>
      </c>
      <c r="CE16">
        <v>5.5</v>
      </c>
      <c r="CG16">
        <v>6</v>
      </c>
      <c r="CH16">
        <v>6.5</v>
      </c>
      <c r="CI16">
        <v>5.5</v>
      </c>
      <c r="CJ16">
        <v>4.5</v>
      </c>
      <c r="CK16">
        <v>5.5</v>
      </c>
      <c r="CM16">
        <f>COUNT(B16:CK16)</f>
        <v>43</v>
      </c>
      <c r="CN16" s="18">
        <f>AVERAGE(B16:CK16)</f>
        <v>4.9883720930232558</v>
      </c>
      <c r="CO16">
        <f t="shared" si="2"/>
        <v>1.0645089158214895</v>
      </c>
      <c r="CP16">
        <v>1</v>
      </c>
      <c r="CQ16">
        <f t="shared" si="3"/>
        <v>4</v>
      </c>
      <c r="CR16">
        <f t="shared" si="4"/>
        <v>0</v>
      </c>
    </row>
    <row r="17" spans="1:96" x14ac:dyDescent="0.35">
      <c r="A17" t="s">
        <v>84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 t="s">
        <v>26</v>
      </c>
      <c r="R17" t="s">
        <v>26</v>
      </c>
      <c r="S17" t="s">
        <v>26</v>
      </c>
      <c r="T17" t="s">
        <v>26</v>
      </c>
      <c r="U17" t="s">
        <v>26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>
        <v>3.5</v>
      </c>
      <c r="AC17">
        <v>5.5</v>
      </c>
      <c r="AD17" t="s">
        <v>26</v>
      </c>
      <c r="AE17">
        <v>8</v>
      </c>
      <c r="AF17">
        <v>7</v>
      </c>
      <c r="AG17">
        <v>8</v>
      </c>
      <c r="AH17">
        <v>5.5</v>
      </c>
      <c r="AI17">
        <v>6.5</v>
      </c>
      <c r="AJ17" t="s">
        <v>26</v>
      </c>
      <c r="AK17" t="s">
        <v>26</v>
      </c>
      <c r="AL17">
        <v>5.5</v>
      </c>
      <c r="AM17" t="s">
        <v>26</v>
      </c>
      <c r="AN17" t="s">
        <v>26</v>
      </c>
      <c r="AO17">
        <v>6.5</v>
      </c>
      <c r="AP17">
        <v>7</v>
      </c>
      <c r="AQ17">
        <v>6.5</v>
      </c>
      <c r="AR17" t="s">
        <v>26</v>
      </c>
      <c r="AS17" t="s">
        <v>26</v>
      </c>
      <c r="AT17">
        <v>5</v>
      </c>
      <c r="AU17">
        <v>5.5</v>
      </c>
      <c r="AV17">
        <v>5.5</v>
      </c>
      <c r="AW17">
        <v>5</v>
      </c>
      <c r="AX17">
        <v>5.5</v>
      </c>
      <c r="AY17" t="s">
        <v>26</v>
      </c>
      <c r="AZ17">
        <v>5.5</v>
      </c>
      <c r="BA17">
        <v>6.5</v>
      </c>
      <c r="BB17">
        <v>6.5</v>
      </c>
      <c r="BC17">
        <v>4</v>
      </c>
      <c r="BD17">
        <v>5</v>
      </c>
      <c r="BE17">
        <v>5</v>
      </c>
      <c r="BF17">
        <v>5</v>
      </c>
      <c r="BG17">
        <v>5.5</v>
      </c>
      <c r="BH17" t="s">
        <v>26</v>
      </c>
      <c r="BI17">
        <v>5</v>
      </c>
      <c r="BJ17" t="s">
        <v>26</v>
      </c>
      <c r="BK17" t="s">
        <v>26</v>
      </c>
      <c r="BL17">
        <v>5.5</v>
      </c>
      <c r="BM17">
        <v>5.5</v>
      </c>
      <c r="BN17">
        <v>6.5</v>
      </c>
      <c r="BO17">
        <v>5.5</v>
      </c>
      <c r="BP17" t="s">
        <v>26</v>
      </c>
      <c r="BQ17">
        <v>5.5</v>
      </c>
      <c r="BR17">
        <v>5</v>
      </c>
      <c r="BS17" t="s">
        <v>26</v>
      </c>
      <c r="BT17" t="s">
        <v>26</v>
      </c>
      <c r="BU17" t="s">
        <v>26</v>
      </c>
      <c r="BV17" t="s">
        <v>26</v>
      </c>
      <c r="BW17">
        <v>5.5</v>
      </c>
      <c r="BX17" t="s">
        <v>26</v>
      </c>
      <c r="BY17" t="s">
        <v>26</v>
      </c>
      <c r="BZ17" t="s">
        <v>26</v>
      </c>
      <c r="CA17">
        <v>5.5</v>
      </c>
      <c r="CB17">
        <v>6.5</v>
      </c>
      <c r="CC17">
        <v>6</v>
      </c>
      <c r="CD17">
        <v>5.5</v>
      </c>
      <c r="CJ17">
        <v>6</v>
      </c>
      <c r="CK17">
        <v>6.5</v>
      </c>
      <c r="CM17">
        <f t="shared" si="5"/>
        <v>36</v>
      </c>
      <c r="CN17" s="18">
        <f t="shared" si="6"/>
        <v>5.7361111111111107</v>
      </c>
      <c r="CO17">
        <f t="shared" si="2"/>
        <v>0.92956296268047622</v>
      </c>
      <c r="CP17">
        <v>1</v>
      </c>
      <c r="CQ17">
        <f t="shared" si="3"/>
        <v>1</v>
      </c>
      <c r="CR17">
        <f t="shared" si="4"/>
        <v>0</v>
      </c>
    </row>
    <row r="18" spans="1:96" x14ac:dyDescent="0.35">
      <c r="A18" t="s">
        <v>15</v>
      </c>
      <c r="B18">
        <v>7</v>
      </c>
      <c r="C18">
        <v>5</v>
      </c>
      <c r="D18" t="s">
        <v>26</v>
      </c>
      <c r="E18" t="s">
        <v>26</v>
      </c>
      <c r="F18" t="s">
        <v>26</v>
      </c>
      <c r="G18">
        <v>5.5</v>
      </c>
      <c r="H18">
        <v>3.5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>
        <v>5.5</v>
      </c>
      <c r="Q18">
        <v>5</v>
      </c>
      <c r="R18">
        <v>7</v>
      </c>
      <c r="S18">
        <v>5.5</v>
      </c>
      <c r="T18">
        <v>5.5</v>
      </c>
      <c r="U18">
        <v>7</v>
      </c>
      <c r="V18">
        <v>5</v>
      </c>
      <c r="W18">
        <v>5.5</v>
      </c>
      <c r="X18">
        <v>5</v>
      </c>
      <c r="Y18">
        <v>7</v>
      </c>
      <c r="Z18" t="s">
        <v>26</v>
      </c>
      <c r="AA18">
        <v>7</v>
      </c>
      <c r="AB18">
        <v>5.5</v>
      </c>
      <c r="AC18" t="s">
        <v>26</v>
      </c>
      <c r="AD18">
        <v>5.5</v>
      </c>
      <c r="AE18" t="s">
        <v>26</v>
      </c>
      <c r="AF18" t="s">
        <v>26</v>
      </c>
      <c r="AG18" t="s">
        <v>26</v>
      </c>
      <c r="AH18" t="s">
        <v>26</v>
      </c>
      <c r="AI18" t="s">
        <v>26</v>
      </c>
      <c r="AJ18" t="s">
        <v>26</v>
      </c>
      <c r="AK18" t="s">
        <v>26</v>
      </c>
      <c r="AL18" t="s">
        <v>26</v>
      </c>
      <c r="AM18" t="s">
        <v>26</v>
      </c>
      <c r="AN18" t="s">
        <v>26</v>
      </c>
      <c r="AO18" t="s">
        <v>26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 t="s">
        <v>26</v>
      </c>
      <c r="AX18" t="s">
        <v>26</v>
      </c>
      <c r="AY18" t="s">
        <v>26</v>
      </c>
      <c r="AZ18" t="s">
        <v>26</v>
      </c>
      <c r="BA18" t="s">
        <v>26</v>
      </c>
      <c r="BB18">
        <v>3.5</v>
      </c>
      <c r="BC18">
        <v>4</v>
      </c>
      <c r="BD18">
        <v>5.5</v>
      </c>
      <c r="BE18">
        <v>8.5</v>
      </c>
      <c r="BF18" t="s">
        <v>26</v>
      </c>
      <c r="BG18" t="s">
        <v>26</v>
      </c>
      <c r="BH18">
        <v>5.5</v>
      </c>
      <c r="BI18" t="s">
        <v>26</v>
      </c>
      <c r="BJ18">
        <v>5</v>
      </c>
      <c r="BK18">
        <v>6.5</v>
      </c>
      <c r="BL18">
        <v>5.5</v>
      </c>
      <c r="BM18">
        <v>5.5</v>
      </c>
      <c r="BN18">
        <v>6.5</v>
      </c>
      <c r="BO18" t="s">
        <v>26</v>
      </c>
      <c r="BP18" t="s">
        <v>26</v>
      </c>
      <c r="BQ18" t="s">
        <v>26</v>
      </c>
      <c r="BR18">
        <v>5.5</v>
      </c>
      <c r="BS18">
        <v>5.5</v>
      </c>
      <c r="BT18" t="s">
        <v>26</v>
      </c>
      <c r="BU18" t="s">
        <v>26</v>
      </c>
      <c r="BV18" t="s">
        <v>26</v>
      </c>
      <c r="BW18">
        <v>6.5</v>
      </c>
      <c r="BX18">
        <v>5.5</v>
      </c>
      <c r="BY18">
        <v>5.5</v>
      </c>
      <c r="BZ18" t="s">
        <v>26</v>
      </c>
      <c r="CA18">
        <v>5</v>
      </c>
      <c r="CB18">
        <v>5.5</v>
      </c>
      <c r="CC18">
        <v>5</v>
      </c>
      <c r="CI18">
        <v>5</v>
      </c>
      <c r="CJ18">
        <v>6</v>
      </c>
      <c r="CK18">
        <v>6</v>
      </c>
      <c r="CM18">
        <f t="shared" si="5"/>
        <v>36</v>
      </c>
      <c r="CN18" s="18">
        <f t="shared" si="6"/>
        <v>5.6111111111111107</v>
      </c>
      <c r="CO18">
        <f t="shared" si="2"/>
        <v>1.0098256776095882</v>
      </c>
      <c r="CP18">
        <v>1</v>
      </c>
      <c r="CQ18">
        <f t="shared" si="3"/>
        <v>2</v>
      </c>
      <c r="CR18">
        <f t="shared" si="4"/>
        <v>0</v>
      </c>
    </row>
    <row r="19" spans="1:96" x14ac:dyDescent="0.35">
      <c r="A19" t="s">
        <v>46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>
        <v>5.5</v>
      </c>
      <c r="I19">
        <v>5</v>
      </c>
      <c r="J19">
        <v>5</v>
      </c>
      <c r="K19">
        <v>3</v>
      </c>
      <c r="L19" t="s">
        <v>26</v>
      </c>
      <c r="M19">
        <v>3</v>
      </c>
      <c r="N19">
        <v>3.5</v>
      </c>
      <c r="O19">
        <v>8</v>
      </c>
      <c r="P19">
        <v>7</v>
      </c>
      <c r="Q19">
        <v>3.5</v>
      </c>
      <c r="R19" t="s">
        <v>26</v>
      </c>
      <c r="S19" t="s">
        <v>26</v>
      </c>
      <c r="T19" t="s">
        <v>26</v>
      </c>
      <c r="U19">
        <v>5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E19" t="s">
        <v>26</v>
      </c>
      <c r="AF19" t="s">
        <v>26</v>
      </c>
      <c r="AG19" t="s">
        <v>26</v>
      </c>
      <c r="AH19">
        <v>5.5</v>
      </c>
      <c r="AI19">
        <v>6.5</v>
      </c>
      <c r="AJ19">
        <v>3.5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 t="s">
        <v>26</v>
      </c>
      <c r="AR19" t="s">
        <v>26</v>
      </c>
      <c r="AS19" t="s">
        <v>26</v>
      </c>
      <c r="AT19" t="s">
        <v>26</v>
      </c>
      <c r="AU19" t="s">
        <v>26</v>
      </c>
      <c r="AV19" t="s">
        <v>26</v>
      </c>
      <c r="AW19" t="s">
        <v>26</v>
      </c>
      <c r="AX19" t="s">
        <v>26</v>
      </c>
      <c r="AY19" t="s">
        <v>26</v>
      </c>
      <c r="AZ19" t="s">
        <v>26</v>
      </c>
      <c r="BA19" t="s">
        <v>26</v>
      </c>
      <c r="BB19" t="s">
        <v>26</v>
      </c>
      <c r="BC19" t="s">
        <v>26</v>
      </c>
      <c r="BD19" t="s">
        <v>26</v>
      </c>
      <c r="BE19" t="s">
        <v>26</v>
      </c>
      <c r="BF19">
        <v>3.5</v>
      </c>
      <c r="BG19">
        <v>5</v>
      </c>
      <c r="BH19">
        <v>4</v>
      </c>
      <c r="BI19">
        <v>5.5</v>
      </c>
      <c r="BJ19">
        <v>3.5</v>
      </c>
      <c r="BK19">
        <v>4</v>
      </c>
      <c r="BL19">
        <v>5.5</v>
      </c>
      <c r="BM19" t="s">
        <v>26</v>
      </c>
      <c r="BN19" t="s">
        <v>26</v>
      </c>
      <c r="BO19">
        <v>5.5</v>
      </c>
      <c r="BP19" t="s">
        <v>26</v>
      </c>
      <c r="BQ19">
        <v>8.5</v>
      </c>
      <c r="BR19">
        <v>5</v>
      </c>
      <c r="BS19" t="s">
        <v>26</v>
      </c>
      <c r="BT19">
        <v>5.5</v>
      </c>
      <c r="BU19">
        <v>6.5</v>
      </c>
      <c r="BV19">
        <v>5</v>
      </c>
      <c r="BW19" t="s">
        <v>26</v>
      </c>
      <c r="BX19">
        <v>5.5</v>
      </c>
      <c r="BY19">
        <v>5.5</v>
      </c>
      <c r="BZ19" t="s">
        <v>26</v>
      </c>
      <c r="CA19">
        <v>5.5</v>
      </c>
      <c r="CB19">
        <v>5.5</v>
      </c>
      <c r="CC19">
        <v>4</v>
      </c>
      <c r="CD19">
        <v>6.5</v>
      </c>
      <c r="CE19">
        <v>6</v>
      </c>
      <c r="CF19">
        <v>6</v>
      </c>
      <c r="CH19">
        <v>5.5</v>
      </c>
      <c r="CI19">
        <v>6</v>
      </c>
      <c r="CJ19">
        <v>5.5</v>
      </c>
      <c r="CM19">
        <f>COUNT(B19:CJ19)</f>
        <v>37</v>
      </c>
      <c r="CN19" s="18">
        <f>AVERAGE(B19:CJ19)</f>
        <v>5.2027027027027026</v>
      </c>
      <c r="CO19">
        <f t="shared" si="2"/>
        <v>1.3241383031954423</v>
      </c>
      <c r="CP19">
        <v>1</v>
      </c>
      <c r="CQ19">
        <f t="shared" si="3"/>
        <v>3</v>
      </c>
      <c r="CR19">
        <f t="shared" si="4"/>
        <v>0</v>
      </c>
    </row>
    <row r="20" spans="1:96" x14ac:dyDescent="0.35">
      <c r="A20" t="s">
        <v>367</v>
      </c>
      <c r="B20">
        <v>9.5</v>
      </c>
      <c r="C20" t="s">
        <v>26</v>
      </c>
      <c r="D20" t="s">
        <v>26</v>
      </c>
      <c r="E20">
        <v>7</v>
      </c>
      <c r="F20">
        <v>7</v>
      </c>
      <c r="G20" t="s">
        <v>26</v>
      </c>
      <c r="H20">
        <v>10</v>
      </c>
      <c r="I20">
        <v>7</v>
      </c>
      <c r="J20" t="s">
        <v>26</v>
      </c>
      <c r="K20">
        <v>5.5</v>
      </c>
      <c r="L20">
        <v>7</v>
      </c>
      <c r="M20">
        <v>5.5</v>
      </c>
      <c r="N20">
        <v>5.5</v>
      </c>
      <c r="O20">
        <v>5.5</v>
      </c>
      <c r="P20">
        <v>7</v>
      </c>
      <c r="Q20">
        <v>5</v>
      </c>
      <c r="R20">
        <v>8</v>
      </c>
      <c r="S20">
        <v>7</v>
      </c>
      <c r="T20">
        <v>7</v>
      </c>
      <c r="U20">
        <v>5.5</v>
      </c>
      <c r="V20">
        <v>7</v>
      </c>
      <c r="W20">
        <v>7</v>
      </c>
      <c r="X20">
        <v>7</v>
      </c>
      <c r="Y20" t="s">
        <v>26</v>
      </c>
      <c r="Z20">
        <v>5.5</v>
      </c>
      <c r="AA20">
        <v>5.5</v>
      </c>
      <c r="AB20" t="s">
        <v>26</v>
      </c>
      <c r="AC20">
        <v>5.5</v>
      </c>
      <c r="AD20" t="s">
        <v>26</v>
      </c>
      <c r="AE20" t="s">
        <v>26</v>
      </c>
      <c r="AF20">
        <v>8.5</v>
      </c>
      <c r="AG20">
        <v>6.5</v>
      </c>
      <c r="AH20">
        <v>6.5</v>
      </c>
      <c r="AI20">
        <v>6.5</v>
      </c>
      <c r="AJ20">
        <v>6.5</v>
      </c>
      <c r="AK20">
        <v>8</v>
      </c>
      <c r="AL20">
        <v>5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>
        <v>5</v>
      </c>
      <c r="AW20">
        <v>5</v>
      </c>
      <c r="AX20">
        <v>5.5</v>
      </c>
      <c r="AY20">
        <v>6.5</v>
      </c>
      <c r="AZ20">
        <v>6.5</v>
      </c>
      <c r="BA20">
        <v>5.5</v>
      </c>
      <c r="BB20" t="s">
        <v>26</v>
      </c>
      <c r="BC20" t="s">
        <v>26</v>
      </c>
      <c r="BD20">
        <v>5</v>
      </c>
      <c r="BE20">
        <v>7</v>
      </c>
      <c r="BF20">
        <v>8</v>
      </c>
      <c r="BG20">
        <v>6.5</v>
      </c>
      <c r="BH20">
        <v>5.5</v>
      </c>
      <c r="BI20" t="s">
        <v>26</v>
      </c>
      <c r="BJ20" t="s">
        <v>26</v>
      </c>
      <c r="BK20">
        <v>5</v>
      </c>
      <c r="BL20">
        <v>5.5</v>
      </c>
      <c r="BM20">
        <v>6.5</v>
      </c>
      <c r="BN20">
        <v>6.5</v>
      </c>
      <c r="BO20">
        <v>5.5</v>
      </c>
      <c r="BP20">
        <v>6.5</v>
      </c>
      <c r="BQ20">
        <v>5.5</v>
      </c>
      <c r="BR20">
        <v>5</v>
      </c>
      <c r="BS20">
        <v>6.5</v>
      </c>
      <c r="BT20">
        <v>5.5</v>
      </c>
      <c r="BU20" t="s">
        <v>26</v>
      </c>
      <c r="BV20">
        <v>6.5</v>
      </c>
      <c r="BW20">
        <v>5.5</v>
      </c>
      <c r="BX20" t="s">
        <v>26</v>
      </c>
      <c r="BY20">
        <v>5.5</v>
      </c>
      <c r="BZ20" t="s">
        <v>26</v>
      </c>
      <c r="CA20" t="s">
        <v>26</v>
      </c>
      <c r="CB20">
        <v>5.5</v>
      </c>
      <c r="CI20">
        <v>6.5</v>
      </c>
      <c r="CJ20">
        <v>6</v>
      </c>
      <c r="CM20">
        <f t="shared" si="5"/>
        <v>55</v>
      </c>
      <c r="CN20" s="18">
        <f t="shared" si="6"/>
        <v>6.3181818181818183</v>
      </c>
      <c r="CO20">
        <f t="shared" si="2"/>
        <v>1.1213885273224193</v>
      </c>
      <c r="CP20">
        <v>0</v>
      </c>
      <c r="CQ20">
        <f t="shared" si="3"/>
        <v>2</v>
      </c>
      <c r="CR20">
        <f t="shared" si="4"/>
        <v>2</v>
      </c>
    </row>
    <row r="21" spans="1:96" x14ac:dyDescent="0.35">
      <c r="A21" t="s">
        <v>14</v>
      </c>
      <c r="B21">
        <v>7</v>
      </c>
      <c r="C21" t="s">
        <v>26</v>
      </c>
      <c r="D21">
        <v>8</v>
      </c>
      <c r="E21" t="s">
        <v>26</v>
      </c>
      <c r="F21">
        <v>5.5</v>
      </c>
      <c r="G21">
        <v>7</v>
      </c>
      <c r="H21">
        <v>3.5</v>
      </c>
      <c r="I21">
        <v>5</v>
      </c>
      <c r="J21" t="s">
        <v>26</v>
      </c>
      <c r="K21">
        <v>5.5</v>
      </c>
      <c r="L21">
        <v>5.5</v>
      </c>
      <c r="M21">
        <v>5.5</v>
      </c>
      <c r="N21" t="s">
        <v>26</v>
      </c>
      <c r="O21">
        <v>5.5</v>
      </c>
      <c r="P21">
        <v>5</v>
      </c>
      <c r="Q21">
        <v>5</v>
      </c>
      <c r="R21">
        <v>5.5</v>
      </c>
      <c r="S21">
        <v>3.5</v>
      </c>
      <c r="T21">
        <v>7</v>
      </c>
      <c r="U21" t="s">
        <v>26</v>
      </c>
      <c r="V21">
        <v>5.5</v>
      </c>
      <c r="W21" t="s">
        <v>26</v>
      </c>
      <c r="X21">
        <v>7</v>
      </c>
      <c r="Y21">
        <v>5.5</v>
      </c>
      <c r="Z21" t="s">
        <v>26</v>
      </c>
      <c r="AA21">
        <v>5.5</v>
      </c>
      <c r="AB21">
        <v>5</v>
      </c>
      <c r="AC21">
        <v>5.5</v>
      </c>
      <c r="AD21">
        <v>5</v>
      </c>
      <c r="AE21" t="s">
        <v>26</v>
      </c>
      <c r="AF21" t="s">
        <v>26</v>
      </c>
      <c r="AG21" t="s">
        <v>26</v>
      </c>
      <c r="AH21" t="s">
        <v>26</v>
      </c>
      <c r="AI21">
        <v>5.5</v>
      </c>
      <c r="AJ21" t="s">
        <v>26</v>
      </c>
      <c r="AK21" t="s">
        <v>26</v>
      </c>
      <c r="AL21">
        <v>6.5</v>
      </c>
      <c r="AM21">
        <v>5.5</v>
      </c>
      <c r="AN21">
        <v>5.5</v>
      </c>
      <c r="AO21">
        <v>5.5</v>
      </c>
      <c r="AP21">
        <v>5.5</v>
      </c>
      <c r="AQ21">
        <v>5.5</v>
      </c>
      <c r="AR21">
        <v>5</v>
      </c>
      <c r="AS21">
        <v>6.5</v>
      </c>
      <c r="AT21">
        <v>6.5</v>
      </c>
      <c r="AU21" t="s">
        <v>26</v>
      </c>
      <c r="AV21">
        <v>5.5</v>
      </c>
      <c r="AW21" t="s">
        <v>26</v>
      </c>
      <c r="AX21" t="s">
        <v>26</v>
      </c>
      <c r="AY21">
        <v>5</v>
      </c>
      <c r="AZ21">
        <v>5.5</v>
      </c>
      <c r="BA21" t="s">
        <v>26</v>
      </c>
      <c r="BB21">
        <v>5.5</v>
      </c>
      <c r="BC21">
        <v>7</v>
      </c>
      <c r="BD21">
        <v>7</v>
      </c>
      <c r="BE21">
        <v>7</v>
      </c>
      <c r="BF21">
        <v>5.5</v>
      </c>
      <c r="BG21">
        <v>6.5</v>
      </c>
      <c r="BH21">
        <v>5.5</v>
      </c>
      <c r="BI21">
        <v>5.5</v>
      </c>
      <c r="BJ21" t="s">
        <v>26</v>
      </c>
      <c r="BK21">
        <v>6.5</v>
      </c>
      <c r="BL21">
        <v>5.5</v>
      </c>
      <c r="BM21">
        <v>5.5</v>
      </c>
      <c r="BN21">
        <v>6.5</v>
      </c>
      <c r="BO21">
        <v>5</v>
      </c>
      <c r="BP21">
        <v>5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 t="s">
        <v>26</v>
      </c>
      <c r="BX21" t="s">
        <v>26</v>
      </c>
      <c r="BY21" t="s">
        <v>26</v>
      </c>
      <c r="BZ21" t="s">
        <v>26</v>
      </c>
      <c r="CA21" t="s">
        <v>26</v>
      </c>
      <c r="CB21" t="s">
        <v>26</v>
      </c>
      <c r="CF21">
        <v>5.5</v>
      </c>
      <c r="CM21">
        <f t="shared" si="5"/>
        <v>52</v>
      </c>
      <c r="CN21" s="18">
        <f t="shared" si="6"/>
        <v>5.6923076923076925</v>
      </c>
      <c r="CO21">
        <f t="shared" si="2"/>
        <v>0.84687340856573534</v>
      </c>
      <c r="CP21">
        <v>0</v>
      </c>
      <c r="CQ21">
        <f t="shared" si="3"/>
        <v>0</v>
      </c>
      <c r="CR21">
        <f t="shared" si="4"/>
        <v>0</v>
      </c>
    </row>
    <row r="22" spans="1:96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5.5</v>
      </c>
      <c r="P22" t="s">
        <v>26</v>
      </c>
      <c r="Q22">
        <v>3.5</v>
      </c>
      <c r="R22" t="s">
        <v>26</v>
      </c>
      <c r="S22" t="s">
        <v>26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26</v>
      </c>
      <c r="AC22">
        <v>5.5</v>
      </c>
      <c r="AD22">
        <v>7</v>
      </c>
      <c r="AE22" t="s">
        <v>26</v>
      </c>
      <c r="AF22">
        <v>8.5</v>
      </c>
      <c r="AG22">
        <v>8.5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26</v>
      </c>
      <c r="AY22" t="s">
        <v>26</v>
      </c>
      <c r="AZ22">
        <v>6.5</v>
      </c>
      <c r="BA22" t="s">
        <v>26</v>
      </c>
      <c r="BB22" t="s">
        <v>26</v>
      </c>
      <c r="BC22">
        <v>5</v>
      </c>
      <c r="BD22" t="s">
        <v>26</v>
      </c>
      <c r="BE22">
        <v>6.5</v>
      </c>
      <c r="BF22">
        <v>6.5</v>
      </c>
      <c r="BG22" t="s">
        <v>26</v>
      </c>
      <c r="BH22">
        <v>6.5</v>
      </c>
      <c r="BI22" t="s">
        <v>26</v>
      </c>
      <c r="BJ22">
        <v>5.5</v>
      </c>
      <c r="BK22" t="s">
        <v>26</v>
      </c>
      <c r="BL22" t="s">
        <v>26</v>
      </c>
      <c r="BM22">
        <v>5.5</v>
      </c>
      <c r="BN22">
        <v>5</v>
      </c>
      <c r="BO22">
        <v>6.5</v>
      </c>
      <c r="BP22" t="s">
        <v>26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26</v>
      </c>
      <c r="BW22" t="s">
        <v>26</v>
      </c>
      <c r="BX22">
        <v>5.5</v>
      </c>
      <c r="BY22" t="s">
        <v>26</v>
      </c>
      <c r="BZ22">
        <v>5.5</v>
      </c>
      <c r="CA22">
        <v>6.5</v>
      </c>
      <c r="CB22" t="s">
        <v>26</v>
      </c>
      <c r="CK22">
        <v>5.5</v>
      </c>
      <c r="CM22">
        <f t="shared" si="5"/>
        <v>38</v>
      </c>
      <c r="CN22" s="18">
        <f t="shared" si="6"/>
        <v>6.1578947368421053</v>
      </c>
      <c r="CO22">
        <f t="shared" si="2"/>
        <v>1.0973263770680928</v>
      </c>
      <c r="CP22">
        <v>0</v>
      </c>
      <c r="CQ22">
        <f t="shared" si="3"/>
        <v>0</v>
      </c>
      <c r="CR22">
        <f t="shared" si="4"/>
        <v>0</v>
      </c>
    </row>
    <row r="23" spans="1:96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5.5</v>
      </c>
      <c r="W23">
        <v>5.5</v>
      </c>
      <c r="X23" t="s">
        <v>26</v>
      </c>
      <c r="Y23">
        <v>5.5</v>
      </c>
      <c r="Z23" t="s">
        <v>26</v>
      </c>
      <c r="AA23" t="s">
        <v>26</v>
      </c>
      <c r="AB23">
        <v>7</v>
      </c>
      <c r="AC23">
        <v>5.5</v>
      </c>
      <c r="AD23" t="s">
        <v>26</v>
      </c>
      <c r="AE23">
        <v>7</v>
      </c>
      <c r="AF23">
        <v>5.5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>
        <v>5</v>
      </c>
      <c r="AN23" t="s">
        <v>26</v>
      </c>
      <c r="AO23" t="s">
        <v>26</v>
      </c>
      <c r="AP23">
        <v>5.5</v>
      </c>
      <c r="AQ23">
        <v>5</v>
      </c>
      <c r="AR23">
        <v>5.5</v>
      </c>
      <c r="AS23">
        <v>5</v>
      </c>
      <c r="AT23">
        <v>5</v>
      </c>
      <c r="AU23">
        <v>4</v>
      </c>
      <c r="AV23">
        <v>5.5</v>
      </c>
      <c r="AW23">
        <v>5</v>
      </c>
      <c r="AX23">
        <v>5.5</v>
      </c>
      <c r="AY23">
        <v>5.5</v>
      </c>
      <c r="AZ23">
        <v>5.5</v>
      </c>
      <c r="BA23">
        <v>5</v>
      </c>
      <c r="BB23">
        <v>5</v>
      </c>
      <c r="BC23" t="s">
        <v>26</v>
      </c>
      <c r="BD23" t="s">
        <v>26</v>
      </c>
      <c r="BE23" t="s">
        <v>26</v>
      </c>
      <c r="BF23" t="s">
        <v>26</v>
      </c>
      <c r="BG23" t="s">
        <v>26</v>
      </c>
      <c r="BH23" t="s">
        <v>26</v>
      </c>
      <c r="BI23" t="s">
        <v>26</v>
      </c>
      <c r="BJ23" t="s">
        <v>26</v>
      </c>
      <c r="BK23" t="s">
        <v>26</v>
      </c>
      <c r="BL23" t="s">
        <v>26</v>
      </c>
      <c r="BM23" t="s">
        <v>26</v>
      </c>
      <c r="BN23" t="s">
        <v>26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6.5</v>
      </c>
      <c r="BU23" t="s">
        <v>26</v>
      </c>
      <c r="BV23" t="s">
        <v>26</v>
      </c>
      <c r="BW23" t="s">
        <v>26</v>
      </c>
      <c r="BX23" t="s">
        <v>26</v>
      </c>
      <c r="BY23" t="s">
        <v>26</v>
      </c>
      <c r="BZ23">
        <v>4</v>
      </c>
      <c r="CA23" t="s">
        <v>26</v>
      </c>
      <c r="CB23" t="s">
        <v>26</v>
      </c>
      <c r="CD23">
        <v>6</v>
      </c>
      <c r="CI23">
        <v>5</v>
      </c>
      <c r="CM23">
        <f t="shared" si="5"/>
        <v>25</v>
      </c>
      <c r="CN23" s="18">
        <f t="shared" si="6"/>
        <v>5.4</v>
      </c>
      <c r="CO23">
        <f t="shared" si="2"/>
        <v>0.71728150235677346</v>
      </c>
      <c r="CP23">
        <v>0</v>
      </c>
      <c r="CQ23">
        <f t="shared" si="3"/>
        <v>1</v>
      </c>
      <c r="CR23">
        <f t="shared" si="4"/>
        <v>1</v>
      </c>
    </row>
    <row r="24" spans="1:96" x14ac:dyDescent="0.35">
      <c r="A24" t="s">
        <v>48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>
        <v>7</v>
      </c>
      <c r="J24" t="s">
        <v>26</v>
      </c>
      <c r="K24">
        <v>7</v>
      </c>
      <c r="L24">
        <v>8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>
        <v>7</v>
      </c>
      <c r="S24" t="s">
        <v>26</v>
      </c>
      <c r="T24" t="s">
        <v>26</v>
      </c>
      <c r="U24">
        <v>7</v>
      </c>
      <c r="V24" t="s">
        <v>26</v>
      </c>
      <c r="W24" t="s">
        <v>26</v>
      </c>
      <c r="X24" t="s">
        <v>26</v>
      </c>
      <c r="Y24" t="s">
        <v>26</v>
      </c>
      <c r="Z24" t="s">
        <v>26</v>
      </c>
      <c r="AA24" t="s">
        <v>26</v>
      </c>
      <c r="AB24" t="s">
        <v>26</v>
      </c>
      <c r="AC24" t="s">
        <v>26</v>
      </c>
      <c r="AD24">
        <v>5.5</v>
      </c>
      <c r="AE24" t="s">
        <v>26</v>
      </c>
      <c r="AF24" t="s">
        <v>26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 t="s">
        <v>26</v>
      </c>
      <c r="AN24" t="s">
        <v>26</v>
      </c>
      <c r="AO24" t="s">
        <v>26</v>
      </c>
      <c r="AP24" t="s">
        <v>26</v>
      </c>
      <c r="AQ24" t="s">
        <v>26</v>
      </c>
      <c r="AR24" t="s">
        <v>26</v>
      </c>
      <c r="AS24">
        <v>5.5</v>
      </c>
      <c r="AT24">
        <v>5.5</v>
      </c>
      <c r="AU24" t="s">
        <v>26</v>
      </c>
      <c r="AV24" t="s">
        <v>26</v>
      </c>
      <c r="AW24" t="s">
        <v>26</v>
      </c>
      <c r="AX24">
        <v>7</v>
      </c>
      <c r="AY24">
        <v>5</v>
      </c>
      <c r="AZ24" t="s">
        <v>26</v>
      </c>
      <c r="BA24" t="s">
        <v>26</v>
      </c>
      <c r="BB24">
        <v>5.5</v>
      </c>
      <c r="BC24" t="s">
        <v>26</v>
      </c>
      <c r="BD24">
        <v>6.5</v>
      </c>
      <c r="BE24" t="s">
        <v>26</v>
      </c>
      <c r="BF24" t="s">
        <v>26</v>
      </c>
      <c r="BG24" t="s">
        <v>26</v>
      </c>
      <c r="BH24" t="s">
        <v>26</v>
      </c>
      <c r="BI24">
        <v>5</v>
      </c>
      <c r="BJ24">
        <v>6.5</v>
      </c>
      <c r="BK24" t="s">
        <v>26</v>
      </c>
      <c r="BL24" t="s">
        <v>26</v>
      </c>
      <c r="BM24" t="s">
        <v>26</v>
      </c>
      <c r="BN24">
        <v>5.5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5.5</v>
      </c>
      <c r="BU24">
        <v>8</v>
      </c>
      <c r="BV24">
        <v>5.5</v>
      </c>
      <c r="BW24" t="s">
        <v>26</v>
      </c>
      <c r="BX24" t="s">
        <v>26</v>
      </c>
      <c r="BY24" t="s">
        <v>26</v>
      </c>
      <c r="BZ24">
        <v>5.5</v>
      </c>
      <c r="CA24" t="s">
        <v>26</v>
      </c>
      <c r="CB24">
        <v>6.5</v>
      </c>
      <c r="CE24">
        <v>6</v>
      </c>
      <c r="CF24">
        <v>7</v>
      </c>
      <c r="CG24">
        <v>7</v>
      </c>
      <c r="CH24">
        <v>6</v>
      </c>
      <c r="CI24">
        <v>7.5</v>
      </c>
      <c r="CJ24">
        <v>7</v>
      </c>
      <c r="CK24">
        <v>6</v>
      </c>
      <c r="CM24">
        <f>COUNT(B24:CK24)</f>
        <v>27</v>
      </c>
      <c r="CN24" s="18">
        <f>AVERAGE(B24:CK24)</f>
        <v>6.333333333333333</v>
      </c>
      <c r="CO24">
        <f t="shared" si="2"/>
        <v>0.90960483309014595</v>
      </c>
      <c r="CP24">
        <v>1</v>
      </c>
      <c r="CQ24">
        <f t="shared" si="3"/>
        <v>4</v>
      </c>
      <c r="CR24">
        <f t="shared" si="4"/>
        <v>0</v>
      </c>
    </row>
    <row r="25" spans="1:96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M25">
        <f t="shared" si="5"/>
        <v>19</v>
      </c>
      <c r="CN25" s="18">
        <f t="shared" si="6"/>
        <v>5.7894736842105265</v>
      </c>
      <c r="CO25">
        <f t="shared" si="2"/>
        <v>1.3674366679797902</v>
      </c>
      <c r="CP25">
        <v>0</v>
      </c>
      <c r="CQ25">
        <f t="shared" si="3"/>
        <v>0</v>
      </c>
      <c r="CR25">
        <f t="shared" si="4"/>
        <v>0</v>
      </c>
    </row>
    <row r="26" spans="1:96" x14ac:dyDescent="0.35">
      <c r="A26" t="s">
        <v>346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 t="s">
        <v>26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>
        <v>6.5</v>
      </c>
      <c r="AO26">
        <v>5.5</v>
      </c>
      <c r="AP26" t="s">
        <v>26</v>
      </c>
      <c r="AQ26">
        <v>7</v>
      </c>
      <c r="AR26" t="s">
        <v>26</v>
      </c>
      <c r="AS26">
        <v>5.5</v>
      </c>
      <c r="AT26">
        <v>5.5</v>
      </c>
      <c r="AU26">
        <v>7</v>
      </c>
      <c r="AV26" t="s">
        <v>26</v>
      </c>
      <c r="AW26">
        <v>5.5</v>
      </c>
      <c r="AX26">
        <v>5</v>
      </c>
      <c r="AY26">
        <v>7</v>
      </c>
      <c r="AZ26">
        <v>6.5</v>
      </c>
      <c r="BA26">
        <v>5.5</v>
      </c>
      <c r="BB26" t="s">
        <v>26</v>
      </c>
      <c r="BC26">
        <v>5</v>
      </c>
      <c r="BD26" t="s">
        <v>26</v>
      </c>
      <c r="BE26">
        <v>5</v>
      </c>
      <c r="BF26">
        <v>6.5</v>
      </c>
      <c r="BG26">
        <v>5.5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>
        <v>5.5</v>
      </c>
      <c r="BW26">
        <v>6.5</v>
      </c>
      <c r="BX26" t="s">
        <v>26</v>
      </c>
      <c r="BY26">
        <v>6.5</v>
      </c>
      <c r="BZ26" t="s">
        <v>26</v>
      </c>
      <c r="CA26" t="s">
        <v>26</v>
      </c>
      <c r="CB26" t="s">
        <v>26</v>
      </c>
      <c r="CM26">
        <f t="shared" si="5"/>
        <v>18</v>
      </c>
      <c r="CN26" s="18">
        <f t="shared" si="6"/>
        <v>5.9444444444444446</v>
      </c>
      <c r="CO26">
        <f t="shared" si="2"/>
        <v>0.72535769855270305</v>
      </c>
      <c r="CP26">
        <v>0</v>
      </c>
      <c r="CQ26">
        <f t="shared" si="3"/>
        <v>0</v>
      </c>
      <c r="CR26">
        <f t="shared" si="4"/>
        <v>0</v>
      </c>
    </row>
    <row r="27" spans="1:96" x14ac:dyDescent="0.35">
      <c r="A27" t="s">
        <v>8</v>
      </c>
      <c r="B27">
        <v>5.5</v>
      </c>
      <c r="C27" t="s">
        <v>26</v>
      </c>
      <c r="D27">
        <v>3</v>
      </c>
      <c r="E27" t="s">
        <v>26</v>
      </c>
      <c r="F27" t="s">
        <v>26</v>
      </c>
      <c r="G27">
        <v>5</v>
      </c>
      <c r="H27">
        <v>3</v>
      </c>
      <c r="I27">
        <v>3.5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5.5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>
        <v>5.5</v>
      </c>
      <c r="AJ27">
        <v>5.5</v>
      </c>
      <c r="AK27" t="s">
        <v>26</v>
      </c>
      <c r="AL27" t="s">
        <v>26</v>
      </c>
      <c r="AM27" t="s">
        <v>26</v>
      </c>
      <c r="AN27">
        <v>5.5</v>
      </c>
      <c r="AO27" t="s">
        <v>26</v>
      </c>
      <c r="AP27">
        <v>6.5</v>
      </c>
      <c r="AQ27">
        <v>4</v>
      </c>
      <c r="AR27" t="s">
        <v>26</v>
      </c>
      <c r="AS27" t="s">
        <v>26</v>
      </c>
      <c r="AT27" t="s">
        <v>26</v>
      </c>
      <c r="AU27" t="s">
        <v>26</v>
      </c>
      <c r="AV27">
        <v>5</v>
      </c>
      <c r="AW27" t="s">
        <v>26</v>
      </c>
      <c r="AX27" t="s">
        <v>26</v>
      </c>
      <c r="AY27" t="s">
        <v>26</v>
      </c>
      <c r="AZ27" t="s">
        <v>26</v>
      </c>
      <c r="BA27" t="s">
        <v>26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CM27">
        <f t="shared" si="5"/>
        <v>17</v>
      </c>
      <c r="CN27" s="18">
        <f t="shared" si="6"/>
        <v>5.3235294117647056</v>
      </c>
      <c r="CO27">
        <f t="shared" si="2"/>
        <v>1.3456083251473603</v>
      </c>
      <c r="CP27">
        <v>0</v>
      </c>
      <c r="CQ27">
        <f t="shared" si="3"/>
        <v>0</v>
      </c>
      <c r="CR27">
        <f t="shared" si="4"/>
        <v>0</v>
      </c>
    </row>
    <row r="28" spans="1:96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5.5</v>
      </c>
      <c r="Y28" t="s">
        <v>26</v>
      </c>
      <c r="Z28">
        <v>5</v>
      </c>
      <c r="AA28">
        <v>3</v>
      </c>
      <c r="AB28">
        <v>1.5</v>
      </c>
      <c r="AC28" t="s">
        <v>26</v>
      </c>
      <c r="AD28" t="s">
        <v>26</v>
      </c>
      <c r="AE28" t="s">
        <v>26</v>
      </c>
      <c r="AF28" t="s">
        <v>26</v>
      </c>
      <c r="AG28">
        <v>7</v>
      </c>
      <c r="AH28">
        <v>5.5</v>
      </c>
      <c r="AI28" t="s">
        <v>26</v>
      </c>
      <c r="AJ28">
        <v>5</v>
      </c>
      <c r="AK28">
        <v>5.5</v>
      </c>
      <c r="AL28" t="s">
        <v>26</v>
      </c>
      <c r="AM28" t="s">
        <v>26</v>
      </c>
      <c r="AN28" t="s">
        <v>26</v>
      </c>
      <c r="AO28">
        <v>4</v>
      </c>
      <c r="AP28">
        <v>6.5</v>
      </c>
      <c r="AQ28" t="s">
        <v>26</v>
      </c>
      <c r="AR28">
        <v>3.5</v>
      </c>
      <c r="AS28" t="s">
        <v>26</v>
      </c>
      <c r="AT28" t="s">
        <v>26</v>
      </c>
      <c r="AU28" t="s">
        <v>26</v>
      </c>
      <c r="AV28" t="s">
        <v>26</v>
      </c>
      <c r="AW28">
        <v>3.5</v>
      </c>
      <c r="AX28" t="s">
        <v>26</v>
      </c>
      <c r="AY28" t="s">
        <v>26</v>
      </c>
      <c r="AZ28" t="s">
        <v>26</v>
      </c>
      <c r="BA28">
        <v>2.5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>
        <v>6.5</v>
      </c>
      <c r="BK28">
        <v>4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>
        <v>4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M28">
        <f t="shared" si="5"/>
        <v>16</v>
      </c>
      <c r="CN28" s="18">
        <f t="shared" si="6"/>
        <v>4.53125</v>
      </c>
      <c r="CO28">
        <f t="shared" si="2"/>
        <v>1.5434674167816653</v>
      </c>
      <c r="CP28">
        <v>0</v>
      </c>
      <c r="CQ28">
        <f t="shared" si="3"/>
        <v>0</v>
      </c>
      <c r="CR28">
        <f t="shared" si="4"/>
        <v>0</v>
      </c>
    </row>
    <row r="29" spans="1:96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M29">
        <f t="shared" si="5"/>
        <v>16</v>
      </c>
      <c r="CN29" s="18">
        <f t="shared" si="6"/>
        <v>6.65625</v>
      </c>
      <c r="CO29">
        <f t="shared" si="2"/>
        <v>0.74651970279870483</v>
      </c>
      <c r="CP29">
        <v>0</v>
      </c>
      <c r="CQ29">
        <f t="shared" si="3"/>
        <v>0</v>
      </c>
      <c r="CR29">
        <f t="shared" si="4"/>
        <v>0</v>
      </c>
    </row>
    <row r="30" spans="1:96" x14ac:dyDescent="0.35">
      <c r="A30" t="s">
        <v>7</v>
      </c>
      <c r="B30">
        <v>5.5</v>
      </c>
      <c r="C30">
        <v>0</v>
      </c>
      <c r="D30">
        <v>3.5</v>
      </c>
      <c r="E30">
        <v>3</v>
      </c>
      <c r="F30">
        <v>8</v>
      </c>
      <c r="G30">
        <v>5</v>
      </c>
      <c r="H30">
        <v>5.5</v>
      </c>
      <c r="I30">
        <v>3.5</v>
      </c>
      <c r="J30">
        <v>1.5</v>
      </c>
      <c r="K30">
        <v>5</v>
      </c>
      <c r="L30">
        <v>1</v>
      </c>
      <c r="M30">
        <v>0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5.5</v>
      </c>
      <c r="AE30" t="s">
        <v>26</v>
      </c>
      <c r="AF30" t="s">
        <v>26</v>
      </c>
      <c r="AG30" t="s">
        <v>26</v>
      </c>
      <c r="AH30" t="s">
        <v>26</v>
      </c>
      <c r="AI30" t="s">
        <v>26</v>
      </c>
      <c r="AJ30" t="s">
        <v>26</v>
      </c>
      <c r="AK30" t="s">
        <v>26</v>
      </c>
      <c r="AL30" t="s">
        <v>26</v>
      </c>
      <c r="AM30" t="s">
        <v>26</v>
      </c>
      <c r="AN30" t="s">
        <v>26</v>
      </c>
      <c r="AO30" t="s">
        <v>26</v>
      </c>
      <c r="AP30" t="s">
        <v>26</v>
      </c>
      <c r="AQ30" t="s">
        <v>26</v>
      </c>
      <c r="AR30" t="s">
        <v>26</v>
      </c>
      <c r="AS30" t="s">
        <v>26</v>
      </c>
      <c r="AT30" t="s">
        <v>26</v>
      </c>
      <c r="AU30" t="s">
        <v>26</v>
      </c>
      <c r="AV30" t="s">
        <v>26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>
        <v>5.5</v>
      </c>
      <c r="CB30">
        <v>5.5</v>
      </c>
      <c r="CM30">
        <f t="shared" si="5"/>
        <v>15</v>
      </c>
      <c r="CN30" s="18">
        <f t="shared" si="6"/>
        <v>3.8666666666666667</v>
      </c>
      <c r="CO30">
        <f t="shared" si="2"/>
        <v>2.3563490726929555</v>
      </c>
      <c r="CP30">
        <v>0</v>
      </c>
      <c r="CQ30">
        <f t="shared" si="3"/>
        <v>0</v>
      </c>
      <c r="CR30">
        <f t="shared" si="4"/>
        <v>0</v>
      </c>
    </row>
    <row r="31" spans="1:96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3.5</v>
      </c>
      <c r="T31" t="s">
        <v>26</v>
      </c>
      <c r="U31">
        <v>3.5</v>
      </c>
      <c r="V31" t="s">
        <v>26</v>
      </c>
      <c r="W31">
        <v>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>
        <v>3.5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>
        <v>5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>
        <v>5</v>
      </c>
      <c r="BJ31">
        <v>6.5</v>
      </c>
      <c r="BK31" t="s">
        <v>26</v>
      </c>
      <c r="BL31">
        <v>5</v>
      </c>
      <c r="BM31" t="s">
        <v>26</v>
      </c>
      <c r="BN31">
        <v>5</v>
      </c>
      <c r="BO31" t="s">
        <v>26</v>
      </c>
      <c r="BP31">
        <v>5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>
        <v>5.5</v>
      </c>
      <c r="BW31" t="s">
        <v>26</v>
      </c>
      <c r="BX31" t="s">
        <v>26</v>
      </c>
      <c r="BY31">
        <v>5.5</v>
      </c>
      <c r="BZ31" t="s">
        <v>26</v>
      </c>
      <c r="CA31" t="s">
        <v>26</v>
      </c>
      <c r="CB31" t="s">
        <v>26</v>
      </c>
      <c r="CF31">
        <v>5.5</v>
      </c>
      <c r="CI31">
        <v>4</v>
      </c>
      <c r="CM31">
        <f t="shared" si="5"/>
        <v>14</v>
      </c>
      <c r="CN31" s="18">
        <f t="shared" si="6"/>
        <v>4.8214285714285712</v>
      </c>
      <c r="CO31">
        <f t="shared" si="2"/>
        <v>0.89335151148745728</v>
      </c>
      <c r="CP31">
        <v>0</v>
      </c>
      <c r="CQ31">
        <f t="shared" si="3"/>
        <v>1</v>
      </c>
      <c r="CR31">
        <f t="shared" si="4"/>
        <v>1</v>
      </c>
    </row>
    <row r="32" spans="1:96" x14ac:dyDescent="0.35">
      <c r="A32" t="s">
        <v>12</v>
      </c>
      <c r="B32">
        <v>9.5</v>
      </c>
      <c r="C32" t="s">
        <v>26</v>
      </c>
      <c r="D32">
        <v>8</v>
      </c>
      <c r="E32">
        <v>8</v>
      </c>
      <c r="F32" t="s">
        <v>26</v>
      </c>
      <c r="G32" t="s">
        <v>26</v>
      </c>
      <c r="H32">
        <v>5.5</v>
      </c>
      <c r="I32">
        <v>8</v>
      </c>
      <c r="J32" t="s">
        <v>26</v>
      </c>
      <c r="K32">
        <v>5.5</v>
      </c>
      <c r="L32">
        <v>8</v>
      </c>
      <c r="M32">
        <v>7</v>
      </c>
      <c r="N32">
        <v>5.5</v>
      </c>
      <c r="O32" t="s">
        <v>26</v>
      </c>
      <c r="P32" t="s">
        <v>26</v>
      </c>
      <c r="Q32" t="s">
        <v>26</v>
      </c>
      <c r="R32">
        <v>10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>
        <v>8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>
        <v>7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>
        <v>5.5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 t="s">
        <v>26</v>
      </c>
      <c r="BJ32" t="s">
        <v>26</v>
      </c>
      <c r="BK32" t="s">
        <v>26</v>
      </c>
      <c r="BL32" t="s">
        <v>26</v>
      </c>
      <c r="BM32" t="s">
        <v>26</v>
      </c>
      <c r="BN32" t="s">
        <v>26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 t="s">
        <v>26</v>
      </c>
      <c r="CA32" t="s">
        <v>26</v>
      </c>
      <c r="CB32" t="s">
        <v>26</v>
      </c>
      <c r="CM32">
        <f t="shared" si="5"/>
        <v>13</v>
      </c>
      <c r="CN32" s="18">
        <f t="shared" si="6"/>
        <v>7.3461538461538458</v>
      </c>
      <c r="CO32">
        <f t="shared" si="2"/>
        <v>1.5191090506255012</v>
      </c>
      <c r="CP32">
        <v>0</v>
      </c>
      <c r="CQ32">
        <f t="shared" si="3"/>
        <v>0</v>
      </c>
      <c r="CR32">
        <f t="shared" si="4"/>
        <v>0</v>
      </c>
    </row>
    <row r="33" spans="1:96" x14ac:dyDescent="0.35">
      <c r="A33" t="s">
        <v>17</v>
      </c>
      <c r="B33" t="s">
        <v>26</v>
      </c>
      <c r="C33">
        <v>5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>
        <v>3.5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>
        <v>5</v>
      </c>
      <c r="Z33">
        <v>5</v>
      </c>
      <c r="AA33" t="s">
        <v>26</v>
      </c>
      <c r="AB33">
        <v>5</v>
      </c>
      <c r="AC33">
        <v>5</v>
      </c>
      <c r="AD33">
        <v>3</v>
      </c>
      <c r="AE33" t="s">
        <v>26</v>
      </c>
      <c r="AF33" t="s">
        <v>26</v>
      </c>
      <c r="AG33" t="s">
        <v>26</v>
      </c>
      <c r="AH33">
        <v>4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 t="s">
        <v>26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 t="s">
        <v>26</v>
      </c>
      <c r="BC33" t="s">
        <v>26</v>
      </c>
      <c r="BD33" t="s">
        <v>26</v>
      </c>
      <c r="BE33">
        <v>5.5</v>
      </c>
      <c r="BF33">
        <v>5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>
        <v>5.5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M33">
        <f t="shared" si="5"/>
        <v>11</v>
      </c>
      <c r="CN33" s="18">
        <f t="shared" si="6"/>
        <v>4.6818181818181817</v>
      </c>
      <c r="CO33">
        <f t="shared" si="2"/>
        <v>0.81463879335344846</v>
      </c>
      <c r="CP33">
        <v>0</v>
      </c>
      <c r="CQ33">
        <f t="shared" si="3"/>
        <v>0</v>
      </c>
      <c r="CR33">
        <f t="shared" si="4"/>
        <v>0</v>
      </c>
    </row>
    <row r="34" spans="1:96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8</v>
      </c>
      <c r="H34">
        <v>8</v>
      </c>
      <c r="I34" t="s">
        <v>26</v>
      </c>
      <c r="J34">
        <v>9.5</v>
      </c>
      <c r="K34">
        <v>9.5</v>
      </c>
      <c r="L34">
        <v>8</v>
      </c>
      <c r="M34">
        <v>8</v>
      </c>
      <c r="N34">
        <v>8</v>
      </c>
      <c r="O34">
        <v>10</v>
      </c>
      <c r="P34">
        <v>9.5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AE34" t="s">
        <v>26</v>
      </c>
      <c r="AF34" t="s">
        <v>26</v>
      </c>
      <c r="AG34" t="s">
        <v>26</v>
      </c>
      <c r="AH34" t="s">
        <v>26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 t="s">
        <v>26</v>
      </c>
      <c r="BF34" t="s">
        <v>26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 t="s">
        <v>26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C34">
        <v>6</v>
      </c>
      <c r="CM34">
        <f t="shared" si="5"/>
        <v>10</v>
      </c>
      <c r="CN34" s="18">
        <f t="shared" si="6"/>
        <v>8.4499999999999993</v>
      </c>
      <c r="CO34">
        <f t="shared" si="2"/>
        <v>1.1890705987824657</v>
      </c>
      <c r="CP34">
        <v>0</v>
      </c>
      <c r="CQ34">
        <f t="shared" si="3"/>
        <v>0</v>
      </c>
      <c r="CR34">
        <f t="shared" si="4"/>
        <v>0</v>
      </c>
    </row>
    <row r="35" spans="1:96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1</v>
      </c>
      <c r="K35" t="s">
        <v>26</v>
      </c>
      <c r="L35" t="s">
        <v>26</v>
      </c>
      <c r="M35">
        <v>3.5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>
        <v>2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>
        <v>5.5</v>
      </c>
      <c r="BH35">
        <v>5</v>
      </c>
      <c r="BI35">
        <v>5</v>
      </c>
      <c r="BJ35" t="s">
        <v>26</v>
      </c>
      <c r="BK35" t="s">
        <v>26</v>
      </c>
      <c r="BL35" t="s">
        <v>26</v>
      </c>
      <c r="BM35">
        <v>5.5</v>
      </c>
      <c r="BN35">
        <v>5.5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K35">
        <v>6</v>
      </c>
      <c r="CM35">
        <f t="shared" si="5"/>
        <v>8</v>
      </c>
      <c r="CN35" s="18">
        <f t="shared" si="6"/>
        <v>4.125</v>
      </c>
      <c r="CO35">
        <f t="shared" si="2"/>
        <v>1.7677669529663689</v>
      </c>
      <c r="CP35">
        <v>0</v>
      </c>
      <c r="CQ35">
        <f t="shared" si="3"/>
        <v>0</v>
      </c>
      <c r="CR35">
        <f t="shared" si="4"/>
        <v>0</v>
      </c>
    </row>
    <row r="36" spans="1:96" x14ac:dyDescent="0.35">
      <c r="A36" t="s">
        <v>340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 t="s">
        <v>26</v>
      </c>
      <c r="K36" t="s">
        <v>26</v>
      </c>
      <c r="L36" t="s">
        <v>26</v>
      </c>
      <c r="M36" t="s">
        <v>26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>
        <v>5.5</v>
      </c>
      <c r="AK36" t="s">
        <v>26</v>
      </c>
      <c r="AL36" t="s">
        <v>26</v>
      </c>
      <c r="AM36" t="s">
        <v>26</v>
      </c>
      <c r="AN36">
        <v>6.5</v>
      </c>
      <c r="AO36">
        <v>5</v>
      </c>
      <c r="AP36">
        <v>5.5</v>
      </c>
      <c r="AQ36">
        <v>6.5</v>
      </c>
      <c r="AR36">
        <v>5.5</v>
      </c>
      <c r="AS36">
        <v>5.5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 t="s">
        <v>26</v>
      </c>
      <c r="BH36" t="s">
        <v>26</v>
      </c>
      <c r="BI36" t="s">
        <v>26</v>
      </c>
      <c r="BJ36" t="s">
        <v>26</v>
      </c>
      <c r="BK36" t="s">
        <v>26</v>
      </c>
      <c r="BL36" t="s">
        <v>26</v>
      </c>
      <c r="BM36" t="s">
        <v>26</v>
      </c>
      <c r="BN36" t="s">
        <v>26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M36">
        <f t="shared" si="5"/>
        <v>7</v>
      </c>
      <c r="CN36" s="18">
        <f t="shared" si="6"/>
        <v>5.7142857142857144</v>
      </c>
      <c r="CO36">
        <f t="shared" si="2"/>
        <v>0.56694670951384085</v>
      </c>
      <c r="CP36">
        <v>0</v>
      </c>
      <c r="CQ36">
        <f t="shared" si="3"/>
        <v>0</v>
      </c>
      <c r="CR36">
        <f t="shared" si="4"/>
        <v>0</v>
      </c>
    </row>
    <row r="37" spans="1:96" x14ac:dyDescent="0.35">
      <c r="A37" t="s">
        <v>376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>
        <v>6.5</v>
      </c>
      <c r="BO37">
        <v>5.5</v>
      </c>
      <c r="BP37">
        <v>5.5</v>
      </c>
      <c r="BQ37">
        <v>5.5</v>
      </c>
      <c r="BR37" t="s">
        <v>26</v>
      </c>
      <c r="BS37">
        <v>5.5</v>
      </c>
      <c r="BT37" t="s">
        <v>26</v>
      </c>
      <c r="BU37" t="s">
        <v>26</v>
      </c>
      <c r="BV37">
        <v>6.5</v>
      </c>
      <c r="BW37">
        <v>5.5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M37">
        <f t="shared" si="5"/>
        <v>7</v>
      </c>
      <c r="CN37" s="18">
        <f t="shared" si="6"/>
        <v>5.7857142857142856</v>
      </c>
      <c r="CO37">
        <f t="shared" si="2"/>
        <v>0.4879500364742666</v>
      </c>
      <c r="CP37">
        <v>0</v>
      </c>
      <c r="CQ37">
        <f t="shared" si="3"/>
        <v>0</v>
      </c>
      <c r="CR37">
        <f t="shared" si="4"/>
        <v>0</v>
      </c>
    </row>
    <row r="38" spans="1:96" x14ac:dyDescent="0.35">
      <c r="A38" t="s">
        <v>81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>
        <v>7</v>
      </c>
      <c r="AA38" t="s">
        <v>26</v>
      </c>
      <c r="AB38" t="s">
        <v>26</v>
      </c>
      <c r="AC38" t="s">
        <v>26</v>
      </c>
      <c r="AD38">
        <v>8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>
        <v>5.5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>
        <v>6.5</v>
      </c>
      <c r="CA38" t="s">
        <v>26</v>
      </c>
      <c r="CB38" t="s">
        <v>26</v>
      </c>
      <c r="CE38">
        <v>6.5</v>
      </c>
      <c r="CG38">
        <v>6.5</v>
      </c>
      <c r="CH38">
        <v>6</v>
      </c>
      <c r="CI38">
        <v>6</v>
      </c>
      <c r="CJ38">
        <v>6</v>
      </c>
      <c r="CK38">
        <v>6.5</v>
      </c>
      <c r="CM38">
        <f>COUNT(B38:CK38)</f>
        <v>10</v>
      </c>
      <c r="CN38" s="18">
        <f>AVERAGE(B38:CK38)</f>
        <v>6.45</v>
      </c>
      <c r="CO38">
        <f t="shared" si="2"/>
        <v>0.90829510622924903</v>
      </c>
      <c r="CP38">
        <v>1</v>
      </c>
      <c r="CQ38">
        <f t="shared" si="3"/>
        <v>4</v>
      </c>
      <c r="CR38">
        <f t="shared" si="4"/>
        <v>0</v>
      </c>
    </row>
    <row r="39" spans="1:96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M39">
        <f t="shared" si="5"/>
        <v>6</v>
      </c>
      <c r="CN39" s="18">
        <f t="shared" si="6"/>
        <v>5.166666666666667</v>
      </c>
      <c r="CO39">
        <f t="shared" si="2"/>
        <v>0.28867513459481287</v>
      </c>
      <c r="CP39">
        <v>0</v>
      </c>
      <c r="CQ39">
        <f t="shared" si="3"/>
        <v>2</v>
      </c>
      <c r="CR39">
        <f t="shared" si="4"/>
        <v>2</v>
      </c>
    </row>
    <row r="40" spans="1:96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M40">
        <f t="shared" si="5"/>
        <v>5</v>
      </c>
      <c r="CN40" s="18">
        <f t="shared" si="6"/>
        <v>7.8</v>
      </c>
      <c r="CO40">
        <f t="shared" si="2"/>
        <v>1.0307764064044151</v>
      </c>
      <c r="CP40">
        <v>0</v>
      </c>
      <c r="CQ40">
        <f t="shared" si="3"/>
        <v>1</v>
      </c>
      <c r="CR40">
        <f t="shared" si="4"/>
        <v>1</v>
      </c>
    </row>
    <row r="41" spans="1:96" x14ac:dyDescent="0.35">
      <c r="A41" t="s">
        <v>61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7</v>
      </c>
      <c r="S41">
        <v>5</v>
      </c>
      <c r="T41">
        <v>5</v>
      </c>
      <c r="U41" t="s">
        <v>26</v>
      </c>
      <c r="V41" t="s">
        <v>26</v>
      </c>
      <c r="W41">
        <v>5.5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 t="s">
        <v>26</v>
      </c>
      <c r="BZ41" t="s">
        <v>26</v>
      </c>
      <c r="CA41" t="s">
        <v>26</v>
      </c>
      <c r="CB41" t="s">
        <v>26</v>
      </c>
      <c r="CM41">
        <f t="shared" si="5"/>
        <v>4</v>
      </c>
      <c r="CN41" s="18">
        <f t="shared" si="6"/>
        <v>5.625</v>
      </c>
      <c r="CO41">
        <f t="shared" si="2"/>
        <v>0.9464847243000456</v>
      </c>
      <c r="CP41">
        <v>0</v>
      </c>
      <c r="CQ41">
        <f t="shared" si="3"/>
        <v>0</v>
      </c>
      <c r="CR41">
        <f t="shared" si="4"/>
        <v>0</v>
      </c>
    </row>
    <row r="42" spans="1:96" x14ac:dyDescent="0.35">
      <c r="A42" t="s">
        <v>54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>
        <v>5.5</v>
      </c>
      <c r="N42" t="s">
        <v>26</v>
      </c>
      <c r="O42" t="s">
        <v>26</v>
      </c>
      <c r="P42" t="s">
        <v>26</v>
      </c>
      <c r="Q42" t="s">
        <v>26</v>
      </c>
      <c r="R42" t="s">
        <v>26</v>
      </c>
      <c r="S42" t="s">
        <v>26</v>
      </c>
      <c r="T42" t="s">
        <v>26</v>
      </c>
      <c r="U42" t="s">
        <v>26</v>
      </c>
      <c r="V42">
        <v>7</v>
      </c>
      <c r="W42">
        <v>8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>
        <v>6.5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M42">
        <f t="shared" si="5"/>
        <v>4</v>
      </c>
      <c r="CN42" s="18">
        <f t="shared" si="6"/>
        <v>6.75</v>
      </c>
      <c r="CO42">
        <f t="shared" si="2"/>
        <v>1.0408329997330663</v>
      </c>
      <c r="CP42">
        <v>0</v>
      </c>
      <c r="CQ42">
        <f t="shared" si="3"/>
        <v>0</v>
      </c>
      <c r="CR42">
        <f t="shared" si="4"/>
        <v>0</v>
      </c>
    </row>
    <row r="43" spans="1:96" x14ac:dyDescent="0.35">
      <c r="A43" t="s">
        <v>21</v>
      </c>
      <c r="B43" t="s">
        <v>26</v>
      </c>
      <c r="C43" t="s">
        <v>26</v>
      </c>
      <c r="D43">
        <v>1.5</v>
      </c>
      <c r="E43" t="s">
        <v>26</v>
      </c>
      <c r="F43" t="s">
        <v>26</v>
      </c>
      <c r="G43">
        <v>0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>
        <v>0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 t="s">
        <v>26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>
        <v>4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M43">
        <f t="shared" si="5"/>
        <v>4</v>
      </c>
      <c r="CN43" s="18">
        <f t="shared" si="6"/>
        <v>1.375</v>
      </c>
      <c r="CO43">
        <f t="shared" si="2"/>
        <v>1.8874586088176875</v>
      </c>
      <c r="CP43">
        <v>0</v>
      </c>
      <c r="CQ43">
        <f t="shared" si="3"/>
        <v>0</v>
      </c>
      <c r="CR43">
        <f t="shared" si="4"/>
        <v>0</v>
      </c>
    </row>
    <row r="44" spans="1:96" x14ac:dyDescent="0.35">
      <c r="A44" t="s">
        <v>344</v>
      </c>
      <c r="B44" t="s">
        <v>26</v>
      </c>
      <c r="C44" t="s">
        <v>26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 t="s">
        <v>26</v>
      </c>
      <c r="AF44" t="s">
        <v>26</v>
      </c>
      <c r="AG44" t="s">
        <v>26</v>
      </c>
      <c r="AH44" t="s">
        <v>26</v>
      </c>
      <c r="AI44" t="s">
        <v>26</v>
      </c>
      <c r="AJ44">
        <v>5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>
        <v>3.5</v>
      </c>
      <c r="AR44">
        <v>3.5</v>
      </c>
      <c r="AS44" t="s">
        <v>26</v>
      </c>
      <c r="AT44" t="s">
        <v>26</v>
      </c>
      <c r="AU44" t="s">
        <v>26</v>
      </c>
      <c r="AV44" t="s">
        <v>26</v>
      </c>
      <c r="AW44" t="s">
        <v>26</v>
      </c>
      <c r="AX44" t="s">
        <v>26</v>
      </c>
      <c r="AY44">
        <v>6.5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M44">
        <f t="shared" si="5"/>
        <v>4</v>
      </c>
      <c r="CN44" s="18">
        <f t="shared" si="6"/>
        <v>4.625</v>
      </c>
      <c r="CO44">
        <f t="shared" si="2"/>
        <v>1.4361406616345072</v>
      </c>
      <c r="CP44">
        <v>0</v>
      </c>
      <c r="CQ44">
        <f t="shared" si="3"/>
        <v>0</v>
      </c>
      <c r="CR44">
        <f t="shared" si="4"/>
        <v>0</v>
      </c>
    </row>
    <row r="45" spans="1:96" x14ac:dyDescent="0.35">
      <c r="A45" t="s">
        <v>361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 t="s">
        <v>26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 t="s">
        <v>26</v>
      </c>
      <c r="AR45" t="s">
        <v>26</v>
      </c>
      <c r="AS45" t="s">
        <v>26</v>
      </c>
      <c r="AT45" t="s">
        <v>26</v>
      </c>
      <c r="AU45" t="s">
        <v>26</v>
      </c>
      <c r="AV45" t="s">
        <v>26</v>
      </c>
      <c r="AW45">
        <v>5.5</v>
      </c>
      <c r="AX45" t="s">
        <v>26</v>
      </c>
      <c r="AY45" t="s">
        <v>26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>
        <v>5.5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>
        <v>7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>
        <v>7</v>
      </c>
      <c r="BZ45" t="s">
        <v>26</v>
      </c>
      <c r="CA45" t="s">
        <v>26</v>
      </c>
      <c r="CB45" t="s">
        <v>26</v>
      </c>
      <c r="CM45">
        <f t="shared" si="5"/>
        <v>4</v>
      </c>
      <c r="CN45" s="18">
        <f t="shared" si="6"/>
        <v>6.25</v>
      </c>
      <c r="CO45">
        <f t="shared" si="2"/>
        <v>0.8660254037844386</v>
      </c>
      <c r="CP45">
        <v>0</v>
      </c>
      <c r="CQ45">
        <f t="shared" si="3"/>
        <v>0</v>
      </c>
      <c r="CR45">
        <f t="shared" si="4"/>
        <v>0</v>
      </c>
    </row>
    <row r="46" spans="1:96" x14ac:dyDescent="0.35">
      <c r="A46" t="s">
        <v>43</v>
      </c>
      <c r="B46" t="s">
        <v>26</v>
      </c>
      <c r="C46">
        <v>0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>
        <v>1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 t="s">
        <v>26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 t="s">
        <v>26</v>
      </c>
      <c r="BG46" t="s">
        <v>26</v>
      </c>
      <c r="BH46" t="s">
        <v>26</v>
      </c>
      <c r="BI46" t="s">
        <v>26</v>
      </c>
      <c r="BJ46">
        <v>5.5</v>
      </c>
      <c r="BK46" t="s">
        <v>26</v>
      </c>
      <c r="BL46" t="s">
        <v>26</v>
      </c>
      <c r="BM46" t="s">
        <v>26</v>
      </c>
      <c r="BN46" t="s">
        <v>26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>
        <v>5</v>
      </c>
      <c r="BU46" t="s">
        <v>26</v>
      </c>
      <c r="BV46" t="s">
        <v>26</v>
      </c>
      <c r="BW46" t="s">
        <v>26</v>
      </c>
      <c r="BX46" t="s">
        <v>26</v>
      </c>
      <c r="BY46" t="s">
        <v>26</v>
      </c>
      <c r="BZ46" t="s">
        <v>26</v>
      </c>
      <c r="CA46" t="s">
        <v>26</v>
      </c>
      <c r="CB46" t="s">
        <v>26</v>
      </c>
      <c r="CM46">
        <f t="shared" si="5"/>
        <v>4</v>
      </c>
      <c r="CN46" s="18">
        <f t="shared" si="6"/>
        <v>2.875</v>
      </c>
      <c r="CO46">
        <f t="shared" si="2"/>
        <v>2.7801378862687129</v>
      </c>
      <c r="CP46">
        <v>0</v>
      </c>
      <c r="CQ46">
        <f t="shared" si="3"/>
        <v>0</v>
      </c>
      <c r="CR46">
        <f t="shared" si="4"/>
        <v>0</v>
      </c>
    </row>
    <row r="47" spans="1:96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3.5</v>
      </c>
      <c r="S47" t="s">
        <v>26</v>
      </c>
      <c r="T47">
        <v>3</v>
      </c>
      <c r="U47">
        <v>3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 t="s">
        <v>26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 t="s">
        <v>26</v>
      </c>
      <c r="BU47" t="s">
        <v>26</v>
      </c>
      <c r="BV47" t="s">
        <v>26</v>
      </c>
      <c r="BW47" t="s">
        <v>26</v>
      </c>
      <c r="BX47" t="s">
        <v>26</v>
      </c>
      <c r="BY47">
        <v>4</v>
      </c>
      <c r="BZ47" t="s">
        <v>26</v>
      </c>
      <c r="CA47" t="s">
        <v>26</v>
      </c>
      <c r="CB47" t="s">
        <v>26</v>
      </c>
      <c r="CM47">
        <f t="shared" si="5"/>
        <v>4</v>
      </c>
      <c r="CN47" s="18">
        <f t="shared" si="6"/>
        <v>3.375</v>
      </c>
      <c r="CO47">
        <f t="shared" si="2"/>
        <v>0.47871355387816905</v>
      </c>
      <c r="CP47">
        <v>0</v>
      </c>
      <c r="CQ47">
        <f t="shared" si="3"/>
        <v>0</v>
      </c>
      <c r="CR47">
        <f t="shared" si="4"/>
        <v>0</v>
      </c>
    </row>
    <row r="48" spans="1:96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M48">
        <f t="shared" si="5"/>
        <v>3</v>
      </c>
      <c r="CN48" s="18">
        <f t="shared" si="6"/>
        <v>4.666666666666667</v>
      </c>
      <c r="CO48">
        <f t="shared" si="2"/>
        <v>1.4433756729740652</v>
      </c>
      <c r="CP48">
        <v>0</v>
      </c>
      <c r="CQ48">
        <f t="shared" si="3"/>
        <v>0</v>
      </c>
      <c r="CR48">
        <f t="shared" si="4"/>
        <v>0</v>
      </c>
    </row>
    <row r="49" spans="1:96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M49">
        <f t="shared" si="5"/>
        <v>3</v>
      </c>
      <c r="CN49" s="18">
        <f t="shared" si="6"/>
        <v>8.5</v>
      </c>
      <c r="CO49">
        <f t="shared" si="2"/>
        <v>1.5</v>
      </c>
      <c r="CP49">
        <v>0</v>
      </c>
      <c r="CQ49">
        <f t="shared" si="3"/>
        <v>0</v>
      </c>
      <c r="CR49">
        <f t="shared" si="4"/>
        <v>0</v>
      </c>
    </row>
    <row r="50" spans="1:96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M50">
        <f t="shared" si="5"/>
        <v>3</v>
      </c>
      <c r="CN50" s="18">
        <f t="shared" si="6"/>
        <v>4</v>
      </c>
      <c r="CO50">
        <f t="shared" si="2"/>
        <v>1.7320508075688772</v>
      </c>
      <c r="CP50">
        <v>0</v>
      </c>
      <c r="CQ50">
        <f t="shared" si="3"/>
        <v>0</v>
      </c>
      <c r="CR50">
        <f t="shared" si="4"/>
        <v>0</v>
      </c>
    </row>
    <row r="51" spans="1:96" x14ac:dyDescent="0.35">
      <c r="A51" t="s">
        <v>362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>
        <v>5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 t="s">
        <v>26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D51">
        <v>5.5</v>
      </c>
      <c r="CM51">
        <f t="shared" si="5"/>
        <v>2</v>
      </c>
      <c r="CN51" s="18">
        <f t="shared" si="6"/>
        <v>5.25</v>
      </c>
      <c r="CO51">
        <f t="shared" si="2"/>
        <v>0.35355339059327379</v>
      </c>
      <c r="CP51">
        <v>0</v>
      </c>
      <c r="CQ51">
        <f t="shared" si="3"/>
        <v>0</v>
      </c>
      <c r="CR51">
        <f t="shared" si="4"/>
        <v>0</v>
      </c>
    </row>
    <row r="52" spans="1:96" x14ac:dyDescent="0.35">
      <c r="A52" t="s">
        <v>364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>
        <v>6.5</v>
      </c>
      <c r="BB52" t="s">
        <v>26</v>
      </c>
      <c r="BC52" t="s">
        <v>26</v>
      </c>
      <c r="BD52" t="s">
        <v>26</v>
      </c>
      <c r="BE52" t="s">
        <v>26</v>
      </c>
      <c r="BF52" t="s">
        <v>26</v>
      </c>
      <c r="BG52" t="s">
        <v>26</v>
      </c>
      <c r="BH52" t="s">
        <v>26</v>
      </c>
      <c r="BI52" t="s">
        <v>26</v>
      </c>
      <c r="BJ52">
        <v>6.5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 t="s">
        <v>26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M52">
        <f t="shared" si="5"/>
        <v>2</v>
      </c>
      <c r="CN52" s="18">
        <f t="shared" si="6"/>
        <v>6.5</v>
      </c>
      <c r="CO52">
        <f t="shared" si="2"/>
        <v>0</v>
      </c>
      <c r="CP52">
        <v>0</v>
      </c>
      <c r="CQ52">
        <f t="shared" si="3"/>
        <v>0</v>
      </c>
      <c r="CR52">
        <f t="shared" si="4"/>
        <v>0</v>
      </c>
    </row>
    <row r="53" spans="1:96" x14ac:dyDescent="0.35">
      <c r="A53" t="s">
        <v>53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>
        <v>5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>
        <v>5.5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M53">
        <f t="shared" si="5"/>
        <v>2</v>
      </c>
      <c r="CN53" s="18">
        <f t="shared" si="6"/>
        <v>5.25</v>
      </c>
      <c r="CO53">
        <f t="shared" si="2"/>
        <v>0.35355339059327379</v>
      </c>
      <c r="CP53">
        <v>0</v>
      </c>
      <c r="CQ53">
        <f t="shared" si="3"/>
        <v>0</v>
      </c>
      <c r="CR53">
        <f t="shared" si="4"/>
        <v>0</v>
      </c>
    </row>
    <row r="54" spans="1:96" x14ac:dyDescent="0.35">
      <c r="A54" t="s">
        <v>339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>
        <v>8.5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>
        <v>5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M54">
        <f t="shared" si="5"/>
        <v>2</v>
      </c>
      <c r="CN54" s="18">
        <f t="shared" si="6"/>
        <v>6.75</v>
      </c>
      <c r="CO54">
        <f t="shared" si="2"/>
        <v>2.4748737341529163</v>
      </c>
      <c r="CP54">
        <v>0</v>
      </c>
      <c r="CQ54">
        <f t="shared" si="3"/>
        <v>0</v>
      </c>
      <c r="CR54">
        <f t="shared" si="4"/>
        <v>0</v>
      </c>
    </row>
    <row r="55" spans="1:96" x14ac:dyDescent="0.35">
      <c r="A55" t="s">
        <v>342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>
        <v>7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>
        <v>4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J55">
        <v>5.5</v>
      </c>
      <c r="CM55">
        <f t="shared" si="5"/>
        <v>2</v>
      </c>
      <c r="CN55" s="18">
        <f t="shared" si="6"/>
        <v>5.5</v>
      </c>
      <c r="CO55">
        <f t="shared" si="2"/>
        <v>2.1213203435596424</v>
      </c>
      <c r="CP55">
        <v>0</v>
      </c>
      <c r="CQ55">
        <f t="shared" si="3"/>
        <v>1</v>
      </c>
      <c r="CR55">
        <f t="shared" si="4"/>
        <v>1</v>
      </c>
    </row>
    <row r="56" spans="1:96" x14ac:dyDescent="0.35">
      <c r="A56" t="s">
        <v>369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>
        <v>6.5</v>
      </c>
      <c r="BH56">
        <v>5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M56">
        <f t="shared" si="5"/>
        <v>2</v>
      </c>
      <c r="CN56" s="18">
        <f t="shared" si="6"/>
        <v>5.75</v>
      </c>
      <c r="CO56">
        <f t="shared" si="2"/>
        <v>1.0606601717798212</v>
      </c>
      <c r="CP56">
        <v>0</v>
      </c>
      <c r="CQ56">
        <f t="shared" si="3"/>
        <v>0</v>
      </c>
      <c r="CR56">
        <f t="shared" si="4"/>
        <v>0</v>
      </c>
    </row>
    <row r="57" spans="1:96" x14ac:dyDescent="0.35">
      <c r="A57" t="s">
        <v>52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>
        <v>5.5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 t="s">
        <v>26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>
        <v>5.5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G57">
        <v>6</v>
      </c>
      <c r="CM57">
        <f t="shared" si="5"/>
        <v>3</v>
      </c>
      <c r="CN57" s="18">
        <f t="shared" si="6"/>
        <v>5.666666666666667</v>
      </c>
      <c r="CO57">
        <f t="shared" si="2"/>
        <v>0</v>
      </c>
      <c r="CP57">
        <v>0</v>
      </c>
      <c r="CQ57">
        <f t="shared" si="3"/>
        <v>1</v>
      </c>
      <c r="CR57">
        <f t="shared" si="4"/>
        <v>1</v>
      </c>
    </row>
    <row r="58" spans="1:96" x14ac:dyDescent="0.35">
      <c r="A58" t="s">
        <v>368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>
        <v>9.5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>
        <v>10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G58">
        <v>6</v>
      </c>
      <c r="CM58">
        <f t="shared" si="5"/>
        <v>3</v>
      </c>
      <c r="CN58" s="18">
        <f t="shared" si="6"/>
        <v>8.5</v>
      </c>
      <c r="CO58">
        <f t="shared" si="2"/>
        <v>0.35355339059327379</v>
      </c>
      <c r="CP58">
        <v>0</v>
      </c>
      <c r="CQ58">
        <f t="shared" si="3"/>
        <v>1</v>
      </c>
      <c r="CR58">
        <f t="shared" si="4"/>
        <v>1</v>
      </c>
    </row>
    <row r="59" spans="1:96" x14ac:dyDescent="0.35">
      <c r="A59" t="s">
        <v>379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>
        <v>5.5</v>
      </c>
      <c r="BZ59">
        <v>5.5</v>
      </c>
      <c r="CA59" t="s">
        <v>26</v>
      </c>
      <c r="CB59" t="s">
        <v>26</v>
      </c>
      <c r="CM59">
        <f t="shared" si="5"/>
        <v>2</v>
      </c>
      <c r="CN59" s="18">
        <f t="shared" si="6"/>
        <v>5.5</v>
      </c>
      <c r="CO59">
        <f t="shared" si="2"/>
        <v>0</v>
      </c>
      <c r="CP59">
        <v>0</v>
      </c>
      <c r="CQ59">
        <f t="shared" si="3"/>
        <v>0</v>
      </c>
      <c r="CR59">
        <f t="shared" si="4"/>
        <v>0</v>
      </c>
    </row>
    <row r="60" spans="1:96" x14ac:dyDescent="0.35">
      <c r="A60" t="s">
        <v>391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E60">
        <v>7</v>
      </c>
      <c r="CH60">
        <v>7</v>
      </c>
      <c r="CM60">
        <f t="shared" si="5"/>
        <v>2</v>
      </c>
      <c r="CN60" s="18">
        <f t="shared" si="6"/>
        <v>7</v>
      </c>
      <c r="CO60" t="e">
        <f t="shared" si="2"/>
        <v>#DIV/0!</v>
      </c>
      <c r="CP60">
        <v>0</v>
      </c>
      <c r="CQ60">
        <f t="shared" si="3"/>
        <v>1</v>
      </c>
      <c r="CR60">
        <f t="shared" si="4"/>
        <v>1</v>
      </c>
    </row>
    <row r="61" spans="1:96" x14ac:dyDescent="0.35">
      <c r="A61" t="s">
        <v>86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>
        <v>10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M61">
        <f t="shared" si="5"/>
        <v>1</v>
      </c>
      <c r="CN61" s="18">
        <f t="shared" si="6"/>
        <v>10</v>
      </c>
      <c r="CO61" t="str">
        <f t="shared" si="2"/>
        <v/>
      </c>
      <c r="CP61">
        <v>0</v>
      </c>
      <c r="CQ61">
        <f t="shared" si="3"/>
        <v>0</v>
      </c>
      <c r="CR61">
        <f t="shared" si="4"/>
        <v>0</v>
      </c>
    </row>
    <row r="62" spans="1:96" x14ac:dyDescent="0.35">
      <c r="A62" t="s">
        <v>77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>
        <v>7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M62">
        <f t="shared" si="5"/>
        <v>1</v>
      </c>
      <c r="CN62" s="18">
        <f t="shared" si="6"/>
        <v>7</v>
      </c>
      <c r="CO62" t="str">
        <f t="shared" si="2"/>
        <v/>
      </c>
      <c r="CP62">
        <v>0</v>
      </c>
      <c r="CQ62">
        <f t="shared" si="3"/>
        <v>0</v>
      </c>
      <c r="CR62">
        <f t="shared" si="4"/>
        <v>0</v>
      </c>
    </row>
    <row r="63" spans="1:96" x14ac:dyDescent="0.35">
      <c r="A63" t="s">
        <v>353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>
        <v>7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M63">
        <f t="shared" si="5"/>
        <v>1</v>
      </c>
      <c r="CN63" s="18">
        <f t="shared" si="6"/>
        <v>7</v>
      </c>
      <c r="CO63" t="str">
        <f t="shared" si="2"/>
        <v/>
      </c>
      <c r="CP63">
        <v>0</v>
      </c>
      <c r="CQ63">
        <f t="shared" si="3"/>
        <v>0</v>
      </c>
      <c r="CR63">
        <f t="shared" si="4"/>
        <v>0</v>
      </c>
    </row>
    <row r="64" spans="1:96" x14ac:dyDescent="0.35">
      <c r="A64" t="s">
        <v>80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>
        <v>7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M64">
        <f t="shared" si="5"/>
        <v>1</v>
      </c>
      <c r="CN64" s="18">
        <f t="shared" si="6"/>
        <v>7</v>
      </c>
      <c r="CO64" t="str">
        <f t="shared" si="2"/>
        <v/>
      </c>
      <c r="CP64">
        <v>0</v>
      </c>
      <c r="CQ64">
        <f t="shared" si="3"/>
        <v>0</v>
      </c>
      <c r="CR64">
        <f t="shared" si="4"/>
        <v>0</v>
      </c>
    </row>
    <row r="65" spans="1:96" x14ac:dyDescent="0.35">
      <c r="A65" t="s">
        <v>47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>
        <v>3.5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M65">
        <f t="shared" si="5"/>
        <v>1</v>
      </c>
      <c r="CN65" s="18">
        <f t="shared" si="6"/>
        <v>3.5</v>
      </c>
      <c r="CO65" t="str">
        <f t="shared" si="2"/>
        <v/>
      </c>
      <c r="CP65">
        <v>0</v>
      </c>
      <c r="CQ65">
        <f t="shared" si="3"/>
        <v>0</v>
      </c>
      <c r="CR65">
        <f t="shared" si="4"/>
        <v>0</v>
      </c>
    </row>
    <row r="66" spans="1:96" x14ac:dyDescent="0.35">
      <c r="A66" t="s">
        <v>389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3.5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H66">
        <v>5</v>
      </c>
      <c r="CM66">
        <f t="shared" si="5"/>
        <v>2</v>
      </c>
      <c r="CN66" s="18">
        <f t="shared" si="6"/>
        <v>4.25</v>
      </c>
      <c r="CO66" t="e">
        <f t="shared" si="2"/>
        <v>#DIV/0!</v>
      </c>
      <c r="CP66">
        <v>0</v>
      </c>
      <c r="CQ66">
        <f t="shared" si="3"/>
        <v>1</v>
      </c>
      <c r="CR66">
        <f t="shared" si="4"/>
        <v>1</v>
      </c>
    </row>
    <row r="67" spans="1:96" x14ac:dyDescent="0.35">
      <c r="A67" t="s">
        <v>83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 t="s">
        <v>26</v>
      </c>
      <c r="Z67" t="s">
        <v>26</v>
      </c>
      <c r="AA67" t="s">
        <v>26</v>
      </c>
      <c r="AB67">
        <v>3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M67">
        <f t="shared" ref="CM67:CM82" si="7">COUNT(B67:CI67)</f>
        <v>1</v>
      </c>
      <c r="CN67" s="18">
        <f t="shared" ref="CN67:CN82" si="8">AVERAGE(B67:CI67)</f>
        <v>3</v>
      </c>
      <c r="CO67" t="str">
        <f t="shared" ref="CO67:CO82" si="9">IF(CM67&gt;1,_xlfn.STDEV.S(B67:CF67),"")</f>
        <v/>
      </c>
      <c r="CP67">
        <v>0</v>
      </c>
      <c r="CQ67">
        <f t="shared" ref="CQ67:CQ83" si="10">COUNT(CG67:CJ67)</f>
        <v>0</v>
      </c>
      <c r="CR67">
        <f t="shared" ref="CR67:CR82" si="11">IF(CP67=0,CQ67,0)</f>
        <v>0</v>
      </c>
    </row>
    <row r="68" spans="1:96" x14ac:dyDescent="0.35">
      <c r="A68" t="s">
        <v>345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 t="s">
        <v>26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>
        <v>2.5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I68">
        <v>6</v>
      </c>
      <c r="CJ68">
        <v>4</v>
      </c>
      <c r="CK68">
        <v>3.5</v>
      </c>
      <c r="CM68">
        <f t="shared" si="7"/>
        <v>2</v>
      </c>
      <c r="CN68" s="18">
        <f t="shared" si="8"/>
        <v>4.25</v>
      </c>
      <c r="CO68" t="e">
        <f t="shared" si="9"/>
        <v>#DIV/0!</v>
      </c>
      <c r="CP68">
        <v>0</v>
      </c>
      <c r="CQ68">
        <f t="shared" si="10"/>
        <v>2</v>
      </c>
      <c r="CR68">
        <f t="shared" si="11"/>
        <v>2</v>
      </c>
    </row>
    <row r="69" spans="1:96" x14ac:dyDescent="0.35">
      <c r="A69" t="s">
        <v>347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 t="s">
        <v>26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>
        <v>6.5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M69">
        <f t="shared" si="7"/>
        <v>1</v>
      </c>
      <c r="CN69" s="18">
        <f t="shared" si="8"/>
        <v>6.5</v>
      </c>
      <c r="CO69" t="str">
        <f t="shared" si="9"/>
        <v/>
      </c>
      <c r="CP69">
        <v>0</v>
      </c>
      <c r="CQ69">
        <f t="shared" si="10"/>
        <v>0</v>
      </c>
      <c r="CR69">
        <f t="shared" si="11"/>
        <v>0</v>
      </c>
    </row>
    <row r="70" spans="1:96" x14ac:dyDescent="0.35">
      <c r="A70" t="s">
        <v>350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 t="s">
        <v>26</v>
      </c>
      <c r="AQ70" t="s">
        <v>26</v>
      </c>
      <c r="AR70">
        <v>4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M70">
        <f t="shared" si="7"/>
        <v>1</v>
      </c>
      <c r="CN70" s="18">
        <f t="shared" si="8"/>
        <v>4</v>
      </c>
      <c r="CO70" t="str">
        <f t="shared" si="9"/>
        <v/>
      </c>
      <c r="CP70">
        <v>0</v>
      </c>
      <c r="CQ70">
        <f t="shared" si="10"/>
        <v>0</v>
      </c>
      <c r="CR70">
        <f t="shared" si="11"/>
        <v>0</v>
      </c>
    </row>
    <row r="71" spans="1:96" x14ac:dyDescent="0.35">
      <c r="A71" t="s">
        <v>351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 t="s">
        <v>26</v>
      </c>
      <c r="AS71">
        <v>6.5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M71">
        <f t="shared" si="7"/>
        <v>1</v>
      </c>
      <c r="CN71" s="18">
        <f t="shared" si="8"/>
        <v>6.5</v>
      </c>
      <c r="CO71" t="str">
        <f t="shared" si="9"/>
        <v/>
      </c>
      <c r="CP71">
        <v>0</v>
      </c>
      <c r="CQ71">
        <f t="shared" si="10"/>
        <v>0</v>
      </c>
      <c r="CR71">
        <f t="shared" si="11"/>
        <v>0</v>
      </c>
    </row>
    <row r="72" spans="1:96" x14ac:dyDescent="0.35">
      <c r="A72" t="s">
        <v>352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M72">
        <f t="shared" si="7"/>
        <v>1</v>
      </c>
      <c r="CN72" s="18">
        <f t="shared" si="8"/>
        <v>5</v>
      </c>
      <c r="CO72" t="str">
        <f t="shared" si="9"/>
        <v/>
      </c>
      <c r="CP72">
        <v>0</v>
      </c>
      <c r="CQ72">
        <f t="shared" si="10"/>
        <v>0</v>
      </c>
      <c r="CR72">
        <f t="shared" si="11"/>
        <v>0</v>
      </c>
    </row>
    <row r="73" spans="1:96" x14ac:dyDescent="0.35">
      <c r="A73" t="s">
        <v>354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 t="s">
        <v>26</v>
      </c>
      <c r="AT73" t="s">
        <v>26</v>
      </c>
      <c r="AU73">
        <v>5.5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M73">
        <f t="shared" si="7"/>
        <v>1</v>
      </c>
      <c r="CN73" s="18">
        <f t="shared" si="8"/>
        <v>5.5</v>
      </c>
      <c r="CO73" t="str">
        <f t="shared" si="9"/>
        <v/>
      </c>
      <c r="CP73">
        <v>0</v>
      </c>
      <c r="CQ73">
        <f t="shared" si="10"/>
        <v>0</v>
      </c>
      <c r="CR73">
        <f t="shared" si="11"/>
        <v>0</v>
      </c>
    </row>
    <row r="74" spans="1:96" x14ac:dyDescent="0.35">
      <c r="A74" t="s">
        <v>365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 t="s">
        <v>26</v>
      </c>
      <c r="AV74" t="s">
        <v>26</v>
      </c>
      <c r="AW74" t="s">
        <v>26</v>
      </c>
      <c r="AX74" t="s">
        <v>26</v>
      </c>
      <c r="AY74" t="s">
        <v>26</v>
      </c>
      <c r="AZ74">
        <v>2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M74">
        <f t="shared" si="7"/>
        <v>1</v>
      </c>
      <c r="CN74" s="18">
        <f t="shared" si="8"/>
        <v>2</v>
      </c>
      <c r="CO74" t="str">
        <f t="shared" si="9"/>
        <v/>
      </c>
      <c r="CP74">
        <v>0</v>
      </c>
      <c r="CQ74">
        <f t="shared" si="10"/>
        <v>0</v>
      </c>
      <c r="CR74">
        <f t="shared" si="11"/>
        <v>0</v>
      </c>
    </row>
    <row r="75" spans="1:96" x14ac:dyDescent="0.35">
      <c r="A75" t="s">
        <v>366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 t="s">
        <v>26</v>
      </c>
      <c r="BA75" t="s">
        <v>26</v>
      </c>
      <c r="BB75">
        <v>2.5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M75">
        <f t="shared" si="7"/>
        <v>1</v>
      </c>
      <c r="CN75" s="18">
        <f t="shared" si="8"/>
        <v>2.5</v>
      </c>
      <c r="CO75" t="str">
        <f t="shared" si="9"/>
        <v/>
      </c>
      <c r="CP75">
        <v>0</v>
      </c>
      <c r="CQ75">
        <f t="shared" si="10"/>
        <v>0</v>
      </c>
      <c r="CR75">
        <f t="shared" si="11"/>
        <v>0</v>
      </c>
    </row>
    <row r="76" spans="1:96" x14ac:dyDescent="0.35">
      <c r="A76" t="s">
        <v>374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 t="s">
        <v>26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>
        <v>7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M76">
        <f t="shared" si="7"/>
        <v>1</v>
      </c>
      <c r="CN76" s="18">
        <f t="shared" si="8"/>
        <v>7</v>
      </c>
      <c r="CO76" t="str">
        <f t="shared" si="9"/>
        <v/>
      </c>
      <c r="CP76">
        <v>0</v>
      </c>
      <c r="CQ76">
        <f t="shared" si="10"/>
        <v>0</v>
      </c>
      <c r="CR76">
        <f t="shared" si="11"/>
        <v>0</v>
      </c>
    </row>
    <row r="77" spans="1:96" x14ac:dyDescent="0.35">
      <c r="A77" t="s">
        <v>375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5.5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M77">
        <f t="shared" si="7"/>
        <v>1</v>
      </c>
      <c r="CN77" s="18">
        <f t="shared" si="8"/>
        <v>5.5</v>
      </c>
      <c r="CO77" t="str">
        <f t="shared" si="9"/>
        <v/>
      </c>
      <c r="CP77">
        <v>0</v>
      </c>
      <c r="CQ77">
        <f t="shared" si="10"/>
        <v>0</v>
      </c>
      <c r="CR77">
        <f t="shared" si="11"/>
        <v>0</v>
      </c>
    </row>
    <row r="78" spans="1:96" x14ac:dyDescent="0.35">
      <c r="A78" t="s">
        <v>377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 t="s">
        <v>26</v>
      </c>
      <c r="BQ78" t="s">
        <v>26</v>
      </c>
      <c r="BR78" t="s">
        <v>26</v>
      </c>
      <c r="BS78">
        <v>5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M78">
        <f t="shared" si="7"/>
        <v>1</v>
      </c>
      <c r="CN78" s="18">
        <f t="shared" si="8"/>
        <v>5</v>
      </c>
      <c r="CO78" t="str">
        <f t="shared" si="9"/>
        <v/>
      </c>
      <c r="CP78">
        <v>0</v>
      </c>
      <c r="CQ78">
        <f t="shared" si="10"/>
        <v>0</v>
      </c>
      <c r="CR78">
        <f t="shared" si="11"/>
        <v>0</v>
      </c>
    </row>
    <row r="79" spans="1:96" x14ac:dyDescent="0.35">
      <c r="A79" t="s">
        <v>381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 t="s">
        <v>26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>
        <v>5.5</v>
      </c>
      <c r="CA79" t="s">
        <v>26</v>
      </c>
      <c r="CB79" t="s">
        <v>26</v>
      </c>
      <c r="CM79">
        <f t="shared" si="7"/>
        <v>1</v>
      </c>
      <c r="CN79" s="18">
        <f t="shared" si="8"/>
        <v>5.5</v>
      </c>
      <c r="CO79" t="str">
        <f t="shared" si="9"/>
        <v/>
      </c>
      <c r="CP79">
        <v>0</v>
      </c>
      <c r="CQ79">
        <f t="shared" si="10"/>
        <v>0</v>
      </c>
      <c r="CR79">
        <f t="shared" si="11"/>
        <v>0</v>
      </c>
    </row>
    <row r="80" spans="1:96" x14ac:dyDescent="0.35">
      <c r="A80" t="s">
        <v>382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M80">
        <f t="shared" si="7"/>
        <v>1</v>
      </c>
      <c r="CN80" s="18">
        <f t="shared" si="8"/>
        <v>5.5</v>
      </c>
      <c r="CO80" t="str">
        <f t="shared" si="9"/>
        <v/>
      </c>
      <c r="CP80">
        <v>0</v>
      </c>
      <c r="CQ80">
        <f t="shared" si="10"/>
        <v>0</v>
      </c>
      <c r="CR80">
        <f t="shared" si="11"/>
        <v>0</v>
      </c>
    </row>
    <row r="81" spans="1:96" x14ac:dyDescent="0.35">
      <c r="A81" t="s">
        <v>388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 t="s">
        <v>26</v>
      </c>
      <c r="CA81" t="s">
        <v>26</v>
      </c>
      <c r="CB81" t="s">
        <v>26</v>
      </c>
      <c r="CG81">
        <v>7</v>
      </c>
      <c r="CH81">
        <v>6</v>
      </c>
      <c r="CJ81">
        <v>7</v>
      </c>
      <c r="CM81">
        <f t="shared" si="7"/>
        <v>2</v>
      </c>
      <c r="CN81" s="18">
        <f t="shared" si="8"/>
        <v>6.5</v>
      </c>
      <c r="CO81" t="e">
        <f t="shared" si="9"/>
        <v>#DIV/0!</v>
      </c>
      <c r="CP81">
        <v>0</v>
      </c>
      <c r="CQ81">
        <f t="shared" si="10"/>
        <v>3</v>
      </c>
      <c r="CR81">
        <f t="shared" si="11"/>
        <v>3</v>
      </c>
    </row>
    <row r="82" spans="1:96" x14ac:dyDescent="0.35">
      <c r="A82" t="s">
        <v>390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M82">
        <f t="shared" si="7"/>
        <v>1</v>
      </c>
      <c r="CN82" s="18">
        <f t="shared" si="8"/>
        <v>7.5</v>
      </c>
      <c r="CO82" t="str">
        <f t="shared" si="9"/>
        <v/>
      </c>
      <c r="CP82">
        <v>0</v>
      </c>
      <c r="CQ82">
        <f t="shared" si="10"/>
        <v>1</v>
      </c>
      <c r="CR82">
        <f t="shared" si="11"/>
        <v>1</v>
      </c>
    </row>
    <row r="83" spans="1:96" x14ac:dyDescent="0.35">
      <c r="A83" t="s">
        <v>392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M83">
        <f t="shared" ref="CM83" si="12">COUNT(B83:CI83)</f>
        <v>1</v>
      </c>
      <c r="CN83" s="18">
        <f t="shared" ref="CN83" si="13">AVERAGE(B83:CI83)</f>
        <v>7</v>
      </c>
      <c r="CO83" t="str">
        <f t="shared" ref="CO83" si="14">IF(CM83&gt;1,_xlfn.STDEV.S(B83:CF83),"")</f>
        <v/>
      </c>
      <c r="CP83">
        <v>0</v>
      </c>
      <c r="CQ83">
        <f t="shared" si="10"/>
        <v>1</v>
      </c>
      <c r="CR83">
        <f t="shared" ref="CR83" si="15">IF(CP83=0,CQ83,0)</f>
        <v>1</v>
      </c>
    </row>
  </sheetData>
  <autoFilter ref="A1:CR83" xr:uid="{B9A4D56B-02EF-476F-9B0E-F093A198C591}">
    <sortState ref="A2:CR80">
      <sortCondition descending="1" ref="CP1:CP80"/>
    </sortState>
  </autoFilter>
  <conditionalFormatting sqref="CM2:CM8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83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M2:CM83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83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8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8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8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K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workbookViewId="0">
      <selection activeCell="B40" sqref="B40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Z88"/>
  <sheetViews>
    <sheetView zoomScale="85" zoomScaleNormal="85" workbookViewId="0">
      <pane xSplit="1" topLeftCell="F1" activePane="topRight" state="frozen"/>
      <selection activeCell="A31" sqref="A31"/>
      <selection pane="topRight" activeCell="V76" sqref="V76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4" width="9.6328125" customWidth="1"/>
    <col min="26" max="26" width="16.6328125" bestFit="1" customWidth="1"/>
  </cols>
  <sheetData>
    <row r="1" spans="1:26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Z1" t="s">
        <v>349</v>
      </c>
    </row>
    <row r="2" spans="1:26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Z2" s="1">
        <v>46079</v>
      </c>
    </row>
    <row r="3" spans="1:26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</row>
    <row r="4" spans="1:26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6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t="s">
        <v>370</v>
      </c>
      <c r="Z5">
        <v>20</v>
      </c>
    </row>
    <row r="6" spans="1:26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Y6" t="s">
        <v>371</v>
      </c>
      <c r="Z6">
        <f>27*Z5</f>
        <v>540</v>
      </c>
    </row>
    <row r="7" spans="1:26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t="s">
        <v>372</v>
      </c>
      <c r="Z7">
        <f>1950-Z6</f>
        <v>1410</v>
      </c>
    </row>
    <row r="8" spans="1:26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Y8" t="s">
        <v>373</v>
      </c>
      <c r="Z8">
        <f>Z7/18</f>
        <v>78.333333333333329</v>
      </c>
    </row>
    <row r="9" spans="1:26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6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</row>
    <row r="11" spans="1:26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</row>
    <row r="12" spans="1:26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</row>
    <row r="13" spans="1:26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</row>
    <row r="14" spans="1:26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</row>
    <row r="15" spans="1:26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</row>
    <row r="16" spans="1:26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Y16" s="60"/>
    </row>
    <row r="17" spans="1:25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60"/>
    </row>
    <row r="18" spans="1:25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</row>
    <row r="19" spans="1:25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</row>
    <row r="20" spans="1:25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</row>
    <row r="21" spans="1:25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5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5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5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</row>
    <row r="25" spans="1:25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5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/>
      <c r="X26" s="19"/>
    </row>
    <row r="27" spans="1:25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</row>
    <row r="28" spans="1:25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5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5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</row>
    <row r="31" spans="1:25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5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</row>
    <row r="33" spans="1:22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2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22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</row>
    <row r="36" spans="1:22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2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</row>
    <row r="38" spans="1:22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2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</row>
    <row r="40" spans="1:22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</row>
    <row r="41" spans="1:22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2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</row>
    <row r="43" spans="1:22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21">
        <v>27</v>
      </c>
      <c r="V43" s="21">
        <v>27</v>
      </c>
    </row>
    <row r="44" spans="1:22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2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2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2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</row>
    <row r="48" spans="1:22" x14ac:dyDescent="0.35">
      <c r="A48" t="s">
        <v>389</v>
      </c>
      <c r="C48" s="19"/>
      <c r="D48" s="19"/>
      <c r="E48" s="19"/>
      <c r="F48" s="19"/>
      <c r="G48" s="19">
        <v>25</v>
      </c>
      <c r="H48" s="19"/>
      <c r="I48" s="19"/>
      <c r="V48" s="21">
        <v>27</v>
      </c>
    </row>
    <row r="49" spans="1:22" x14ac:dyDescent="0.35">
      <c r="A49" t="s">
        <v>80</v>
      </c>
      <c r="G49" s="19">
        <v>25</v>
      </c>
      <c r="H49" s="19"/>
      <c r="I49" s="19"/>
    </row>
    <row r="50" spans="1:22" x14ac:dyDescent="0.35">
      <c r="A50" t="s">
        <v>83</v>
      </c>
      <c r="G50" s="19"/>
      <c r="H50" s="19">
        <v>25</v>
      </c>
      <c r="I50" s="19"/>
    </row>
    <row r="51" spans="1:22" x14ac:dyDescent="0.35">
      <c r="A51" t="s">
        <v>86</v>
      </c>
      <c r="G51" s="19"/>
      <c r="H51" s="19">
        <v>25</v>
      </c>
      <c r="I51" s="19"/>
    </row>
    <row r="52" spans="1:22" x14ac:dyDescent="0.35">
      <c r="A52" t="s">
        <v>85</v>
      </c>
      <c r="G52" s="19"/>
      <c r="H52" s="19">
        <v>25</v>
      </c>
      <c r="I52" s="19">
        <v>50</v>
      </c>
    </row>
    <row r="53" spans="1:22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</row>
    <row r="54" spans="1:22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</row>
    <row r="55" spans="1:22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2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2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</row>
    <row r="58" spans="1:22" x14ac:dyDescent="0.35">
      <c r="A58" t="s">
        <v>345</v>
      </c>
      <c r="G58"/>
      <c r="H58"/>
      <c r="I58"/>
      <c r="K58" s="19">
        <v>25</v>
      </c>
      <c r="L58" s="19"/>
      <c r="V58" s="19">
        <v>54</v>
      </c>
    </row>
    <row r="59" spans="1:22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2" x14ac:dyDescent="0.35">
      <c r="A60" t="s">
        <v>347</v>
      </c>
      <c r="G60"/>
      <c r="H60"/>
      <c r="I60"/>
      <c r="K60" s="19">
        <v>25</v>
      </c>
      <c r="L60" s="19"/>
    </row>
    <row r="61" spans="1:22" x14ac:dyDescent="0.35">
      <c r="A61" t="s">
        <v>354</v>
      </c>
      <c r="G61"/>
      <c r="H61"/>
      <c r="I61"/>
      <c r="K61" s="19"/>
      <c r="L61" s="19">
        <v>25</v>
      </c>
    </row>
    <row r="62" spans="1:22" x14ac:dyDescent="0.35">
      <c r="A62" t="s">
        <v>356</v>
      </c>
      <c r="L62" s="19">
        <v>25</v>
      </c>
    </row>
    <row r="63" spans="1:22" x14ac:dyDescent="0.35">
      <c r="A63" t="s">
        <v>352</v>
      </c>
      <c r="L63" s="19">
        <v>25</v>
      </c>
    </row>
    <row r="64" spans="1:22" x14ac:dyDescent="0.35">
      <c r="A64" t="s">
        <v>350</v>
      </c>
      <c r="L64" s="19">
        <v>25</v>
      </c>
    </row>
    <row r="65" spans="1:22" x14ac:dyDescent="0.35">
      <c r="A65" t="s">
        <v>363</v>
      </c>
      <c r="L65" s="19"/>
      <c r="M65" s="19">
        <v>25</v>
      </c>
      <c r="U65" s="19">
        <v>27</v>
      </c>
    </row>
    <row r="66" spans="1:22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2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</row>
    <row r="68" spans="1:22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2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2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</row>
    <row r="71" spans="1:22" x14ac:dyDescent="0.35">
      <c r="A71" t="s">
        <v>369</v>
      </c>
      <c r="O71" s="19">
        <v>54</v>
      </c>
      <c r="P71" s="19"/>
      <c r="Q71" s="19"/>
    </row>
    <row r="72" spans="1:22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</row>
    <row r="73" spans="1:22" x14ac:dyDescent="0.35">
      <c r="A73" t="s">
        <v>374</v>
      </c>
      <c r="O73" s="19"/>
      <c r="P73" s="19"/>
      <c r="Q73" s="19">
        <v>27</v>
      </c>
    </row>
    <row r="74" spans="1:22" x14ac:dyDescent="0.35">
      <c r="A74" t="s">
        <v>375</v>
      </c>
      <c r="O74" s="19"/>
      <c r="P74" s="19"/>
      <c r="Q74" s="19">
        <v>27</v>
      </c>
    </row>
    <row r="75" spans="1:22" x14ac:dyDescent="0.35">
      <c r="A75" t="s">
        <v>377</v>
      </c>
      <c r="O75" s="19"/>
      <c r="P75" s="19"/>
      <c r="Q75" s="19"/>
      <c r="R75" s="19">
        <v>27</v>
      </c>
      <c r="S75" s="19"/>
    </row>
    <row r="76" spans="1:22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21">
        <v>54</v>
      </c>
    </row>
    <row r="77" spans="1:22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2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2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2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</row>
    <row r="81" spans="1:22" x14ac:dyDescent="0.35">
      <c r="A81" t="s">
        <v>388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2" x14ac:dyDescent="0.35">
      <c r="A82" t="s">
        <v>390</v>
      </c>
      <c r="O82" s="19"/>
      <c r="P82" s="19"/>
      <c r="Q82" s="19"/>
      <c r="R82" s="19"/>
      <c r="S82" s="19"/>
      <c r="T82" s="19"/>
      <c r="U82" s="19"/>
      <c r="V82" s="21">
        <v>27</v>
      </c>
    </row>
    <row r="83" spans="1:22" x14ac:dyDescent="0.35">
      <c r="A83" t="s">
        <v>392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2" x14ac:dyDescent="0.35">
      <c r="U84" s="22"/>
    </row>
    <row r="85" spans="1:22" x14ac:dyDescent="0.35">
      <c r="A85" t="s">
        <v>387</v>
      </c>
      <c r="B85" s="20">
        <f>SUM(B2:B80)</f>
        <v>1799.9999999999998</v>
      </c>
      <c r="C85" s="20">
        <f t="shared" ref="C85:U85" si="1">SUM(C2:C80)</f>
        <v>1800.1200000000001</v>
      </c>
      <c r="D85" s="20">
        <f t="shared" si="1"/>
        <v>1825.1200000000001</v>
      </c>
      <c r="E85" s="20">
        <f t="shared" si="1"/>
        <v>1775.04</v>
      </c>
      <c r="F85" s="20">
        <f t="shared" si="1"/>
        <v>1850.04</v>
      </c>
      <c r="G85" s="20">
        <f t="shared" si="1"/>
        <v>1800.0399999999997</v>
      </c>
      <c r="H85" s="20">
        <f t="shared" si="1"/>
        <v>1800.14</v>
      </c>
      <c r="I85" s="20">
        <f t="shared" si="1"/>
        <v>1800.0399999999997</v>
      </c>
      <c r="J85" s="20">
        <f t="shared" si="1"/>
        <v>1800.1599999999994</v>
      </c>
      <c r="K85" s="20">
        <f t="shared" si="1"/>
        <v>1825.0066666666664</v>
      </c>
      <c r="L85" s="20">
        <f t="shared" si="1"/>
        <v>1800.0600000000004</v>
      </c>
      <c r="M85" s="20">
        <f t="shared" si="1"/>
        <v>1800.0200000000004</v>
      </c>
      <c r="N85" s="20">
        <f t="shared" si="1"/>
        <v>1950.1199999999997</v>
      </c>
      <c r="O85" s="20">
        <f t="shared" si="1"/>
        <v>1950.1199999999997</v>
      </c>
      <c r="P85" s="20">
        <f t="shared" si="1"/>
        <v>1950.1199999999997</v>
      </c>
      <c r="Q85" s="20">
        <f t="shared" si="1"/>
        <v>1951.9399999999998</v>
      </c>
      <c r="R85" s="20">
        <f t="shared" si="1"/>
        <v>1952.1199999999997</v>
      </c>
      <c r="S85" s="20">
        <f t="shared" si="1"/>
        <v>1950.1199999999997</v>
      </c>
      <c r="T85" s="20">
        <f t="shared" si="1"/>
        <v>1950.1199999999997</v>
      </c>
      <c r="U85" s="20">
        <f t="shared" si="1"/>
        <v>1950.1199999999997</v>
      </c>
      <c r="V85" s="20">
        <f>SUM(V2:V83)</f>
        <v>1950.12</v>
      </c>
    </row>
    <row r="86" spans="1:22" x14ac:dyDescent="0.35">
      <c r="A86" t="s">
        <v>74</v>
      </c>
      <c r="B86" s="20">
        <f>SUM(B3:B28)</f>
        <v>1716.6666666666665</v>
      </c>
      <c r="C86" s="20">
        <f>SUM(C3:C35)</f>
        <v>1729.2800000000002</v>
      </c>
      <c r="D86" s="20">
        <f>SUM(D3:D38)</f>
        <v>1754.2800000000002</v>
      </c>
      <c r="E86" s="20">
        <f>SUM(E3:E41)</f>
        <v>1697.26</v>
      </c>
      <c r="F86" s="20">
        <f>SUM(F3:F44)</f>
        <v>1772.26</v>
      </c>
      <c r="G86" s="20">
        <f>SUM(G3:G49)</f>
        <v>1722.2599999999998</v>
      </c>
      <c r="H86" s="20">
        <f>SUM(H3:H53)</f>
        <v>1715.41</v>
      </c>
      <c r="I86" s="20">
        <f>SUM(I3:I53)</f>
        <v>1722.2599999999998</v>
      </c>
      <c r="J86" s="20">
        <f>SUM(J3:J56)</f>
        <v>1714.0399999999995</v>
      </c>
      <c r="K86" s="20">
        <f>SUM(K3:K59)</f>
        <v>1716.6733333333332</v>
      </c>
      <c r="L86" s="20">
        <f>SUM(L3:L59)</f>
        <v>1620.8900000000003</v>
      </c>
      <c r="M86" s="20">
        <f>SUM(M3:M69)</f>
        <v>1723.6300000000003</v>
      </c>
      <c r="N86" s="20">
        <f>SUM(N3:N69)</f>
        <v>1861.2799999999997</v>
      </c>
      <c r="O86" s="20">
        <f>SUM(O3:O71)</f>
        <v>1865.7799999999997</v>
      </c>
      <c r="P86" s="20">
        <f>SUM(P3:P71)</f>
        <v>1864.2799999999997</v>
      </c>
      <c r="Q86" s="20">
        <f>SUM(Q3:Q74)</f>
        <v>1869.11</v>
      </c>
      <c r="R86" s="20">
        <f>SUM(R3:R75)</f>
        <v>1870.7799999999997</v>
      </c>
      <c r="S86" s="20">
        <f>SUM(S3:S77)</f>
        <v>1864.2799999999997</v>
      </c>
      <c r="T86" s="20">
        <f>SUM(T3:T79)</f>
        <v>1859.7799999999997</v>
      </c>
      <c r="U86" s="20">
        <f>SUM(U3:U80)</f>
        <v>1856.7799999999997</v>
      </c>
      <c r="V86" s="20">
        <f>SUM(V3:V80)</f>
        <v>1736.78</v>
      </c>
    </row>
    <row r="87" spans="1:22" x14ac:dyDescent="0.35">
      <c r="A87" t="s">
        <v>75</v>
      </c>
      <c r="B87" s="20">
        <f>25*12+83.34*17</f>
        <v>1716.78</v>
      </c>
      <c r="C87" s="20">
        <f>22*25+70.84*17</f>
        <v>1754.28</v>
      </c>
      <c r="D87" s="20">
        <f>20*25+70.84*17</f>
        <v>1704.28</v>
      </c>
      <c r="E87" s="20">
        <f>15*25+77.78*17</f>
        <v>1697.26</v>
      </c>
      <c r="F87" s="20">
        <f>18*25+77.78*17</f>
        <v>1772.26</v>
      </c>
      <c r="G87" s="23">
        <f>17*77.78+25*16</f>
        <v>1722.26</v>
      </c>
      <c r="H87" s="23">
        <f>11*25+84.73*17</f>
        <v>1715.41</v>
      </c>
      <c r="I87" s="23">
        <f>17*25+77.78*17</f>
        <v>1747.26</v>
      </c>
      <c r="J87" s="23">
        <f>10*25+86.12*17</f>
        <v>1714.04</v>
      </c>
      <c r="K87" s="23">
        <f>14*25+83.33*17</f>
        <v>1766.61</v>
      </c>
      <c r="L87" s="23">
        <f>15*25+79.17*17</f>
        <v>1720.89</v>
      </c>
      <c r="M87" s="23">
        <f>17*25+76.39*17</f>
        <v>1723.63</v>
      </c>
      <c r="N87" s="23">
        <f>14*27+88.84*17</f>
        <v>1888.28</v>
      </c>
      <c r="O87" s="23">
        <f>16*27+84.34*17</f>
        <v>1865.78</v>
      </c>
      <c r="P87" s="23">
        <f>15*27+85.84*17</f>
        <v>1864.28</v>
      </c>
      <c r="Q87" s="23">
        <f>17*27+82.83*17</f>
        <v>1867.11</v>
      </c>
      <c r="R87" s="23">
        <f>18*27+82.83*17</f>
        <v>1894.11</v>
      </c>
      <c r="S87" s="23">
        <f>15*27+85.84*17</f>
        <v>1864.28</v>
      </c>
      <c r="T87" s="23">
        <f>12*27+85.84*17</f>
        <v>1783.28</v>
      </c>
      <c r="U87" s="23">
        <f>8*27+85.84*17</f>
        <v>1675.28</v>
      </c>
      <c r="V87" s="23">
        <f>15*27+85.84*17</f>
        <v>1864.28</v>
      </c>
    </row>
    <row r="88" spans="1:22" x14ac:dyDescent="0.35">
      <c r="B88" s="24">
        <f t="shared" ref="B88:G88" si="2">B87/B86</f>
        <v>1.0000660194174757</v>
      </c>
      <c r="C88" s="24">
        <f t="shared" si="2"/>
        <v>1.0144568837897852</v>
      </c>
      <c r="D88" s="24">
        <f t="shared" si="2"/>
        <v>0.97149827849602099</v>
      </c>
      <c r="E88" s="24">
        <f t="shared" si="2"/>
        <v>1</v>
      </c>
      <c r="F88" s="24">
        <f t="shared" si="2"/>
        <v>1</v>
      </c>
      <c r="G88" s="24">
        <f t="shared" si="2"/>
        <v>1.0000000000000002</v>
      </c>
      <c r="H88" s="24">
        <f t="shared" ref="H88:I88" si="3">H87/H86</f>
        <v>1</v>
      </c>
      <c r="I88" s="24">
        <f t="shared" si="3"/>
        <v>1.0145158106209284</v>
      </c>
      <c r="J88" s="24">
        <f t="shared" ref="J88:K88" si="4">J87/J86</f>
        <v>1.0000000000000002</v>
      </c>
      <c r="K88" s="24">
        <f t="shared" si="4"/>
        <v>1.0290892074205538</v>
      </c>
      <c r="L88" s="24">
        <f t="shared" ref="L88:M88" si="5">L87/L86</f>
        <v>1.0616945011691106</v>
      </c>
      <c r="M88" s="24">
        <f t="shared" si="5"/>
        <v>0.99999999999999989</v>
      </c>
      <c r="N88" s="24">
        <f t="shared" ref="N88:O88" si="6">N87/N86</f>
        <v>1.0145061463079172</v>
      </c>
      <c r="O88" s="24">
        <f t="shared" si="6"/>
        <v>1.0000000000000002</v>
      </c>
      <c r="P88" s="24">
        <f t="shared" ref="P88" si="7">P87/P86</f>
        <v>1.0000000000000002</v>
      </c>
      <c r="Q88" s="24">
        <f t="shared" ref="Q88:V88" si="8">Q87/Q86</f>
        <v>0.99892997201876832</v>
      </c>
      <c r="R88" s="24">
        <f t="shared" si="8"/>
        <v>1.0124707341322872</v>
      </c>
      <c r="S88" s="24">
        <f t="shared" si="8"/>
        <v>1.0000000000000002</v>
      </c>
      <c r="T88" s="24">
        <f t="shared" si="8"/>
        <v>0.95886610244222448</v>
      </c>
      <c r="U88" s="24">
        <f>U87/U86</f>
        <v>0.90225013194885784</v>
      </c>
      <c r="V88" s="24">
        <f t="shared" si="8"/>
        <v>1.073411715934085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58"/>
  <sheetViews>
    <sheetView tabSelected="1" topLeftCell="A225" workbookViewId="0">
      <selection activeCell="A256" sqref="A256:A258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389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389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388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388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389</v>
      </c>
      <c r="O247" s="10" t="s">
        <v>385</v>
      </c>
      <c r="P247" s="10" t="s">
        <v>390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389</v>
      </c>
      <c r="G248" s="10" t="s">
        <v>385</v>
      </c>
      <c r="H248" s="10" t="s">
        <v>390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388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388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392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392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388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388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R83"/>
  <sheetViews>
    <sheetView topLeftCell="A34" zoomScaleNormal="100" workbookViewId="0">
      <pane xSplit="1" topLeftCell="BJ1" activePane="topRight" state="frozen"/>
      <selection pane="topRight" activeCell="BR74" sqref="BR74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70" width="10.453125" bestFit="1" customWidth="1"/>
  </cols>
  <sheetData>
    <row r="1" spans="1:70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</row>
    <row r="2" spans="1:70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</row>
    <row r="3" spans="1:70" x14ac:dyDescent="0.35">
      <c r="A3" t="s">
        <v>24</v>
      </c>
      <c r="BO3">
        <v>2</v>
      </c>
    </row>
    <row r="4" spans="1:70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70" hidden="1" x14ac:dyDescent="0.35">
      <c r="A5" t="s">
        <v>365</v>
      </c>
    </row>
    <row r="6" spans="1:70" x14ac:dyDescent="0.35">
      <c r="A6" t="s">
        <v>77</v>
      </c>
      <c r="G6">
        <v>3</v>
      </c>
    </row>
    <row r="7" spans="1:70" x14ac:dyDescent="0.35">
      <c r="A7" t="s">
        <v>364</v>
      </c>
      <c r="AH7">
        <v>3</v>
      </c>
      <c r="AQ7">
        <v>2</v>
      </c>
    </row>
    <row r="8" spans="1:70" x14ac:dyDescent="0.35">
      <c r="A8" t="s">
        <v>7</v>
      </c>
      <c r="K8">
        <v>1</v>
      </c>
    </row>
    <row r="9" spans="1:70" x14ac:dyDescent="0.35">
      <c r="A9" t="s">
        <v>353</v>
      </c>
      <c r="G9">
        <v>1</v>
      </c>
    </row>
    <row r="10" spans="1:70" hidden="1" x14ac:dyDescent="0.35">
      <c r="A10" t="s">
        <v>347</v>
      </c>
    </row>
    <row r="11" spans="1:70" x14ac:dyDescent="0.35">
      <c r="A11" t="s">
        <v>48</v>
      </c>
    </row>
    <row r="12" spans="1:70" x14ac:dyDescent="0.35">
      <c r="A12" t="s">
        <v>382</v>
      </c>
    </row>
    <row r="13" spans="1:70" x14ac:dyDescent="0.35">
      <c r="A13" t="s">
        <v>362</v>
      </c>
      <c r="BK13">
        <v>1</v>
      </c>
    </row>
    <row r="14" spans="1:70" hidden="1" x14ac:dyDescent="0.35">
      <c r="A14" t="s">
        <v>18</v>
      </c>
    </row>
    <row r="15" spans="1:70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  <c r="BM15">
        <v>1</v>
      </c>
    </row>
    <row r="16" spans="1:70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70" x14ac:dyDescent="0.35">
      <c r="A17" t="s">
        <v>378</v>
      </c>
      <c r="BL17">
        <v>1</v>
      </c>
      <c r="BR17">
        <v>1</v>
      </c>
    </row>
    <row r="18" spans="1:70" x14ac:dyDescent="0.35">
      <c r="A18" t="s">
        <v>54</v>
      </c>
      <c r="C18">
        <v>2</v>
      </c>
      <c r="D18">
        <v>3</v>
      </c>
      <c r="V18">
        <v>2</v>
      </c>
    </row>
    <row r="19" spans="1:70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  <c r="BP19">
        <v>1</v>
      </c>
    </row>
    <row r="20" spans="1:70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  <c r="BI20">
        <v>2</v>
      </c>
      <c r="BK20">
        <v>2</v>
      </c>
      <c r="BQ20">
        <v>2</v>
      </c>
      <c r="BR20">
        <v>3</v>
      </c>
    </row>
    <row r="21" spans="1:70" x14ac:dyDescent="0.35">
      <c r="A21" t="s">
        <v>392</v>
      </c>
      <c r="BP21">
        <v>2</v>
      </c>
    </row>
    <row r="22" spans="1:70" x14ac:dyDescent="0.35">
      <c r="A22" t="s">
        <v>15</v>
      </c>
      <c r="F22">
        <v>1</v>
      </c>
      <c r="H22">
        <v>2</v>
      </c>
      <c r="I22">
        <v>1</v>
      </c>
      <c r="AK22">
        <v>1</v>
      </c>
      <c r="AL22">
        <v>4</v>
      </c>
      <c r="AO22">
        <v>2</v>
      </c>
      <c r="AR22">
        <v>3</v>
      </c>
      <c r="AS22">
        <v>2</v>
      </c>
      <c r="AT22">
        <v>1</v>
      </c>
      <c r="AY22">
        <v>1</v>
      </c>
      <c r="BE22">
        <v>2</v>
      </c>
      <c r="BF22">
        <v>1</v>
      </c>
      <c r="BI22">
        <v>2</v>
      </c>
      <c r="BR22">
        <v>1</v>
      </c>
    </row>
    <row r="23" spans="1:70" x14ac:dyDescent="0.35">
      <c r="A23" t="s">
        <v>375</v>
      </c>
      <c r="AW23">
        <v>1</v>
      </c>
    </row>
    <row r="24" spans="1:70" x14ac:dyDescent="0.35">
      <c r="A24" t="s">
        <v>6</v>
      </c>
      <c r="B24">
        <v>3</v>
      </c>
      <c r="E24">
        <v>2</v>
      </c>
      <c r="H24">
        <v>1</v>
      </c>
      <c r="L24">
        <v>2</v>
      </c>
      <c r="M24">
        <v>2</v>
      </c>
      <c r="N24">
        <v>6</v>
      </c>
      <c r="O24">
        <v>1</v>
      </c>
      <c r="Q24">
        <v>3</v>
      </c>
      <c r="R24">
        <v>1</v>
      </c>
      <c r="S24">
        <v>1</v>
      </c>
      <c r="T24">
        <v>3</v>
      </c>
      <c r="U24">
        <v>3</v>
      </c>
      <c r="V24">
        <v>6</v>
      </c>
      <c r="W24">
        <v>2</v>
      </c>
      <c r="X24">
        <v>3</v>
      </c>
      <c r="Y24">
        <v>1</v>
      </c>
      <c r="Z24">
        <v>3.5</v>
      </c>
      <c r="AA24">
        <v>3.5</v>
      </c>
      <c r="AB24">
        <v>3</v>
      </c>
      <c r="AC24">
        <v>1</v>
      </c>
      <c r="AE24">
        <v>10</v>
      </c>
      <c r="AF24">
        <v>3</v>
      </c>
      <c r="AG24">
        <v>3</v>
      </c>
      <c r="AH24">
        <v>2</v>
      </c>
      <c r="AJ24">
        <v>3</v>
      </c>
      <c r="AK24">
        <v>3</v>
      </c>
      <c r="AL24">
        <v>5</v>
      </c>
      <c r="AN24">
        <v>1</v>
      </c>
      <c r="AO24">
        <v>6</v>
      </c>
      <c r="AP24">
        <v>4</v>
      </c>
      <c r="AQ24">
        <v>3</v>
      </c>
      <c r="AR24">
        <v>4</v>
      </c>
      <c r="AS24">
        <v>2</v>
      </c>
      <c r="AT24">
        <v>4</v>
      </c>
      <c r="AU24">
        <v>4</v>
      </c>
      <c r="AV24">
        <v>6</v>
      </c>
      <c r="AW24">
        <v>1</v>
      </c>
      <c r="AY24">
        <v>4</v>
      </c>
      <c r="AZ24">
        <v>1</v>
      </c>
      <c r="BA24">
        <v>3</v>
      </c>
      <c r="BC24">
        <v>5</v>
      </c>
      <c r="BD24">
        <v>2</v>
      </c>
      <c r="BE24">
        <v>3</v>
      </c>
      <c r="BF24">
        <v>3</v>
      </c>
      <c r="BG24">
        <v>3</v>
      </c>
      <c r="BH24">
        <v>1</v>
      </c>
      <c r="BI24">
        <v>5</v>
      </c>
      <c r="BJ24">
        <v>1</v>
      </c>
      <c r="BK24">
        <v>1</v>
      </c>
      <c r="BL24">
        <v>2</v>
      </c>
    </row>
    <row r="25" spans="1:70" x14ac:dyDescent="0.35">
      <c r="A25" t="s">
        <v>342</v>
      </c>
      <c r="T25">
        <v>4</v>
      </c>
      <c r="AH25">
        <v>1</v>
      </c>
      <c r="AK25">
        <v>1</v>
      </c>
      <c r="BQ25">
        <v>2</v>
      </c>
    </row>
    <row r="26" spans="1:70" hidden="1" x14ac:dyDescent="0.35">
      <c r="A26" t="s">
        <v>52</v>
      </c>
    </row>
    <row r="27" spans="1:70" x14ac:dyDescent="0.35">
      <c r="A27" t="s">
        <v>389</v>
      </c>
    </row>
    <row r="28" spans="1:70" x14ac:dyDescent="0.35">
      <c r="A28" t="s">
        <v>12</v>
      </c>
      <c r="N28">
        <v>2</v>
      </c>
      <c r="U28">
        <v>1</v>
      </c>
      <c r="AI28">
        <v>1</v>
      </c>
    </row>
    <row r="29" spans="1:70" x14ac:dyDescent="0.35">
      <c r="A29" t="s">
        <v>4</v>
      </c>
      <c r="E29">
        <v>1</v>
      </c>
      <c r="F29">
        <v>3</v>
      </c>
      <c r="H29">
        <v>1</v>
      </c>
      <c r="J29">
        <v>1</v>
      </c>
      <c r="K29">
        <v>3</v>
      </c>
      <c r="P29">
        <v>3</v>
      </c>
      <c r="U29">
        <v>3</v>
      </c>
      <c r="W29">
        <v>1</v>
      </c>
      <c r="AD29">
        <v>1</v>
      </c>
      <c r="AF29">
        <v>1</v>
      </c>
      <c r="AH29">
        <v>1</v>
      </c>
      <c r="AI29">
        <v>1</v>
      </c>
      <c r="AJ29">
        <v>2</v>
      </c>
      <c r="AO29">
        <v>2</v>
      </c>
      <c r="AP29">
        <v>2</v>
      </c>
      <c r="AQ29">
        <v>4</v>
      </c>
      <c r="AR29">
        <v>2</v>
      </c>
      <c r="AT29">
        <v>1</v>
      </c>
      <c r="AU29">
        <v>2</v>
      </c>
      <c r="AV29">
        <v>1</v>
      </c>
      <c r="AW29">
        <v>1</v>
      </c>
      <c r="AX29">
        <v>1</v>
      </c>
      <c r="AZ29">
        <v>2</v>
      </c>
      <c r="BA29">
        <v>2</v>
      </c>
      <c r="BB29">
        <v>1</v>
      </c>
      <c r="BD29">
        <v>2</v>
      </c>
      <c r="BE29">
        <v>3</v>
      </c>
      <c r="BF29">
        <v>1</v>
      </c>
      <c r="BG29">
        <v>1</v>
      </c>
      <c r="BJ29">
        <v>1</v>
      </c>
      <c r="BK29">
        <v>1</v>
      </c>
      <c r="BL29">
        <v>1</v>
      </c>
      <c r="BM29">
        <v>2</v>
      </c>
    </row>
    <row r="30" spans="1:70" x14ac:dyDescent="0.35">
      <c r="A30" t="s">
        <v>361</v>
      </c>
      <c r="AD30">
        <v>2</v>
      </c>
      <c r="AM30">
        <v>1</v>
      </c>
      <c r="AU30">
        <v>1</v>
      </c>
      <c r="BF30">
        <v>3</v>
      </c>
    </row>
    <row r="31" spans="1:70" x14ac:dyDescent="0.35">
      <c r="A31" t="s">
        <v>390</v>
      </c>
      <c r="BO31">
        <v>3</v>
      </c>
    </row>
    <row r="32" spans="1:70" x14ac:dyDescent="0.35">
      <c r="A32" t="s">
        <v>1</v>
      </c>
      <c r="B32">
        <v>1</v>
      </c>
      <c r="C32">
        <v>1</v>
      </c>
      <c r="D32">
        <v>1</v>
      </c>
      <c r="E32">
        <v>1</v>
      </c>
      <c r="F32">
        <v>2</v>
      </c>
      <c r="I32">
        <v>2</v>
      </c>
      <c r="J32">
        <v>1</v>
      </c>
      <c r="K32">
        <v>2</v>
      </c>
      <c r="L32">
        <v>1</v>
      </c>
      <c r="M32">
        <v>2</v>
      </c>
      <c r="N32">
        <v>1</v>
      </c>
      <c r="O32">
        <v>1</v>
      </c>
      <c r="P32">
        <v>2</v>
      </c>
      <c r="R32">
        <v>1</v>
      </c>
      <c r="T32">
        <v>1</v>
      </c>
      <c r="U32">
        <v>2</v>
      </c>
      <c r="Y32">
        <v>2</v>
      </c>
      <c r="AB32">
        <v>2</v>
      </c>
      <c r="AD32">
        <v>1</v>
      </c>
      <c r="AH32">
        <v>1</v>
      </c>
      <c r="AJ32">
        <v>1</v>
      </c>
      <c r="AN32">
        <v>2</v>
      </c>
      <c r="AO32">
        <v>1</v>
      </c>
      <c r="AP32">
        <v>2</v>
      </c>
      <c r="AQ32">
        <v>1</v>
      </c>
      <c r="AS32">
        <v>2</v>
      </c>
      <c r="AW32">
        <v>1</v>
      </c>
      <c r="AX32">
        <v>1</v>
      </c>
      <c r="AY32">
        <v>2</v>
      </c>
      <c r="AZ32">
        <v>2</v>
      </c>
      <c r="BA32">
        <v>1</v>
      </c>
      <c r="BB32">
        <v>2</v>
      </c>
      <c r="BC32">
        <v>4</v>
      </c>
      <c r="BD32">
        <v>1</v>
      </c>
      <c r="BE32">
        <v>1</v>
      </c>
      <c r="BG32">
        <v>2</v>
      </c>
      <c r="BH32">
        <v>3</v>
      </c>
      <c r="BJ32">
        <v>1</v>
      </c>
      <c r="BM32">
        <v>3</v>
      </c>
      <c r="BN32">
        <v>1</v>
      </c>
      <c r="BP32">
        <v>1</v>
      </c>
      <c r="BR32">
        <v>3</v>
      </c>
    </row>
    <row r="33" spans="1:70" hidden="1" x14ac:dyDescent="0.35">
      <c r="A33" t="s">
        <v>351</v>
      </c>
      <c r="Z33">
        <v>1</v>
      </c>
    </row>
    <row r="34" spans="1:70" x14ac:dyDescent="0.35">
      <c r="A34" t="s">
        <v>9</v>
      </c>
      <c r="C34">
        <v>1</v>
      </c>
      <c r="D34">
        <v>1</v>
      </c>
      <c r="G34">
        <v>2</v>
      </c>
      <c r="H34">
        <v>2</v>
      </c>
      <c r="I34">
        <v>1</v>
      </c>
      <c r="J34">
        <v>1</v>
      </c>
      <c r="K34">
        <v>2</v>
      </c>
      <c r="L34">
        <v>5</v>
      </c>
      <c r="M34">
        <v>1</v>
      </c>
      <c r="O34">
        <v>4</v>
      </c>
      <c r="P34">
        <v>1</v>
      </c>
      <c r="Q34">
        <v>2</v>
      </c>
      <c r="T34">
        <v>6</v>
      </c>
      <c r="X34">
        <v>2</v>
      </c>
      <c r="Y34">
        <v>2</v>
      </c>
      <c r="Z34">
        <v>1</v>
      </c>
      <c r="AA34">
        <v>1</v>
      </c>
      <c r="AB34">
        <v>1</v>
      </c>
      <c r="AC34">
        <v>3</v>
      </c>
      <c r="AF34">
        <v>4</v>
      </c>
      <c r="AI34">
        <v>1</v>
      </c>
      <c r="AL34">
        <v>1</v>
      </c>
      <c r="AN34">
        <v>1</v>
      </c>
      <c r="AR34">
        <v>2</v>
      </c>
      <c r="AS34">
        <v>3</v>
      </c>
      <c r="AT34">
        <v>1</v>
      </c>
      <c r="AW34">
        <v>2</v>
      </c>
      <c r="AX34">
        <v>5</v>
      </c>
      <c r="AY34">
        <v>3</v>
      </c>
      <c r="AZ34">
        <v>1</v>
      </c>
      <c r="BA34">
        <v>3</v>
      </c>
      <c r="BB34">
        <v>2</v>
      </c>
      <c r="BD34">
        <v>3</v>
      </c>
      <c r="BF34">
        <v>3</v>
      </c>
      <c r="BG34">
        <v>4</v>
      </c>
      <c r="BH34">
        <v>3</v>
      </c>
      <c r="BI34">
        <v>2</v>
      </c>
      <c r="BJ34">
        <v>1</v>
      </c>
      <c r="BL34">
        <v>1</v>
      </c>
      <c r="BM34">
        <v>2</v>
      </c>
      <c r="BN34">
        <v>1</v>
      </c>
      <c r="BP34">
        <v>1</v>
      </c>
      <c r="BQ34">
        <v>2</v>
      </c>
      <c r="BR34">
        <v>3</v>
      </c>
    </row>
    <row r="35" spans="1:70" x14ac:dyDescent="0.35">
      <c r="A35" t="s">
        <v>381</v>
      </c>
      <c r="BG35">
        <v>2</v>
      </c>
    </row>
    <row r="36" spans="1:70" x14ac:dyDescent="0.35">
      <c r="A36" t="s">
        <v>20</v>
      </c>
      <c r="B36">
        <v>1</v>
      </c>
      <c r="D36">
        <v>1</v>
      </c>
      <c r="F36">
        <v>2</v>
      </c>
      <c r="G36">
        <v>2</v>
      </c>
      <c r="H36">
        <v>4</v>
      </c>
      <c r="J36">
        <v>2</v>
      </c>
      <c r="K36">
        <v>2</v>
      </c>
      <c r="L36">
        <v>1</v>
      </c>
      <c r="M36">
        <v>1</v>
      </c>
      <c r="P36">
        <v>1</v>
      </c>
      <c r="Q36">
        <v>1</v>
      </c>
      <c r="R36">
        <v>3</v>
      </c>
      <c r="S36">
        <v>2</v>
      </c>
      <c r="T36">
        <v>2</v>
      </c>
      <c r="U36">
        <v>2</v>
      </c>
      <c r="W36">
        <v>3</v>
      </c>
      <c r="X36">
        <v>3</v>
      </c>
      <c r="Y36">
        <v>2</v>
      </c>
      <c r="AA36">
        <v>2</v>
      </c>
      <c r="AB36">
        <v>2</v>
      </c>
      <c r="AC36">
        <v>2</v>
      </c>
      <c r="AE36">
        <v>2</v>
      </c>
      <c r="AF36">
        <v>1</v>
      </c>
      <c r="AG36">
        <v>2</v>
      </c>
      <c r="AJ36">
        <v>4</v>
      </c>
      <c r="AK36">
        <v>2</v>
      </c>
      <c r="AM36">
        <v>1</v>
      </c>
      <c r="AN36">
        <v>1</v>
      </c>
      <c r="AO36">
        <v>1</v>
      </c>
      <c r="AP36">
        <v>1</v>
      </c>
      <c r="AU36">
        <v>1</v>
      </c>
      <c r="AV36">
        <v>1</v>
      </c>
      <c r="AW36">
        <v>2</v>
      </c>
      <c r="BA36">
        <v>1</v>
      </c>
      <c r="BH36">
        <v>2</v>
      </c>
      <c r="BJ36">
        <v>2</v>
      </c>
      <c r="BK36">
        <v>3</v>
      </c>
      <c r="BP36">
        <v>2</v>
      </c>
    </row>
    <row r="37" spans="1:70" x14ac:dyDescent="0.35">
      <c r="A37" t="s">
        <v>80</v>
      </c>
      <c r="F37">
        <v>1</v>
      </c>
    </row>
    <row r="38" spans="1:70" hidden="1" x14ac:dyDescent="0.35">
      <c r="A38" t="s">
        <v>61</v>
      </c>
      <c r="D38">
        <v>1</v>
      </c>
    </row>
    <row r="39" spans="1:70" x14ac:dyDescent="0.35">
      <c r="A39" t="s">
        <v>374</v>
      </c>
      <c r="AW39">
        <v>2</v>
      </c>
    </row>
    <row r="40" spans="1:70" x14ac:dyDescent="0.35">
      <c r="A40" t="s">
        <v>19</v>
      </c>
      <c r="B40">
        <v>2</v>
      </c>
      <c r="C40">
        <v>1</v>
      </c>
      <c r="D40">
        <v>1</v>
      </c>
      <c r="F40">
        <v>4</v>
      </c>
      <c r="G40">
        <v>3</v>
      </c>
      <c r="H40">
        <v>1</v>
      </c>
      <c r="I40">
        <v>1</v>
      </c>
      <c r="M40">
        <v>2</v>
      </c>
      <c r="N40">
        <v>3</v>
      </c>
      <c r="T40">
        <v>1</v>
      </c>
      <c r="X40">
        <v>1</v>
      </c>
      <c r="AA40">
        <v>2</v>
      </c>
      <c r="AB40">
        <v>2</v>
      </c>
      <c r="AC40">
        <v>1</v>
      </c>
      <c r="AD40">
        <v>2</v>
      </c>
      <c r="AE40">
        <v>1</v>
      </c>
      <c r="AG40">
        <v>1</v>
      </c>
      <c r="AH40">
        <v>2</v>
      </c>
      <c r="AJ40">
        <v>1</v>
      </c>
      <c r="AM40">
        <v>4</v>
      </c>
      <c r="AN40">
        <v>1</v>
      </c>
      <c r="AP40">
        <v>1</v>
      </c>
      <c r="AR40">
        <v>1</v>
      </c>
      <c r="AS40">
        <v>1</v>
      </c>
      <c r="AT40">
        <v>1</v>
      </c>
      <c r="AV40">
        <v>1</v>
      </c>
      <c r="AZ40">
        <v>2</v>
      </c>
      <c r="BA40">
        <v>1</v>
      </c>
      <c r="BC40">
        <v>3</v>
      </c>
      <c r="BD40">
        <v>1</v>
      </c>
      <c r="BI40">
        <v>1</v>
      </c>
      <c r="BJ40">
        <v>1</v>
      </c>
      <c r="BK40">
        <v>3</v>
      </c>
      <c r="BL40">
        <v>2</v>
      </c>
      <c r="BM40">
        <v>5</v>
      </c>
      <c r="BO40">
        <v>1</v>
      </c>
      <c r="BP40">
        <v>3</v>
      </c>
      <c r="BQ40">
        <v>3</v>
      </c>
    </row>
    <row r="41" spans="1:70" x14ac:dyDescent="0.35">
      <c r="A41" t="s">
        <v>43</v>
      </c>
      <c r="AQ41">
        <v>2</v>
      </c>
    </row>
    <row r="42" spans="1:70" x14ac:dyDescent="0.35">
      <c r="A42" t="s">
        <v>68</v>
      </c>
      <c r="E42">
        <v>1</v>
      </c>
      <c r="I42">
        <v>1</v>
      </c>
      <c r="N42">
        <v>1</v>
      </c>
      <c r="W42">
        <v>2</v>
      </c>
      <c r="AQ42">
        <v>1</v>
      </c>
    </row>
    <row r="43" spans="1:70" hidden="1" x14ac:dyDescent="0.35">
      <c r="A43" t="s">
        <v>53</v>
      </c>
      <c r="N43">
        <v>1</v>
      </c>
    </row>
    <row r="44" spans="1:70" x14ac:dyDescent="0.35">
      <c r="A44" t="s">
        <v>368</v>
      </c>
      <c r="AM44">
        <v>5</v>
      </c>
      <c r="BB44">
        <v>9</v>
      </c>
      <c r="BN44">
        <v>2</v>
      </c>
    </row>
    <row r="45" spans="1:70" x14ac:dyDescent="0.35">
      <c r="A45" t="s">
        <v>345</v>
      </c>
      <c r="U45">
        <v>1</v>
      </c>
      <c r="BR45">
        <v>1</v>
      </c>
    </row>
    <row r="46" spans="1:70" x14ac:dyDescent="0.35">
      <c r="A46" t="s">
        <v>343</v>
      </c>
      <c r="AN46">
        <v>1</v>
      </c>
      <c r="BR46">
        <v>1</v>
      </c>
    </row>
    <row r="47" spans="1:70" x14ac:dyDescent="0.35">
      <c r="A47" t="s">
        <v>344</v>
      </c>
      <c r="X47">
        <v>1</v>
      </c>
      <c r="Y47">
        <v>2</v>
      </c>
      <c r="AF47">
        <v>2</v>
      </c>
    </row>
    <row r="48" spans="1:70" x14ac:dyDescent="0.35">
      <c r="A48" t="s">
        <v>10</v>
      </c>
      <c r="B48">
        <v>2</v>
      </c>
      <c r="C48">
        <v>3</v>
      </c>
      <c r="F48">
        <v>2</v>
      </c>
      <c r="I48">
        <v>2</v>
      </c>
      <c r="J48">
        <v>2</v>
      </c>
      <c r="K48">
        <v>1</v>
      </c>
      <c r="L48">
        <v>1</v>
      </c>
      <c r="M48">
        <v>1</v>
      </c>
      <c r="O48">
        <v>2</v>
      </c>
      <c r="R48">
        <v>3</v>
      </c>
      <c r="S48">
        <v>1</v>
      </c>
      <c r="T48">
        <v>1</v>
      </c>
      <c r="V48">
        <v>1</v>
      </c>
      <c r="W48">
        <v>3</v>
      </c>
      <c r="X48">
        <v>1</v>
      </c>
      <c r="Y48">
        <v>1</v>
      </c>
      <c r="Z48">
        <v>1.5</v>
      </c>
      <c r="AC48">
        <v>1</v>
      </c>
      <c r="AD48">
        <v>2</v>
      </c>
      <c r="AE48">
        <v>1</v>
      </c>
      <c r="AF48">
        <v>2</v>
      </c>
      <c r="AH48">
        <v>2</v>
      </c>
      <c r="AL48">
        <v>3</v>
      </c>
      <c r="AP48">
        <v>2</v>
      </c>
      <c r="AQ48">
        <v>4</v>
      </c>
      <c r="AR48">
        <v>3</v>
      </c>
      <c r="AS48">
        <v>0.5</v>
      </c>
      <c r="AU48">
        <v>2</v>
      </c>
      <c r="AV48">
        <v>1</v>
      </c>
      <c r="BC48">
        <v>1</v>
      </c>
      <c r="BD48">
        <v>1</v>
      </c>
      <c r="BE48">
        <v>7</v>
      </c>
      <c r="BH48">
        <v>1</v>
      </c>
      <c r="BI48">
        <v>1</v>
      </c>
      <c r="BJ48">
        <v>3</v>
      </c>
      <c r="BK48">
        <v>3</v>
      </c>
      <c r="BL48">
        <v>1</v>
      </c>
      <c r="BM48">
        <v>1</v>
      </c>
      <c r="BN48">
        <v>4</v>
      </c>
      <c r="BP48">
        <v>1</v>
      </c>
      <c r="BQ48">
        <v>3</v>
      </c>
      <c r="BR48">
        <v>1</v>
      </c>
    </row>
    <row r="49" spans="1:70" x14ac:dyDescent="0.35">
      <c r="A49" t="s">
        <v>46</v>
      </c>
      <c r="B49">
        <v>1</v>
      </c>
      <c r="O49">
        <v>3</v>
      </c>
      <c r="P49">
        <v>1</v>
      </c>
      <c r="Q49">
        <v>2</v>
      </c>
      <c r="AM49">
        <v>1</v>
      </c>
      <c r="AN49">
        <v>1</v>
      </c>
      <c r="AP49">
        <v>1</v>
      </c>
      <c r="AS49">
        <v>1</v>
      </c>
      <c r="AV49">
        <v>1</v>
      </c>
      <c r="AX49">
        <v>5</v>
      </c>
      <c r="AY49">
        <v>1</v>
      </c>
      <c r="BA49">
        <v>2</v>
      </c>
      <c r="BB49">
        <v>4</v>
      </c>
      <c r="BE49">
        <v>3</v>
      </c>
      <c r="BF49">
        <v>2</v>
      </c>
      <c r="BH49">
        <v>3</v>
      </c>
      <c r="BK49">
        <v>1</v>
      </c>
    </row>
    <row r="50" spans="1:70" x14ac:dyDescent="0.35">
      <c r="A50" t="s">
        <v>377</v>
      </c>
    </row>
    <row r="51" spans="1:70" x14ac:dyDescent="0.35">
      <c r="A51" t="s">
        <v>3</v>
      </c>
      <c r="F51">
        <v>3</v>
      </c>
      <c r="L51">
        <v>1</v>
      </c>
      <c r="S51">
        <v>3</v>
      </c>
      <c r="AH51">
        <v>1</v>
      </c>
    </row>
    <row r="52" spans="1:70" hidden="1" x14ac:dyDescent="0.35">
      <c r="A52" t="s">
        <v>350</v>
      </c>
    </row>
    <row r="53" spans="1:70" x14ac:dyDescent="0.35">
      <c r="A53" t="s">
        <v>56</v>
      </c>
      <c r="C53">
        <v>3</v>
      </c>
      <c r="E53">
        <v>2</v>
      </c>
      <c r="F53">
        <v>1</v>
      </c>
      <c r="G53">
        <v>2</v>
      </c>
      <c r="I53">
        <v>1</v>
      </c>
      <c r="J53">
        <v>1</v>
      </c>
      <c r="K53">
        <v>1</v>
      </c>
      <c r="L53">
        <v>1</v>
      </c>
      <c r="M53">
        <v>1</v>
      </c>
      <c r="P53">
        <v>1</v>
      </c>
      <c r="R53">
        <v>1</v>
      </c>
      <c r="S53">
        <v>4</v>
      </c>
      <c r="T53">
        <v>1</v>
      </c>
      <c r="V53">
        <v>1</v>
      </c>
      <c r="W53">
        <v>2</v>
      </c>
      <c r="Z53">
        <v>2</v>
      </c>
      <c r="AA53">
        <v>1</v>
      </c>
      <c r="AB53">
        <v>4</v>
      </c>
      <c r="AC53">
        <v>1</v>
      </c>
      <c r="AD53">
        <v>1</v>
      </c>
      <c r="AX53">
        <v>1</v>
      </c>
      <c r="AY53">
        <v>1</v>
      </c>
      <c r="AZ53">
        <v>2</v>
      </c>
      <c r="BD53">
        <v>1</v>
      </c>
      <c r="BF53">
        <v>1</v>
      </c>
      <c r="BH53">
        <v>1</v>
      </c>
      <c r="BI53">
        <v>1</v>
      </c>
      <c r="BJ53">
        <v>2</v>
      </c>
      <c r="BK53">
        <v>1</v>
      </c>
      <c r="BL53">
        <v>2</v>
      </c>
      <c r="BM53">
        <v>2</v>
      </c>
      <c r="BN53">
        <v>2</v>
      </c>
      <c r="BO53">
        <v>1</v>
      </c>
      <c r="BP53">
        <v>1</v>
      </c>
      <c r="BR53">
        <v>1</v>
      </c>
    </row>
    <row r="54" spans="1:70" x14ac:dyDescent="0.35">
      <c r="A54" t="s">
        <v>369</v>
      </c>
      <c r="AN54">
        <v>3</v>
      </c>
    </row>
    <row r="55" spans="1:70" x14ac:dyDescent="0.35">
      <c r="A55" t="s">
        <v>388</v>
      </c>
      <c r="BN55">
        <v>3</v>
      </c>
      <c r="BO55">
        <v>2</v>
      </c>
      <c r="BQ55">
        <v>2</v>
      </c>
    </row>
    <row r="56" spans="1:70" x14ac:dyDescent="0.35">
      <c r="A56" t="s">
        <v>60</v>
      </c>
      <c r="B56">
        <v>2</v>
      </c>
      <c r="BF56">
        <v>1</v>
      </c>
    </row>
    <row r="57" spans="1:70" x14ac:dyDescent="0.35">
      <c r="A57" t="s">
        <v>340</v>
      </c>
      <c r="Q57">
        <v>1</v>
      </c>
      <c r="U57">
        <v>1</v>
      </c>
      <c r="W57">
        <v>1</v>
      </c>
      <c r="X57">
        <v>3</v>
      </c>
      <c r="Y57">
        <v>1</v>
      </c>
      <c r="Z57">
        <v>1</v>
      </c>
    </row>
    <row r="58" spans="1:70" x14ac:dyDescent="0.35">
      <c r="A58" t="s">
        <v>339</v>
      </c>
    </row>
    <row r="59" spans="1:70" x14ac:dyDescent="0.35">
      <c r="A59" t="s">
        <v>11</v>
      </c>
    </row>
    <row r="60" spans="1:70" x14ac:dyDescent="0.35">
      <c r="A60" t="s">
        <v>55</v>
      </c>
      <c r="B60">
        <v>2</v>
      </c>
      <c r="C60">
        <v>1</v>
      </c>
      <c r="D60">
        <v>1</v>
      </c>
      <c r="E60">
        <v>1</v>
      </c>
      <c r="F60">
        <v>3</v>
      </c>
      <c r="G60">
        <v>2</v>
      </c>
      <c r="H60">
        <v>3</v>
      </c>
      <c r="J60">
        <v>1</v>
      </c>
      <c r="K60">
        <v>1</v>
      </c>
      <c r="M60">
        <v>3</v>
      </c>
      <c r="N60">
        <v>4</v>
      </c>
      <c r="X60">
        <v>6</v>
      </c>
      <c r="Y60">
        <v>5</v>
      </c>
      <c r="Z60">
        <v>1</v>
      </c>
      <c r="AD60">
        <v>2</v>
      </c>
      <c r="AG60">
        <v>3</v>
      </c>
      <c r="AJ60">
        <v>2</v>
      </c>
      <c r="AM60">
        <v>2</v>
      </c>
      <c r="AO60">
        <v>3</v>
      </c>
      <c r="AQ60">
        <v>2</v>
      </c>
      <c r="AT60">
        <v>1</v>
      </c>
      <c r="AU60">
        <v>4</v>
      </c>
      <c r="AV60">
        <v>2</v>
      </c>
      <c r="AX60">
        <v>1</v>
      </c>
      <c r="AY60">
        <v>2</v>
      </c>
      <c r="AZ60">
        <v>1</v>
      </c>
      <c r="BA60">
        <v>4</v>
      </c>
      <c r="BB60">
        <v>2</v>
      </c>
      <c r="BH60">
        <v>1</v>
      </c>
      <c r="BR60">
        <v>2</v>
      </c>
    </row>
    <row r="61" spans="1:70" x14ac:dyDescent="0.35">
      <c r="A61" t="s">
        <v>21</v>
      </c>
    </row>
    <row r="62" spans="1:70" x14ac:dyDescent="0.35">
      <c r="A62" t="s">
        <v>81</v>
      </c>
      <c r="G62">
        <v>3</v>
      </c>
      <c r="K62">
        <v>1</v>
      </c>
      <c r="BG62">
        <v>2</v>
      </c>
      <c r="BN62">
        <v>4</v>
      </c>
      <c r="BP62">
        <v>1</v>
      </c>
      <c r="BR62">
        <v>2</v>
      </c>
    </row>
    <row r="63" spans="1:70" x14ac:dyDescent="0.35">
      <c r="A63" t="s">
        <v>63</v>
      </c>
      <c r="B63">
        <v>2</v>
      </c>
      <c r="D63">
        <v>1</v>
      </c>
      <c r="AF63">
        <v>2</v>
      </c>
      <c r="AQ63">
        <v>3</v>
      </c>
      <c r="BF63">
        <v>1</v>
      </c>
      <c r="BM63">
        <v>1</v>
      </c>
    </row>
    <row r="64" spans="1:70" hidden="1" x14ac:dyDescent="0.35">
      <c r="A64" t="s">
        <v>83</v>
      </c>
    </row>
    <row r="65" spans="1:70" x14ac:dyDescent="0.35">
      <c r="A65" t="s">
        <v>22</v>
      </c>
      <c r="Y65">
        <v>1</v>
      </c>
      <c r="AB65">
        <v>2</v>
      </c>
      <c r="AD65">
        <v>3</v>
      </c>
      <c r="AI65">
        <v>1</v>
      </c>
      <c r="AR65">
        <v>4</v>
      </c>
      <c r="AV65">
        <v>3</v>
      </c>
      <c r="BA65">
        <v>2</v>
      </c>
      <c r="BB65">
        <v>5</v>
      </c>
      <c r="BE65">
        <v>6</v>
      </c>
    </row>
    <row r="66" spans="1:70" x14ac:dyDescent="0.35">
      <c r="A66" t="s">
        <v>376</v>
      </c>
      <c r="AU66">
        <v>1</v>
      </c>
      <c r="AV66">
        <v>1</v>
      </c>
      <c r="AW66">
        <v>3</v>
      </c>
      <c r="AX66">
        <v>1</v>
      </c>
      <c r="AZ66">
        <v>1</v>
      </c>
      <c r="BC66">
        <v>2</v>
      </c>
    </row>
    <row r="67" spans="1:70" x14ac:dyDescent="0.35">
      <c r="A67" t="s">
        <v>44</v>
      </c>
      <c r="N67">
        <v>3</v>
      </c>
      <c r="S67">
        <v>2</v>
      </c>
      <c r="AG67">
        <v>2</v>
      </c>
      <c r="AI67">
        <v>1</v>
      </c>
      <c r="AP67">
        <v>2</v>
      </c>
      <c r="AQ67">
        <v>1</v>
      </c>
      <c r="AR67">
        <v>3</v>
      </c>
      <c r="AW67">
        <v>1</v>
      </c>
      <c r="BA67">
        <v>1</v>
      </c>
      <c r="BE67">
        <v>1</v>
      </c>
      <c r="BI67">
        <v>2</v>
      </c>
      <c r="BL67">
        <v>2</v>
      </c>
      <c r="BN67">
        <v>2</v>
      </c>
      <c r="BO67">
        <v>1</v>
      </c>
      <c r="BP67">
        <v>1</v>
      </c>
      <c r="BR67">
        <v>1</v>
      </c>
    </row>
    <row r="68" spans="1:70" x14ac:dyDescent="0.35">
      <c r="A68" t="s">
        <v>379</v>
      </c>
      <c r="BF68">
        <v>1</v>
      </c>
      <c r="BG68">
        <v>1</v>
      </c>
    </row>
    <row r="69" spans="1:70" x14ac:dyDescent="0.35">
      <c r="A69" t="s">
        <v>8</v>
      </c>
      <c r="B69">
        <v>1</v>
      </c>
      <c r="H69">
        <v>1</v>
      </c>
      <c r="J69">
        <v>2</v>
      </c>
      <c r="Q69">
        <v>2</v>
      </c>
    </row>
    <row r="70" spans="1:70" hidden="1" x14ac:dyDescent="0.35">
      <c r="A70" t="s">
        <v>354</v>
      </c>
    </row>
    <row r="71" spans="1:70" x14ac:dyDescent="0.35">
      <c r="A71" t="s">
        <v>82</v>
      </c>
      <c r="B71">
        <v>2</v>
      </c>
      <c r="C71">
        <v>2</v>
      </c>
      <c r="D71">
        <v>1</v>
      </c>
      <c r="E71">
        <v>2</v>
      </c>
      <c r="F71">
        <v>1</v>
      </c>
      <c r="G71">
        <v>2</v>
      </c>
      <c r="H71">
        <v>2</v>
      </c>
      <c r="I71">
        <v>3</v>
      </c>
      <c r="J71">
        <v>4</v>
      </c>
      <c r="L71">
        <v>4</v>
      </c>
      <c r="M71">
        <v>1</v>
      </c>
      <c r="N71">
        <v>2</v>
      </c>
      <c r="O71">
        <v>1</v>
      </c>
      <c r="P71">
        <v>1</v>
      </c>
      <c r="Q71">
        <v>1</v>
      </c>
      <c r="R71">
        <v>3</v>
      </c>
      <c r="S71">
        <v>3</v>
      </c>
      <c r="U71">
        <v>3</v>
      </c>
      <c r="V71">
        <v>1</v>
      </c>
      <c r="W71">
        <v>3</v>
      </c>
      <c r="AC71">
        <v>1</v>
      </c>
      <c r="AF71">
        <v>1</v>
      </c>
      <c r="AH71">
        <v>2</v>
      </c>
      <c r="AI71">
        <v>3</v>
      </c>
      <c r="AJ71">
        <v>1</v>
      </c>
      <c r="AK71">
        <v>4</v>
      </c>
      <c r="AL71">
        <v>3</v>
      </c>
      <c r="AN71">
        <v>1</v>
      </c>
      <c r="AP71">
        <v>2</v>
      </c>
      <c r="AT71">
        <v>2</v>
      </c>
      <c r="AU71">
        <v>3</v>
      </c>
      <c r="AV71">
        <v>1</v>
      </c>
      <c r="AW71">
        <v>1</v>
      </c>
      <c r="AX71">
        <v>1</v>
      </c>
      <c r="AY71">
        <v>1</v>
      </c>
      <c r="AZ71">
        <v>2</v>
      </c>
      <c r="BC71">
        <v>2</v>
      </c>
      <c r="BD71">
        <v>1</v>
      </c>
      <c r="BF71">
        <v>2</v>
      </c>
      <c r="BH71">
        <v>3</v>
      </c>
      <c r="BI71">
        <v>1</v>
      </c>
      <c r="BJ71">
        <v>2</v>
      </c>
      <c r="BK71">
        <v>3</v>
      </c>
      <c r="BM71">
        <v>2</v>
      </c>
      <c r="BN71">
        <v>3</v>
      </c>
    </row>
    <row r="72" spans="1:70" x14ac:dyDescent="0.35">
      <c r="A72" t="s">
        <v>49</v>
      </c>
      <c r="G72">
        <v>2</v>
      </c>
    </row>
    <row r="73" spans="1:70" x14ac:dyDescent="0.35">
      <c r="A73" t="s">
        <v>385</v>
      </c>
    </row>
    <row r="74" spans="1:70" x14ac:dyDescent="0.35">
      <c r="A74" t="s">
        <v>85</v>
      </c>
      <c r="K74">
        <v>4</v>
      </c>
      <c r="L74">
        <v>2</v>
      </c>
      <c r="M74">
        <v>5</v>
      </c>
    </row>
    <row r="75" spans="1:70" x14ac:dyDescent="0.35">
      <c r="A75" t="s">
        <v>5</v>
      </c>
      <c r="B75">
        <v>1</v>
      </c>
      <c r="C75">
        <v>2</v>
      </c>
      <c r="D75">
        <v>2</v>
      </c>
      <c r="E75">
        <v>3</v>
      </c>
      <c r="F75">
        <v>2</v>
      </c>
      <c r="G75">
        <v>3</v>
      </c>
      <c r="H75">
        <v>1</v>
      </c>
      <c r="M75">
        <v>4</v>
      </c>
      <c r="N75">
        <v>6</v>
      </c>
      <c r="P75">
        <v>2</v>
      </c>
      <c r="Q75">
        <v>1</v>
      </c>
      <c r="R75">
        <v>2</v>
      </c>
      <c r="S75">
        <v>3</v>
      </c>
      <c r="V75">
        <v>2</v>
      </c>
      <c r="W75">
        <v>1</v>
      </c>
      <c r="X75">
        <v>1</v>
      </c>
      <c r="Y75">
        <v>4</v>
      </c>
      <c r="Z75">
        <v>5</v>
      </c>
      <c r="AA75">
        <v>1</v>
      </c>
      <c r="AB75">
        <v>3</v>
      </c>
      <c r="AC75">
        <v>4</v>
      </c>
      <c r="AD75">
        <v>3</v>
      </c>
      <c r="AE75">
        <v>3</v>
      </c>
      <c r="AF75">
        <v>2</v>
      </c>
      <c r="AG75">
        <v>5</v>
      </c>
      <c r="AH75">
        <v>7</v>
      </c>
      <c r="AI75">
        <v>3</v>
      </c>
      <c r="AJ75">
        <v>1</v>
      </c>
      <c r="AK75">
        <v>1</v>
      </c>
      <c r="AL75">
        <v>6</v>
      </c>
      <c r="AR75">
        <v>3</v>
      </c>
      <c r="AS75">
        <v>2</v>
      </c>
      <c r="AV75">
        <v>2</v>
      </c>
      <c r="AW75">
        <v>1</v>
      </c>
      <c r="AX75">
        <v>4</v>
      </c>
      <c r="AY75">
        <v>3</v>
      </c>
      <c r="AZ75">
        <v>4</v>
      </c>
      <c r="BA75">
        <v>5</v>
      </c>
      <c r="BB75">
        <v>6</v>
      </c>
      <c r="BC75">
        <v>2</v>
      </c>
      <c r="BD75">
        <v>2</v>
      </c>
      <c r="BE75">
        <v>7</v>
      </c>
      <c r="BG75">
        <v>4</v>
      </c>
      <c r="BH75">
        <v>3</v>
      </c>
      <c r="BI75">
        <v>4</v>
      </c>
      <c r="BK75">
        <v>1</v>
      </c>
      <c r="BL75">
        <v>8</v>
      </c>
      <c r="BM75">
        <v>4</v>
      </c>
      <c r="BN75">
        <v>5</v>
      </c>
      <c r="BO75">
        <v>3</v>
      </c>
      <c r="BP75">
        <v>1</v>
      </c>
      <c r="BQ75">
        <v>1</v>
      </c>
      <c r="BR75">
        <v>3</v>
      </c>
    </row>
    <row r="76" spans="1:70" x14ac:dyDescent="0.35">
      <c r="A76" t="s">
        <v>45</v>
      </c>
      <c r="K76">
        <v>1</v>
      </c>
      <c r="BJ76">
        <v>1</v>
      </c>
    </row>
    <row r="77" spans="1:70" x14ac:dyDescent="0.35">
      <c r="A77" t="s">
        <v>367</v>
      </c>
      <c r="B77">
        <v>1</v>
      </c>
      <c r="D77">
        <v>1</v>
      </c>
      <c r="E77">
        <v>3</v>
      </c>
      <c r="O77">
        <v>2</v>
      </c>
      <c r="P77">
        <v>2</v>
      </c>
      <c r="Q77">
        <v>1</v>
      </c>
      <c r="R77">
        <v>1</v>
      </c>
      <c r="AD77">
        <v>1</v>
      </c>
      <c r="AE77">
        <v>1</v>
      </c>
      <c r="AG77">
        <v>1</v>
      </c>
      <c r="AH77">
        <v>2</v>
      </c>
      <c r="AL77">
        <v>3</v>
      </c>
      <c r="AM77">
        <v>2</v>
      </c>
      <c r="AN77">
        <v>1</v>
      </c>
      <c r="AO77">
        <v>1</v>
      </c>
      <c r="AR77">
        <v>1</v>
      </c>
      <c r="AS77">
        <v>1</v>
      </c>
      <c r="AT77">
        <v>1</v>
      </c>
      <c r="AV77">
        <v>1</v>
      </c>
      <c r="AW77">
        <v>2</v>
      </c>
      <c r="BD77">
        <v>1</v>
      </c>
      <c r="BF77">
        <v>1</v>
      </c>
      <c r="BI77">
        <v>1</v>
      </c>
    </row>
    <row r="78" spans="1:70" hidden="1" x14ac:dyDescent="0.35">
      <c r="A78" t="s">
        <v>352</v>
      </c>
      <c r="Z78">
        <v>1</v>
      </c>
    </row>
    <row r="79" spans="1:70" hidden="1" x14ac:dyDescent="0.35">
      <c r="A79" t="s">
        <v>366</v>
      </c>
    </row>
    <row r="80" spans="1:70" x14ac:dyDescent="0.35">
      <c r="A80" t="s">
        <v>17</v>
      </c>
      <c r="F80">
        <v>2</v>
      </c>
      <c r="J80">
        <v>1</v>
      </c>
      <c r="K80">
        <v>1</v>
      </c>
    </row>
    <row r="81" spans="1:67" hidden="1" x14ac:dyDescent="0.35">
      <c r="A81" t="s">
        <v>86</v>
      </c>
      <c r="K81">
        <v>5</v>
      </c>
    </row>
    <row r="82" spans="1:67" x14ac:dyDescent="0.35">
      <c r="A82" t="s">
        <v>16</v>
      </c>
      <c r="C82">
        <v>4</v>
      </c>
      <c r="D82">
        <v>3</v>
      </c>
      <c r="F82">
        <v>2</v>
      </c>
      <c r="G82">
        <v>5</v>
      </c>
      <c r="H82">
        <v>3</v>
      </c>
      <c r="I82">
        <v>2</v>
      </c>
      <c r="J82">
        <v>5</v>
      </c>
      <c r="K82">
        <v>3</v>
      </c>
      <c r="L82">
        <v>2</v>
      </c>
      <c r="M82">
        <v>3</v>
      </c>
      <c r="O82">
        <v>5</v>
      </c>
      <c r="P82">
        <v>5</v>
      </c>
      <c r="Q82">
        <v>3</v>
      </c>
      <c r="R82">
        <v>2</v>
      </c>
      <c r="S82">
        <v>3</v>
      </c>
      <c r="T82">
        <v>1</v>
      </c>
      <c r="U82">
        <v>1</v>
      </c>
      <c r="V82">
        <v>3</v>
      </c>
      <c r="W82">
        <v>3</v>
      </c>
      <c r="X82">
        <v>5</v>
      </c>
      <c r="Y82">
        <v>4</v>
      </c>
      <c r="Z82">
        <v>1</v>
      </c>
      <c r="AA82">
        <v>3</v>
      </c>
      <c r="AC82">
        <v>1</v>
      </c>
      <c r="AE82">
        <v>4</v>
      </c>
      <c r="AF82">
        <v>2</v>
      </c>
      <c r="AG82">
        <v>3</v>
      </c>
      <c r="AH82">
        <v>2</v>
      </c>
      <c r="AI82">
        <v>2</v>
      </c>
      <c r="AJ82">
        <v>7</v>
      </c>
      <c r="AK82">
        <v>3</v>
      </c>
      <c r="AL82">
        <v>5</v>
      </c>
      <c r="AM82">
        <v>1</v>
      </c>
      <c r="AN82">
        <v>4</v>
      </c>
      <c r="AO82">
        <v>3</v>
      </c>
      <c r="AP82">
        <v>6</v>
      </c>
      <c r="AQ82">
        <v>4</v>
      </c>
      <c r="AR82">
        <v>5</v>
      </c>
      <c r="AS82">
        <v>3</v>
      </c>
      <c r="AT82">
        <v>2</v>
      </c>
      <c r="AU82">
        <v>2</v>
      </c>
      <c r="AW82">
        <v>3</v>
      </c>
      <c r="AY82">
        <v>1</v>
      </c>
      <c r="AZ82">
        <v>3</v>
      </c>
      <c r="BB82">
        <v>4</v>
      </c>
      <c r="BC82">
        <v>4</v>
      </c>
      <c r="BD82">
        <v>3</v>
      </c>
      <c r="BF82">
        <v>2</v>
      </c>
      <c r="BG82">
        <v>4</v>
      </c>
      <c r="BH82">
        <v>5</v>
      </c>
      <c r="BJ82">
        <v>4</v>
      </c>
      <c r="BK82">
        <v>2</v>
      </c>
      <c r="BL82">
        <v>4</v>
      </c>
      <c r="BM82">
        <v>1</v>
      </c>
      <c r="BN82">
        <v>2</v>
      </c>
      <c r="BO82">
        <v>3</v>
      </c>
    </row>
    <row r="83" spans="1:67" hidden="1" x14ac:dyDescent="0.35">
      <c r="A83" t="s">
        <v>47</v>
      </c>
    </row>
  </sheetData>
  <autoFilter ref="A1:AB83" xr:uid="{130C2564-D265-4C41-A3E0-02A62EDAC91D}">
    <sortState ref="A2:AB83">
      <sortCondition ref="A1:A8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2026-03-05T13:51:00Z</dcterms:modified>
</cp:coreProperties>
</file>