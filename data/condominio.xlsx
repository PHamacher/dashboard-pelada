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42" documentId="14_{0C1905BB-B4B8-4F5B-9F29-FEFBC7ECF02C}" xr6:coauthVersionLast="36" xr6:coauthVersionMax="36" xr10:uidLastSave="{397AD17F-F7C1-49A1-BA33-AADCB3C4FEDE}"/>
  <bookViews>
    <workbookView xWindow="0" yWindow="0" windowWidth="13800" windowHeight="378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artilharia!$A$1:$AB$88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notas!$A$1:$DA$83</definedName>
  </definedNames>
  <calcPr calcId="191029"/>
</workbook>
</file>

<file path=xl/calcChain.xml><?xml version="1.0" encoding="utf-8"?>
<calcChain xmlns="http://schemas.openxmlformats.org/spreadsheetml/2006/main">
  <c r="CV26" i="1" l="1"/>
  <c r="CW26" i="1"/>
  <c r="CV2" i="1"/>
  <c r="CW2" i="1"/>
  <c r="X92" i="4"/>
  <c r="W92" i="4"/>
  <c r="X90" i="4" l="1"/>
  <c r="X91" i="4" s="1"/>
  <c r="CZ87" i="1"/>
  <c r="CZ3" i="1"/>
  <c r="CZ4" i="1"/>
  <c r="CZ5" i="1"/>
  <c r="CZ6" i="1"/>
  <c r="CZ7" i="1"/>
  <c r="CZ8" i="1"/>
  <c r="CZ9" i="1"/>
  <c r="CZ10" i="1"/>
  <c r="CZ12" i="1"/>
  <c r="CZ11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7" i="1"/>
  <c r="CZ28" i="1"/>
  <c r="CZ30" i="1"/>
  <c r="CZ29" i="1"/>
  <c r="CZ31" i="1"/>
  <c r="CZ32" i="1"/>
  <c r="CZ26" i="1"/>
  <c r="CZ33" i="1"/>
  <c r="CZ34" i="1"/>
  <c r="CZ35" i="1"/>
  <c r="CZ36" i="1"/>
  <c r="CZ38" i="1"/>
  <c r="CZ37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8" i="1"/>
  <c r="CZ57" i="1"/>
  <c r="CZ54" i="1"/>
  <c r="CZ59" i="1"/>
  <c r="CZ55" i="1"/>
  <c r="CZ60" i="1"/>
  <c r="CZ61" i="1"/>
  <c r="CZ56" i="1"/>
  <c r="CZ62" i="1"/>
  <c r="CZ53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8" i="1"/>
  <c r="CZ84" i="1"/>
  <c r="CZ85" i="1"/>
  <c r="CZ86" i="1"/>
  <c r="CZ2" i="1"/>
  <c r="X93" i="4" l="1"/>
  <c r="CV11" i="1" l="1"/>
  <c r="CW11" i="1"/>
  <c r="CV87" i="1" l="1"/>
  <c r="CX87" i="1" s="1"/>
  <c r="CW87" i="1"/>
  <c r="DA87" i="1"/>
  <c r="CV86" i="1" l="1"/>
  <c r="CX86" i="1" s="1"/>
  <c r="CW86" i="1"/>
  <c r="DA86" i="1"/>
  <c r="CV84" i="1"/>
  <c r="CX84" i="1" s="1"/>
  <c r="CW84" i="1"/>
  <c r="DA84" i="1"/>
  <c r="CV85" i="1"/>
  <c r="CX85" i="1" s="1"/>
  <c r="CW85" i="1"/>
  <c r="DA85" i="1"/>
  <c r="CV88" i="1" l="1"/>
  <c r="CX88" i="1" s="1"/>
  <c r="CW88" i="1"/>
  <c r="DA88" i="1"/>
  <c r="W90" i="4" l="1"/>
  <c r="V92" i="4"/>
  <c r="U92" i="4" l="1"/>
  <c r="W19" i="4"/>
  <c r="W91" i="4"/>
  <c r="W93" i="4" l="1"/>
  <c r="CV23" i="1"/>
  <c r="CW23" i="1"/>
  <c r="CV13" i="1"/>
  <c r="CW13" i="1"/>
  <c r="CV18" i="1" l="1"/>
  <c r="CW18" i="1"/>
  <c r="CV17" i="1"/>
  <c r="CW17" i="1"/>
  <c r="CV5" i="1"/>
  <c r="CW5" i="1"/>
  <c r="CV7" i="1"/>
  <c r="CW7" i="1"/>
  <c r="CV6" i="1"/>
  <c r="CW6" i="1"/>
  <c r="CV3" i="1" l="1"/>
  <c r="CW3" i="1"/>
  <c r="U93" i="4" l="1"/>
  <c r="T92" i="4"/>
  <c r="V90" i="4" l="1"/>
  <c r="V81" i="4"/>
  <c r="V91" i="4"/>
  <c r="V93" i="4" l="1"/>
  <c r="CV20" i="1"/>
  <c r="CW20" i="1"/>
  <c r="CV83" i="1" l="1"/>
  <c r="CX83" i="1" s="1"/>
  <c r="CW83" i="1"/>
  <c r="DA83" i="1"/>
  <c r="CX3" i="1"/>
  <c r="DA3" i="1"/>
  <c r="CV4" i="1"/>
  <c r="CX4" i="1" s="1"/>
  <c r="CW4" i="1"/>
  <c r="DA4" i="1"/>
  <c r="CV8" i="1"/>
  <c r="CW8" i="1"/>
  <c r="CX8" i="1"/>
  <c r="DA8" i="1"/>
  <c r="CV9" i="1"/>
  <c r="CX9" i="1" s="1"/>
  <c r="CW9" i="1"/>
  <c r="DA9" i="1"/>
  <c r="CX6" i="1"/>
  <c r="DA6" i="1"/>
  <c r="CX7" i="1"/>
  <c r="DA7" i="1"/>
  <c r="CX5" i="1"/>
  <c r="DA5" i="1"/>
  <c r="CV10" i="1"/>
  <c r="CX10" i="1" s="1"/>
  <c r="CW10" i="1"/>
  <c r="DA10" i="1"/>
  <c r="CV12" i="1"/>
  <c r="CX12" i="1" s="1"/>
  <c r="CW12" i="1"/>
  <c r="DA12" i="1"/>
  <c r="CX11" i="1"/>
  <c r="DA11" i="1"/>
  <c r="CX13" i="1"/>
  <c r="DA13" i="1"/>
  <c r="CV16" i="1"/>
  <c r="CW16" i="1"/>
  <c r="CX16" i="1"/>
  <c r="DA16" i="1"/>
  <c r="CX17" i="1"/>
  <c r="DA17" i="1"/>
  <c r="CX18" i="1"/>
  <c r="DA18" i="1"/>
  <c r="CV21" i="1"/>
  <c r="CX21" i="1" s="1"/>
  <c r="CW21" i="1"/>
  <c r="DA21" i="1"/>
  <c r="CV22" i="1"/>
  <c r="CW22" i="1"/>
  <c r="CX22" i="1"/>
  <c r="DA22" i="1"/>
  <c r="CX20" i="1"/>
  <c r="DA20" i="1"/>
  <c r="CV14" i="1"/>
  <c r="CX14" i="1" s="1"/>
  <c r="CW14" i="1"/>
  <c r="DA14" i="1"/>
  <c r="CV15" i="1"/>
  <c r="CX15" i="1" s="1"/>
  <c r="CW15" i="1"/>
  <c r="DA15" i="1"/>
  <c r="CV19" i="1"/>
  <c r="CX19" i="1" s="1"/>
  <c r="CW19" i="1"/>
  <c r="DA19" i="1"/>
  <c r="CV24" i="1"/>
  <c r="CX24" i="1" s="1"/>
  <c r="CW24" i="1"/>
  <c r="DA24" i="1"/>
  <c r="CX23" i="1"/>
  <c r="DA23" i="1"/>
  <c r="CV25" i="1"/>
  <c r="CX25" i="1" s="1"/>
  <c r="CW25" i="1"/>
  <c r="DA25" i="1"/>
  <c r="CV27" i="1"/>
  <c r="CX27" i="1" s="1"/>
  <c r="CW27" i="1"/>
  <c r="DA27" i="1"/>
  <c r="CV28" i="1"/>
  <c r="CX28" i="1" s="1"/>
  <c r="CW28" i="1"/>
  <c r="DA28" i="1"/>
  <c r="CV30" i="1"/>
  <c r="CX30" i="1" s="1"/>
  <c r="CW30" i="1"/>
  <c r="DA30" i="1"/>
  <c r="CV29" i="1"/>
  <c r="CX29" i="1" s="1"/>
  <c r="CW29" i="1"/>
  <c r="DA29" i="1"/>
  <c r="CV31" i="1"/>
  <c r="CX31" i="1" s="1"/>
  <c r="CW31" i="1"/>
  <c r="DA31" i="1"/>
  <c r="CV32" i="1"/>
  <c r="CX32" i="1" s="1"/>
  <c r="CW32" i="1"/>
  <c r="DA32" i="1"/>
  <c r="CV33" i="1"/>
  <c r="CX33" i="1" s="1"/>
  <c r="CW33" i="1"/>
  <c r="DA33" i="1"/>
  <c r="CV34" i="1"/>
  <c r="CX34" i="1" s="1"/>
  <c r="CW34" i="1"/>
  <c r="DA34" i="1"/>
  <c r="CV35" i="1"/>
  <c r="CX35" i="1" s="1"/>
  <c r="CW35" i="1"/>
  <c r="DA35" i="1"/>
  <c r="CV36" i="1"/>
  <c r="CX36" i="1" s="1"/>
  <c r="CW36" i="1"/>
  <c r="DA36" i="1"/>
  <c r="CV38" i="1"/>
  <c r="CX38" i="1" s="1"/>
  <c r="CW38" i="1"/>
  <c r="DA38" i="1"/>
  <c r="CV37" i="1"/>
  <c r="CX37" i="1" s="1"/>
  <c r="CW37" i="1"/>
  <c r="DA37" i="1"/>
  <c r="CX26" i="1"/>
  <c r="DA26" i="1"/>
  <c r="CV39" i="1"/>
  <c r="CX39" i="1" s="1"/>
  <c r="CW39" i="1"/>
  <c r="DA39" i="1"/>
  <c r="CV40" i="1"/>
  <c r="CX40" i="1" s="1"/>
  <c r="CW40" i="1"/>
  <c r="DA40" i="1"/>
  <c r="CV42" i="1"/>
  <c r="CX42" i="1" s="1"/>
  <c r="CW42" i="1"/>
  <c r="DA42" i="1"/>
  <c r="CV43" i="1"/>
  <c r="CX43" i="1" s="1"/>
  <c r="CW43" i="1"/>
  <c r="DA43" i="1"/>
  <c r="CV44" i="1"/>
  <c r="CX44" i="1" s="1"/>
  <c r="CW44" i="1"/>
  <c r="DA44" i="1"/>
  <c r="CV45" i="1"/>
  <c r="CX45" i="1" s="1"/>
  <c r="CW45" i="1"/>
  <c r="DA45" i="1"/>
  <c r="CV46" i="1"/>
  <c r="CX46" i="1" s="1"/>
  <c r="CW46" i="1"/>
  <c r="DA46" i="1"/>
  <c r="CV47" i="1"/>
  <c r="CX47" i="1" s="1"/>
  <c r="CW47" i="1"/>
  <c r="DA47" i="1"/>
  <c r="CV41" i="1"/>
  <c r="CX41" i="1" s="1"/>
  <c r="CW41" i="1"/>
  <c r="DA41" i="1"/>
  <c r="CV48" i="1"/>
  <c r="CX48" i="1" s="1"/>
  <c r="CW48" i="1"/>
  <c r="DA48" i="1"/>
  <c r="CV49" i="1"/>
  <c r="CX49" i="1" s="1"/>
  <c r="CW49" i="1"/>
  <c r="DA49" i="1"/>
  <c r="CV50" i="1"/>
  <c r="CW50" i="1"/>
  <c r="CX50" i="1"/>
  <c r="DA50" i="1"/>
  <c r="CV58" i="1"/>
  <c r="CX58" i="1" s="1"/>
  <c r="CW58" i="1"/>
  <c r="DA58" i="1"/>
  <c r="CV57" i="1"/>
  <c r="CX57" i="1" s="1"/>
  <c r="CW57" i="1"/>
  <c r="DA57" i="1"/>
  <c r="CV54" i="1"/>
  <c r="CX54" i="1" s="1"/>
  <c r="CW54" i="1"/>
  <c r="DA54" i="1"/>
  <c r="CV59" i="1"/>
  <c r="CX59" i="1" s="1"/>
  <c r="CW59" i="1"/>
  <c r="DA59" i="1"/>
  <c r="CV55" i="1"/>
  <c r="CX55" i="1" s="1"/>
  <c r="CW55" i="1"/>
  <c r="DA55" i="1"/>
  <c r="CV60" i="1"/>
  <c r="CX60" i="1" s="1"/>
  <c r="CW60" i="1"/>
  <c r="DA60" i="1"/>
  <c r="CV51" i="1"/>
  <c r="CX51" i="1" s="1"/>
  <c r="CW51" i="1"/>
  <c r="DA51" i="1"/>
  <c r="CV52" i="1"/>
  <c r="CX52" i="1" s="1"/>
  <c r="CW52" i="1"/>
  <c r="DA52" i="1"/>
  <c r="CV61" i="1"/>
  <c r="CX61" i="1" s="1"/>
  <c r="CW61" i="1"/>
  <c r="DA61" i="1"/>
  <c r="CV56" i="1"/>
  <c r="CX56" i="1" s="1"/>
  <c r="CW56" i="1"/>
  <c r="DA56" i="1"/>
  <c r="CV64" i="1"/>
  <c r="CX64" i="1" s="1"/>
  <c r="CW64" i="1"/>
  <c r="DA64" i="1"/>
  <c r="CV65" i="1"/>
  <c r="CW65" i="1"/>
  <c r="CX65" i="1"/>
  <c r="DA65" i="1"/>
  <c r="CV66" i="1"/>
  <c r="CX66" i="1" s="1"/>
  <c r="CW66" i="1"/>
  <c r="DA66" i="1"/>
  <c r="CV67" i="1"/>
  <c r="CX67" i="1" s="1"/>
  <c r="CW67" i="1"/>
  <c r="DA67" i="1"/>
  <c r="CV68" i="1"/>
  <c r="CX68" i="1" s="1"/>
  <c r="CW68" i="1"/>
  <c r="DA68" i="1"/>
  <c r="CV62" i="1"/>
  <c r="CX62" i="1" s="1"/>
  <c r="CW62" i="1"/>
  <c r="DA62" i="1"/>
  <c r="CV69" i="1"/>
  <c r="CX69" i="1" s="1"/>
  <c r="CW69" i="1"/>
  <c r="DA69" i="1"/>
  <c r="CV53" i="1"/>
  <c r="CX53" i="1" s="1"/>
  <c r="CW53" i="1"/>
  <c r="DA53" i="1"/>
  <c r="CV70" i="1"/>
  <c r="CX70" i="1" s="1"/>
  <c r="CW70" i="1"/>
  <c r="DA70" i="1"/>
  <c r="CV71" i="1"/>
  <c r="CX71" i="1" s="1"/>
  <c r="CW71" i="1"/>
  <c r="DA71" i="1"/>
  <c r="CV72" i="1"/>
  <c r="CX72" i="1" s="1"/>
  <c r="CW72" i="1"/>
  <c r="DA72" i="1"/>
  <c r="CV73" i="1"/>
  <c r="CX73" i="1" s="1"/>
  <c r="CW73" i="1"/>
  <c r="DA73" i="1"/>
  <c r="CV74" i="1"/>
  <c r="CX74" i="1" s="1"/>
  <c r="CW74" i="1"/>
  <c r="DA74" i="1"/>
  <c r="CV75" i="1"/>
  <c r="CX75" i="1" s="1"/>
  <c r="CW75" i="1"/>
  <c r="DA75" i="1"/>
  <c r="CV76" i="1"/>
  <c r="CX76" i="1" s="1"/>
  <c r="CW76" i="1"/>
  <c r="DA76" i="1"/>
  <c r="CV77" i="1"/>
  <c r="CX77" i="1" s="1"/>
  <c r="CW77" i="1"/>
  <c r="DA77" i="1"/>
  <c r="CV78" i="1"/>
  <c r="CX78" i="1" s="1"/>
  <c r="CW78" i="1"/>
  <c r="DA78" i="1"/>
  <c r="CV79" i="1"/>
  <c r="CX79" i="1" s="1"/>
  <c r="CW79" i="1"/>
  <c r="DA79" i="1"/>
  <c r="CV80" i="1"/>
  <c r="CX80" i="1" s="1"/>
  <c r="CW80" i="1"/>
  <c r="DA80" i="1"/>
  <c r="CV81" i="1"/>
  <c r="CX81" i="1" s="1"/>
  <c r="CW81" i="1"/>
  <c r="DA81" i="1"/>
  <c r="CV63" i="1"/>
  <c r="CX63" i="1" s="1"/>
  <c r="CW63" i="1"/>
  <c r="DA63" i="1"/>
  <c r="CV82" i="1"/>
  <c r="CX82" i="1" s="1"/>
  <c r="CW82" i="1"/>
  <c r="DA82" i="1"/>
  <c r="S92" i="4" l="1"/>
  <c r="U90" i="4" l="1"/>
  <c r="T90" i="4"/>
  <c r="S90" i="4"/>
  <c r="Q90" i="4"/>
  <c r="N90" i="4"/>
  <c r="M90" i="4"/>
  <c r="L90" i="4"/>
  <c r="J90" i="4"/>
  <c r="I90" i="4"/>
  <c r="H90" i="4"/>
  <c r="G90" i="4"/>
  <c r="E90" i="4"/>
  <c r="D90" i="4"/>
  <c r="C90" i="4"/>
  <c r="U91" i="4"/>
  <c r="DA2" i="1"/>
  <c r="T91" i="4" l="1"/>
  <c r="R92" i="4"/>
  <c r="N92" i="4"/>
  <c r="K92" i="4"/>
  <c r="T93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92" i="4"/>
  <c r="U6" i="6" l="1"/>
  <c r="W5" i="6"/>
  <c r="Q7" i="6"/>
  <c r="S6" i="6"/>
  <c r="S91" i="4"/>
  <c r="S93" i="4" s="1"/>
  <c r="W6" i="6" l="1"/>
  <c r="U7" i="6"/>
  <c r="S7" i="6"/>
  <c r="Q8" i="6"/>
  <c r="P92" i="4"/>
  <c r="W7" i="6" l="1"/>
  <c r="U8" i="6"/>
  <c r="S8" i="6"/>
  <c r="Q9" i="6"/>
  <c r="R32" i="4"/>
  <c r="R72" i="4"/>
  <c r="R26" i="4"/>
  <c r="R53" i="4"/>
  <c r="R17" i="4"/>
  <c r="R91" i="4" l="1"/>
  <c r="R90" i="4"/>
  <c r="U9" i="6"/>
  <c r="W8" i="6"/>
  <c r="Q10" i="6"/>
  <c r="S9" i="6"/>
  <c r="R93" i="4"/>
  <c r="U10" i="6" l="1"/>
  <c r="W9" i="6"/>
  <c r="Q11" i="6"/>
  <c r="S10" i="6"/>
  <c r="U11" i="6" l="1"/>
  <c r="W10" i="6"/>
  <c r="Q12" i="6"/>
  <c r="S11" i="6"/>
  <c r="CX2" i="1"/>
  <c r="W11" i="6" l="1"/>
  <c r="U12" i="6"/>
  <c r="Q13" i="6"/>
  <c r="S12" i="6"/>
  <c r="U13" i="6" l="1"/>
  <c r="W12" i="6"/>
  <c r="S13" i="6"/>
  <c r="Q14" i="6"/>
  <c r="Q91" i="4"/>
  <c r="Q93" i="4" s="1"/>
  <c r="W13" i="6" l="1"/>
  <c r="U14" i="6"/>
  <c r="Q15" i="6"/>
  <c r="S14" i="6"/>
  <c r="O92" i="4"/>
  <c r="W14" i="6" l="1"/>
  <c r="U15" i="6"/>
  <c r="S15" i="6"/>
  <c r="Q16" i="6"/>
  <c r="P43" i="4"/>
  <c r="P91" i="4" l="1"/>
  <c r="P93" i="4" s="1"/>
  <c r="P90" i="4"/>
  <c r="W15" i="6"/>
  <c r="U16" i="6"/>
  <c r="Q17" i="6"/>
  <c r="S16" i="6"/>
  <c r="W16" i="6" l="1"/>
  <c r="U17" i="6"/>
  <c r="Q18" i="6"/>
  <c r="S17" i="6"/>
  <c r="O30" i="4"/>
  <c r="O59" i="4"/>
  <c r="O91" i="4"/>
  <c r="AB6" i="4"/>
  <c r="O90" i="4" l="1"/>
  <c r="U18" i="6"/>
  <c r="W17" i="6"/>
  <c r="Q19" i="6"/>
  <c r="S18" i="6"/>
  <c r="O93" i="4"/>
  <c r="U19" i="6" l="1"/>
  <c r="W18" i="6"/>
  <c r="Q20" i="6"/>
  <c r="S19" i="6"/>
  <c r="M92" i="4"/>
  <c r="U20" i="6" l="1"/>
  <c r="W19" i="6"/>
  <c r="Q21" i="6"/>
  <c r="S20" i="6"/>
  <c r="L92" i="4"/>
  <c r="AB7" i="4"/>
  <c r="AB8" i="4" s="1"/>
  <c r="M91" i="4"/>
  <c r="N91" i="4"/>
  <c r="U21" i="6" l="1"/>
  <c r="W20" i="6"/>
  <c r="S21" i="6"/>
  <c r="Q22" i="6"/>
  <c r="N93" i="4"/>
  <c r="U22" i="6" l="1"/>
  <c r="W21" i="6"/>
  <c r="Q23" i="6"/>
  <c r="S22" i="6"/>
  <c r="M93" i="4"/>
  <c r="W22" i="6" l="1"/>
  <c r="U23" i="6"/>
  <c r="S23" i="6"/>
  <c r="Q24" i="6"/>
  <c r="L91" i="4"/>
  <c r="W23" i="6" l="1"/>
  <c r="U24" i="6"/>
  <c r="Q25" i="6"/>
  <c r="S24" i="6"/>
  <c r="L93" i="4"/>
  <c r="W24" i="6" l="1"/>
  <c r="U25" i="6"/>
  <c r="S25" i="6"/>
  <c r="Q26" i="6"/>
  <c r="J92" i="4"/>
  <c r="I92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91" i="4" s="1"/>
  <c r="K2" i="4"/>
  <c r="K90" i="4" s="1"/>
  <c r="U27" i="6" l="1"/>
  <c r="W26" i="6"/>
  <c r="Q28" i="6"/>
  <c r="S27" i="6"/>
  <c r="K93" i="4"/>
  <c r="U28" i="6" l="1"/>
  <c r="W27" i="6"/>
  <c r="Q29" i="6"/>
  <c r="S28" i="6"/>
  <c r="J91" i="4"/>
  <c r="U29" i="6" l="1"/>
  <c r="W28" i="6"/>
  <c r="S29" i="6"/>
  <c r="Q30" i="6"/>
  <c r="J93" i="4"/>
  <c r="U30" i="6" l="1"/>
  <c r="W29" i="6"/>
  <c r="Q31" i="6"/>
  <c r="S30" i="6"/>
  <c r="E92" i="4"/>
  <c r="U31" i="6" l="1"/>
  <c r="W30" i="6"/>
  <c r="S31" i="6"/>
  <c r="Q32" i="6"/>
  <c r="G92" i="4"/>
  <c r="H92" i="4"/>
  <c r="W31" i="6" l="1"/>
  <c r="U32" i="6"/>
  <c r="S32" i="6"/>
  <c r="Q33" i="6"/>
  <c r="I91" i="4"/>
  <c r="I93" i="4" s="1"/>
  <c r="U33" i="6" l="1"/>
  <c r="W32" i="6"/>
  <c r="Q34" i="6"/>
  <c r="S33" i="6"/>
  <c r="D92" i="4"/>
  <c r="C92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92" i="4"/>
  <c r="H91" i="4"/>
  <c r="U37" i="6" l="1"/>
  <c r="W36" i="6"/>
  <c r="S37" i="6"/>
  <c r="Q38" i="6"/>
  <c r="H7" i="6"/>
  <c r="I6" i="6"/>
  <c r="J6" i="6" s="1"/>
  <c r="H93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91" i="4"/>
  <c r="I10" i="6" l="1"/>
  <c r="J10" i="6" s="1"/>
  <c r="H11" i="6"/>
  <c r="G93" i="4"/>
  <c r="B92" i="4"/>
  <c r="E91" i="4"/>
  <c r="D91" i="4"/>
  <c r="C91" i="4"/>
  <c r="F20" i="4"/>
  <c r="F19" i="4"/>
  <c r="F90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90" i="4" l="1"/>
  <c r="E93" i="4"/>
  <c r="F91" i="4"/>
  <c r="F93" i="4" s="1"/>
  <c r="H12" i="6"/>
  <c r="I11" i="6"/>
  <c r="J11" i="6" s="1"/>
  <c r="C93" i="4"/>
  <c r="D93" i="4"/>
  <c r="B91" i="4"/>
  <c r="B93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<sst xmlns="http://schemas.openxmlformats.org/spreadsheetml/2006/main" count="9436" uniqueCount="399">
  <si>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</si>
  <si>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</si>
  <si>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</si>
  <si>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</si>
  <si>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</si>
  <si>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</si>
  <si>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</si>
  <si>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</si>
  <si>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</si>
  <si>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</si>
  <si>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</si>
  <si>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</si>
  <si>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</si>
  <si>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</si>
  <si>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</si>
  <si>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</si>
  <si>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</si>
  <si>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</si>
  <si>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</si>
  <si>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</si>
  <si>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</si>
  <si>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</si>
  <si>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</si>
  <si>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</si>
  <si>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</si>
  <si>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</si>
  <si>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</si>
  <si>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</si>
  <si>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</si>
  <si>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</si>
  <si>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</si>
  <si>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</si>
  <si>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</si>
  <si>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</si>
  <si>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</si>
  <si>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</si>
  <si>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</si>
  <si>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</si>
  <si>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</si>
  <si>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</si>
  <si>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</si>
  <si>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</si>
  <si>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</si>
  <si>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</si>
  <si>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</si>
  <si>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</si>
  <si>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</si>
  <si>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</si>
  <si>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</si>
  <si>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</si>
  <si>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</si>
  <si>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</si>
  <si>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</si>
  <si>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</si>
  <si>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</si>
  <si>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</si>
  <si>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</si>
  <si>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</si>
  <si>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</si>
  <si>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</si>
  <si>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</si>
  <si>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</si>
  <si>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</si>
  <si>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</si>
  <si>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</si>
  <si>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</si>
  <si>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</si>
  <si>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</si>
  <si>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</si>
  <si>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</si>
  <si>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</si>
  <si>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</si>
  <si>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</si>
  <si>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</si>
  <si>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</si>
  <si>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</si>
  <si>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</si>
  <si>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</si>
  <si>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</si>
  <si>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</si>
  <si>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</si>
  <si>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</si>
  <si>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</si>
  <si>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</si>
  <si>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</si>
  <si>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</si>
  <si>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</si>
  <si>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</si>
  <si>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</si>
  <si>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</si>
  <si>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</si>
  <si>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</si>
  <si>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</si>
  <si>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</si>
  <si>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</si>
  <si>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</si>
  <si>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</si>
  <si>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</si>
  <si>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</si>
  <si>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</si>
  <si>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</si>
  <si>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</si>
  <si>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</si>
  <si>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</si>
  <si>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</si>
  <si>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</si>
  <si>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</si>
  <si>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</si>
  <si>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</si>
  <si>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</si>
  <si>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</si>
  <si>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</si>
  <si>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</si>
  <si>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</si>
  <si>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</si>
  <si>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</si>
  <si>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</si>
  <si>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</si>
  <si>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</si>
  <si>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</si>
  <si>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</si>
  <si>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</si>
  <si>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</si>
  <si>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</si>
  <si>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</si>
  <si>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</si>
  <si>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</si>
  <si>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</si>
  <si>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</si>
  <si>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</si>
  <si>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</si>
  <si>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</si>
  <si>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</si>
  <si>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</si>
  <si>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</si>
  <si>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</si>
  <si>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</si>
  <si>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</si>
  <si>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</si>
  <si>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</si>
  <si>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</si>
  <si>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</si>
  <si>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</si>
  <si>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</si>
  <si>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</si>
  <si>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</si>
  <si>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</si>
  <si>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</si>
  <si>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</si>
  <si>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</si>
  <si>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</si>
  <si>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</si>
  <si>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</si>
  <si>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</si>
  <si>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</si>
  <si>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</si>
  <si>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</si>
  <si>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</si>
  <si>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</si>
  <si>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</si>
  <si>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</si>
  <si>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</si>
  <si>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</si>
  <si>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</si>
  <si>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</si>
  <si>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</si>
  <si>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</si>
  <si>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</si>
  <si>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</si>
  <si>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</si>
  <si>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</si>
  <si>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</si>
  <si>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</si>
  <si>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</si>
  <si>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</si>
  <si>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</si>
  <si>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</si>
  <si>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</si>
  <si>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</si>
  <si>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</si>
  <si>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</si>
  <si>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</si>
  <si>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</si>
  <si>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</si>
  <si>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</si>
  <si>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</si>
  <si>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</si>
  <si>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</si>
  <si>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</si>
  <si>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</si>
  <si>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</si>
  <si>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</si>
  <si>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</si>
  <si>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</si>
  <si>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</si>
  <si>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</si>
  <si>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</si>
  <si>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</si>
  <si>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</si>
  <si>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</si>
  <si>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</si>
  <si>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</si>
  <si>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</si>
  <si>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</si>
  <si>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</si>
  <si>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</si>
  <si>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</si>
  <si>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</si>
  <si>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</si>
  <si>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</si>
  <si>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</si>
  <si>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</si>
  <si>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</si>
  <si>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</si>
  <si>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</si>
  <si>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</si>
  <si>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</si>
  <si>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</si>
  <si>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</si>
  <si>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</si>
  <si>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</si>
  <si>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</si>
  <si>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</si>
  <si>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</si>
  <si>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</si>
  <si>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</si>
  <si>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</si>
  <si>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</si>
  <si>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</si>
  <si>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</si>
  <si>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</si>
  <si>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</si>
  <si>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</si>
  <si>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</si>
  <si>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</si>
  <si>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</si>
  <si>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</si>
  <si>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</si>
  <si>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</si>
  <si>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</si>
  <si>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</si>
  <si>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</si>
  <si>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</si>
  <si>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</si>
  <si>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</si>
  <si>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</si>
  <si>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</si>
  <si>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</si>
  <si>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</si>
  <si>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</si>
  <si>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</si>
  <si>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</si>
  <si>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</si>
  <si>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</si>
  <si>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</si>
  <si>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</si>
  <si>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</si>
  <si>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</si>
  <si>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</si>
  <si>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</si>
  <si>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</si>
  <si>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</si>
  <si>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</si>
  <si>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</si>
  <si>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</si>
  <si>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</si>
  <si>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</si>
  <si>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</si>
  <si>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</si>
  <si>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</si>
  <si>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</si>
  <si>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</si>
  <si>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</si>
  <si>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</si>
  <si>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</si>
  <si>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</si>
  <si>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</si>
  <si>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</si>
  <si>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</si>
  <si>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</si>
  <si>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</si>
  <si>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</si>
  <si>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</si>
  <si>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</si>
  <si>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</si>
  <si>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</si>
  <si>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</si>
  <si>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</si>
  <si>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</si>
  <si>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</si>
  <si>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</si>
  <si>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</si>
  <si>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</si>
  <si>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</si>
  <si>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</si>
  <si>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</si>
  <si>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</si>
  <si>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</si>
  <si>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</si>
  <si>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</si>
  <si>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</si>
  <si>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</si>
  <si>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</si>
  <si>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</si>
  <si>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</si>
  <si>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</si>
  <si>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</si>
  <si>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</si>
  <si>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</si>
  <si>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</si>
  <si>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</si>
  <si>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</si>
  <si>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</si>
  <si>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</si>
  <si>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</si>
  <si>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</si>
  <si>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</si>
  <si>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</si>
  <si>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</si>
  <si>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</si>
  <si>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</si>
  <si>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</si>
  <si>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</si>
  <si>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</si>
  <si>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</si>
  <si>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</si>
  <si>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</si>
  <si>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</si>
  <si>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</si>
  <si>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</si>
  <si>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</si>
  <si>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</si>
  <si>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</si>
  <si>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</si>
  <si>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</si>
  <si>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</si>
  <si>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</si>
  <si>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</si>
  <si>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</si>
  <si>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</si>
  <si>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</si>
  <si>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</si>
  <si>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</si>
  <si>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</si>
  <si>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</si>
  <si>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</si>
  <si>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</si>
  <si>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</si>
  <si>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</si>
  <si>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</si>
  <si>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</si>
  <si>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</si>
  <si>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</si>
  <si>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</si>
  <si>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</si>
  <si>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</si>
  <si>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</si>
  <si>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</si>
  <si>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</si>
  <si>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</si>
  <si>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</si>
  <si>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</si>
  <si>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</si>
  <si>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</si>
  <si>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</si>
  <si>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</si>
  <si>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</si>
  <si>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</si>
  <si>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</si>
  <si>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</si>
  <si>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</si>
  <si>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</si>
  <si>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</si>
  <si>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</si>
  <si>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</si>
  <si>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</si>
  <si>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</si>
  <si>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</si>
  <si>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</si>
  <si>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</si>
  <si>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</si>
  <si>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</si>
  <si>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</si>
  <si>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</si>
  <si>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</si>
  <si>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</si>
  <si>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</si>
  <si>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</si>
  <si>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</si>
  <si>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</si>
  <si>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</si>
  <si>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</si>
  <si>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Bernardo Impactus</t>
  </si>
  <si>
    <t>Joshua</t>
  </si>
  <si>
    <t>Caio (Octavio)</t>
  </si>
  <si>
    <t>Leo MJ</t>
  </si>
  <si>
    <t>Caio Brandão</t>
  </si>
  <si>
    <t>abr</t>
  </si>
  <si>
    <t>Bernardo (Impactus)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</si>
</sst>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88"/>
  <sheetViews>
    <sheetView zoomScale="85" zoomScaleNormal="85" workbookViewId="0">
      <pane xSplit="1" topLeftCell="CL1" activePane="topRight" state="frozen"/>
      <selection pane="topRight" activeCell="CT74" sqref="CT74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99" width="11" customWidth="1"/>
  </cols>
  <sheetData>
    <row r="1" spans="1:105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/>
      <c r="CV1" t="s">
        <v>57</v>
      </c>
      <c r="CW1" t="s">
        <v>58</v>
      </c>
      <c r="CX1" t="s">
        <v>59</v>
      </c>
      <c r="CY1" t="s">
        <v>62</v>
      </c>
      <c r="CZ1" t="s">
        <v>397</v>
      </c>
      <c r="DA1" t="s">
        <v>384</v>
      </c>
    </row>
    <row r="2" spans="1:105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V2">
        <f>COUNT(B2:CT2)</f>
        <v>91</v>
      </c>
      <c r="CW2" s="18">
        <f>AVERAGE(B2:CT2)</f>
        <v>6.0219780219780219</v>
      </c>
      <c r="CX2">
        <f>IF(CV2&gt;1,_xlfn.STDEV.S(B2:CF2),"")</f>
        <v>1.2512468149547391</v>
      </c>
      <c r="CY2">
        <v>1</v>
      </c>
      <c r="CZ2">
        <f>COUNT(CO2:CS2)</f>
        <v>5</v>
      </c>
      <c r="DA2">
        <f>IF(CY2=0,CZ2,0)</f>
        <v>0</v>
      </c>
    </row>
    <row r="3" spans="1:105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f>COUNT(B3:CK3)</f>
        <v>79</v>
      </c>
      <c r="CW3" s="18">
        <f>AVERAGE(B3:CK3)</f>
        <v>5.6518987341772151</v>
      </c>
      <c r="CX3">
        <f>IF(CV3&gt;1,_xlfn.STDEV.S(B3:CF3),"")</f>
        <v>1.0518094984498128</v>
      </c>
      <c r="CY3">
        <v>1</v>
      </c>
      <c r="CZ3">
        <f>COUNT(CO3:CS3)</f>
        <v>5</v>
      </c>
      <c r="DA3">
        <f>IF(CY3=0,CZ3,0)</f>
        <v>0</v>
      </c>
    </row>
    <row r="4" spans="1:105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V4">
        <f>COUNT(B4:CI4)</f>
        <v>72</v>
      </c>
      <c r="CW4" s="18">
        <f>AVERAGE(B4:CI4)</f>
        <v>5.708333333333333</v>
      </c>
      <c r="CX4">
        <f>IF(CV4&gt;1,_xlfn.STDEV.S(B4:CF4),"")</f>
        <v>0.96435844595057774</v>
      </c>
      <c r="CY4">
        <v>0</v>
      </c>
      <c r="CZ4">
        <f>COUNT(CO4:CS4)</f>
        <v>0</v>
      </c>
      <c r="DA4">
        <f>IF(CY4=0,CZ4,0)</f>
        <v>0</v>
      </c>
    </row>
    <row r="5" spans="1:105" x14ac:dyDescent="0.35">
      <c r="A5" t="s">
        <v>5</v>
      </c>
      <c r="B5">
        <v>10</v>
      </c>
      <c r="C5">
        <v>9.5</v>
      </c>
      <c r="D5">
        <v>9.5</v>
      </c>
      <c r="E5">
        <v>8</v>
      </c>
      <c r="F5">
        <v>7</v>
      </c>
      <c r="G5">
        <v>8</v>
      </c>
      <c r="H5">
        <v>7</v>
      </c>
      <c r="I5" t="s">
        <v>26</v>
      </c>
      <c r="J5">
        <v>9.5</v>
      </c>
      <c r="K5">
        <v>8</v>
      </c>
      <c r="L5">
        <v>9.5</v>
      </c>
      <c r="M5">
        <v>7</v>
      </c>
      <c r="N5">
        <v>8</v>
      </c>
      <c r="O5">
        <v>8</v>
      </c>
      <c r="P5">
        <v>7</v>
      </c>
      <c r="Q5">
        <v>7</v>
      </c>
      <c r="R5" t="s">
        <v>26</v>
      </c>
      <c r="S5" t="s">
        <v>26</v>
      </c>
      <c r="T5" t="s">
        <v>26</v>
      </c>
      <c r="U5">
        <v>7</v>
      </c>
      <c r="V5">
        <v>5.5</v>
      </c>
      <c r="W5">
        <v>8</v>
      </c>
      <c r="X5">
        <v>7</v>
      </c>
      <c r="Y5">
        <v>7</v>
      </c>
      <c r="Z5">
        <v>7</v>
      </c>
      <c r="AA5">
        <v>7</v>
      </c>
      <c r="AB5" t="s">
        <v>26</v>
      </c>
      <c r="AC5" t="s">
        <v>26</v>
      </c>
      <c r="AD5" t="s">
        <v>26</v>
      </c>
      <c r="AE5" t="s">
        <v>26</v>
      </c>
      <c r="AF5">
        <v>8</v>
      </c>
      <c r="AG5">
        <v>10</v>
      </c>
      <c r="AH5" t="s">
        <v>26</v>
      </c>
      <c r="AI5">
        <v>8</v>
      </c>
      <c r="AJ5">
        <v>6.5</v>
      </c>
      <c r="AK5">
        <v>8</v>
      </c>
      <c r="AL5">
        <v>7</v>
      </c>
      <c r="AM5" t="s">
        <v>26</v>
      </c>
      <c r="AN5" t="s">
        <v>26</v>
      </c>
      <c r="AO5">
        <v>7</v>
      </c>
      <c r="AP5">
        <v>5.5</v>
      </c>
      <c r="AQ5">
        <v>6.5</v>
      </c>
      <c r="AR5">
        <v>8</v>
      </c>
      <c r="AS5">
        <v>7</v>
      </c>
      <c r="AT5">
        <v>6.5</v>
      </c>
      <c r="AU5">
        <v>8</v>
      </c>
      <c r="AV5">
        <v>7</v>
      </c>
      <c r="AW5">
        <v>7</v>
      </c>
      <c r="AX5">
        <v>7</v>
      </c>
      <c r="AY5">
        <v>6.5</v>
      </c>
      <c r="AZ5">
        <v>8.5</v>
      </c>
      <c r="BA5">
        <v>10</v>
      </c>
      <c r="BB5">
        <v>6.5</v>
      </c>
      <c r="BC5">
        <v>5</v>
      </c>
      <c r="BD5">
        <v>6.5</v>
      </c>
      <c r="BE5">
        <v>8</v>
      </c>
      <c r="BF5">
        <v>6.5</v>
      </c>
      <c r="BG5">
        <v>5.5</v>
      </c>
      <c r="BH5" t="s">
        <v>26</v>
      </c>
      <c r="BI5" t="s">
        <v>26</v>
      </c>
      <c r="BJ5" t="s">
        <v>26</v>
      </c>
      <c r="BK5">
        <v>6.5</v>
      </c>
      <c r="BL5">
        <v>7</v>
      </c>
      <c r="BM5" t="s">
        <v>26</v>
      </c>
      <c r="BN5" t="s">
        <v>26</v>
      </c>
      <c r="BO5">
        <v>6.5</v>
      </c>
      <c r="BP5">
        <v>6.5</v>
      </c>
      <c r="BQ5">
        <v>7</v>
      </c>
      <c r="BR5">
        <v>6.5</v>
      </c>
      <c r="BS5">
        <v>7</v>
      </c>
      <c r="BT5">
        <v>7</v>
      </c>
      <c r="BU5">
        <v>8</v>
      </c>
      <c r="BV5">
        <v>6.5</v>
      </c>
      <c r="BW5">
        <v>6.5</v>
      </c>
      <c r="BX5">
        <v>8</v>
      </c>
      <c r="BY5" t="s">
        <v>26</v>
      </c>
      <c r="BZ5">
        <v>7</v>
      </c>
      <c r="CA5">
        <v>6.5</v>
      </c>
      <c r="CB5">
        <v>7</v>
      </c>
      <c r="CD5">
        <v>5.5</v>
      </c>
      <c r="CE5">
        <v>9</v>
      </c>
      <c r="CF5">
        <v>7</v>
      </c>
      <c r="CG5">
        <v>8</v>
      </c>
      <c r="CH5">
        <v>7.5</v>
      </c>
      <c r="CI5">
        <v>6.5</v>
      </c>
      <c r="CJ5">
        <v>5.5</v>
      </c>
      <c r="CK5">
        <v>6.5</v>
      </c>
      <c r="CL5">
        <v>5.5</v>
      </c>
      <c r="CR5">
        <v>5.5</v>
      </c>
      <c r="CV5">
        <f>COUNT(B5:CL5)</f>
        <v>71</v>
      </c>
      <c r="CW5" s="18">
        <f>AVERAGE(B5:CL5)</f>
        <v>7.267605633802817</v>
      </c>
      <c r="CX5">
        <f>IF(CV5&gt;1,_xlfn.STDEV.S(B5:CF5),"")</f>
        <v>1.1294250579557983</v>
      </c>
      <c r="CY5">
        <v>0</v>
      </c>
      <c r="CZ5">
        <f>COUNT(CO5:CS5)</f>
        <v>1</v>
      </c>
      <c r="DA5">
        <f>IF(CY5=0,CZ5,0)</f>
        <v>1</v>
      </c>
    </row>
    <row r="6" spans="1:105" x14ac:dyDescent="0.35">
      <c r="A6" t="s">
        <v>82</v>
      </c>
      <c r="B6">
        <v>10</v>
      </c>
      <c r="C6" t="s">
        <v>26</v>
      </c>
      <c r="D6">
        <v>8</v>
      </c>
      <c r="E6">
        <v>7</v>
      </c>
      <c r="F6">
        <v>5.5</v>
      </c>
      <c r="G6">
        <v>7</v>
      </c>
      <c r="H6">
        <v>5.5</v>
      </c>
      <c r="I6">
        <v>7</v>
      </c>
      <c r="J6">
        <v>7</v>
      </c>
      <c r="K6">
        <v>7</v>
      </c>
      <c r="L6">
        <v>5.5</v>
      </c>
      <c r="M6">
        <v>5.5</v>
      </c>
      <c r="N6">
        <v>7</v>
      </c>
      <c r="O6">
        <v>7</v>
      </c>
      <c r="P6">
        <v>7</v>
      </c>
      <c r="Q6">
        <v>7</v>
      </c>
      <c r="R6">
        <v>8</v>
      </c>
      <c r="S6">
        <v>7</v>
      </c>
      <c r="T6">
        <v>8</v>
      </c>
      <c r="U6">
        <v>7</v>
      </c>
      <c r="V6">
        <v>7</v>
      </c>
      <c r="W6">
        <v>7</v>
      </c>
      <c r="X6">
        <v>5.5</v>
      </c>
      <c r="Y6">
        <v>5.5</v>
      </c>
      <c r="Z6">
        <v>5.5</v>
      </c>
      <c r="AA6">
        <v>7</v>
      </c>
      <c r="AB6">
        <v>7</v>
      </c>
      <c r="AC6">
        <v>7</v>
      </c>
      <c r="AD6" t="s">
        <v>26</v>
      </c>
      <c r="AE6">
        <v>8.5</v>
      </c>
      <c r="AF6">
        <v>7</v>
      </c>
      <c r="AG6">
        <v>7</v>
      </c>
      <c r="AH6">
        <v>5.5</v>
      </c>
      <c r="AI6">
        <v>8</v>
      </c>
      <c r="AJ6">
        <v>6.5</v>
      </c>
      <c r="AK6">
        <v>8</v>
      </c>
      <c r="AL6">
        <v>6.5</v>
      </c>
      <c r="AM6" t="s">
        <v>26</v>
      </c>
      <c r="AN6">
        <v>8</v>
      </c>
      <c r="AO6">
        <v>6.5</v>
      </c>
      <c r="AP6">
        <v>7</v>
      </c>
      <c r="AQ6" t="s">
        <v>26</v>
      </c>
      <c r="AR6" t="s">
        <v>26</v>
      </c>
      <c r="AS6" t="s">
        <v>26</v>
      </c>
      <c r="AT6" t="s">
        <v>26</v>
      </c>
      <c r="AU6" t="s">
        <v>26</v>
      </c>
      <c r="AV6">
        <v>5.5</v>
      </c>
      <c r="AW6" t="s">
        <v>26</v>
      </c>
      <c r="AX6" t="s">
        <v>26</v>
      </c>
      <c r="AY6">
        <v>7</v>
      </c>
      <c r="AZ6" t="s">
        <v>26</v>
      </c>
      <c r="BA6">
        <v>5.5</v>
      </c>
      <c r="BB6">
        <v>7</v>
      </c>
      <c r="BC6">
        <v>5.5</v>
      </c>
      <c r="BD6">
        <v>8</v>
      </c>
      <c r="BE6">
        <v>7</v>
      </c>
      <c r="BF6">
        <v>5.5</v>
      </c>
      <c r="BG6">
        <v>6.5</v>
      </c>
      <c r="BH6">
        <v>6.5</v>
      </c>
      <c r="BI6">
        <v>5.5</v>
      </c>
      <c r="BJ6" t="s">
        <v>26</v>
      </c>
      <c r="BK6" t="s">
        <v>26</v>
      </c>
      <c r="BL6">
        <v>5.5</v>
      </c>
      <c r="BM6">
        <v>6.5</v>
      </c>
      <c r="BN6">
        <v>8</v>
      </c>
      <c r="BO6">
        <v>7</v>
      </c>
      <c r="BP6">
        <v>5.5</v>
      </c>
      <c r="BQ6">
        <v>5.5</v>
      </c>
      <c r="BR6">
        <v>6.5</v>
      </c>
      <c r="BS6">
        <v>6.5</v>
      </c>
      <c r="BT6" t="s">
        <v>26</v>
      </c>
      <c r="BU6" t="s">
        <v>26</v>
      </c>
      <c r="BV6">
        <v>6.5</v>
      </c>
      <c r="BW6">
        <v>5.5</v>
      </c>
      <c r="BX6" t="s">
        <v>26</v>
      </c>
      <c r="BY6">
        <v>6.5</v>
      </c>
      <c r="BZ6" t="s">
        <v>26</v>
      </c>
      <c r="CA6">
        <v>6.5</v>
      </c>
      <c r="CB6">
        <v>5.5</v>
      </c>
      <c r="CC6">
        <v>6.5</v>
      </c>
      <c r="CD6">
        <v>7.5</v>
      </c>
      <c r="CF6">
        <v>6.5</v>
      </c>
      <c r="CG6">
        <v>6.5</v>
      </c>
      <c r="CH6">
        <v>5.5</v>
      </c>
      <c r="CJ6">
        <v>4.5</v>
      </c>
      <c r="CK6">
        <v>6</v>
      </c>
      <c r="CL6">
        <v>6</v>
      </c>
      <c r="CN6">
        <v>6</v>
      </c>
      <c r="CO6">
        <v>6.5</v>
      </c>
      <c r="CQ6">
        <v>6</v>
      </c>
      <c r="CR6">
        <v>5.5</v>
      </c>
      <c r="CS6">
        <v>5.5</v>
      </c>
      <c r="CT6">
        <v>6.5</v>
      </c>
      <c r="CV6">
        <f>COUNT(B6:CL6)</f>
        <v>70</v>
      </c>
      <c r="CW6" s="18">
        <f>AVERAGE(B6:CL6)</f>
        <v>6.6142857142857139</v>
      </c>
      <c r="CX6">
        <f>IF(CV6&gt;1,_xlfn.STDEV.S(B6:CF6),"")</f>
        <v>0.9419445925236869</v>
      </c>
      <c r="CY6">
        <v>1</v>
      </c>
      <c r="CZ6">
        <f>COUNT(CO6:CS6)</f>
        <v>4</v>
      </c>
      <c r="DA6">
        <f>IF(CY6=0,CZ6,0)</f>
        <v>0</v>
      </c>
    </row>
    <row r="7" spans="1:105" x14ac:dyDescent="0.35">
      <c r="A7" t="s">
        <v>9</v>
      </c>
      <c r="B7">
        <v>7</v>
      </c>
      <c r="C7" t="s">
        <v>26</v>
      </c>
      <c r="D7">
        <v>7</v>
      </c>
      <c r="E7">
        <v>5.5</v>
      </c>
      <c r="F7">
        <v>8</v>
      </c>
      <c r="G7">
        <v>7</v>
      </c>
      <c r="H7">
        <v>7</v>
      </c>
      <c r="I7" t="s">
        <v>26</v>
      </c>
      <c r="J7">
        <v>5.5</v>
      </c>
      <c r="K7" t="s">
        <v>26</v>
      </c>
      <c r="L7">
        <v>7</v>
      </c>
      <c r="M7">
        <v>7</v>
      </c>
      <c r="N7">
        <v>8</v>
      </c>
      <c r="O7">
        <v>5.5</v>
      </c>
      <c r="P7">
        <v>5.5</v>
      </c>
      <c r="Q7">
        <v>7</v>
      </c>
      <c r="R7" t="s">
        <v>26</v>
      </c>
      <c r="S7">
        <v>5.5</v>
      </c>
      <c r="T7">
        <v>8</v>
      </c>
      <c r="U7" t="s">
        <v>26</v>
      </c>
      <c r="V7">
        <v>5.5</v>
      </c>
      <c r="W7">
        <v>7</v>
      </c>
      <c r="X7">
        <v>7</v>
      </c>
      <c r="Y7" t="s">
        <v>26</v>
      </c>
      <c r="Z7">
        <v>8</v>
      </c>
      <c r="AA7">
        <v>7</v>
      </c>
      <c r="AB7">
        <v>7</v>
      </c>
      <c r="AC7">
        <v>5.5</v>
      </c>
      <c r="AD7">
        <v>7</v>
      </c>
      <c r="AE7">
        <v>10</v>
      </c>
      <c r="AF7">
        <v>8</v>
      </c>
      <c r="AG7" t="s">
        <v>26</v>
      </c>
      <c r="AH7">
        <v>9.5</v>
      </c>
      <c r="AI7">
        <v>6.5</v>
      </c>
      <c r="AJ7">
        <v>6.5</v>
      </c>
      <c r="AK7">
        <v>6.5</v>
      </c>
      <c r="AL7" t="s">
        <v>26</v>
      </c>
      <c r="AM7">
        <v>8.5</v>
      </c>
      <c r="AN7" t="s">
        <v>26</v>
      </c>
      <c r="AO7" t="s">
        <v>26</v>
      </c>
      <c r="AP7" t="s">
        <v>26</v>
      </c>
      <c r="AQ7">
        <v>5.5</v>
      </c>
      <c r="AR7">
        <v>6.5</v>
      </c>
      <c r="AS7">
        <v>5.5</v>
      </c>
      <c r="AT7">
        <v>6.5</v>
      </c>
      <c r="AU7">
        <v>6.5</v>
      </c>
      <c r="AV7">
        <v>6.5</v>
      </c>
      <c r="AW7" t="s">
        <v>26</v>
      </c>
      <c r="AX7">
        <v>7</v>
      </c>
      <c r="AY7">
        <v>8</v>
      </c>
      <c r="AZ7">
        <v>6.5</v>
      </c>
      <c r="BA7">
        <v>6.5</v>
      </c>
      <c r="BB7">
        <v>5</v>
      </c>
      <c r="BC7">
        <v>4</v>
      </c>
      <c r="BD7">
        <v>5</v>
      </c>
      <c r="BE7">
        <v>6.5</v>
      </c>
      <c r="BF7">
        <v>5.5</v>
      </c>
      <c r="BG7">
        <v>5.5</v>
      </c>
      <c r="BH7">
        <v>5.5</v>
      </c>
      <c r="BI7" t="s">
        <v>26</v>
      </c>
      <c r="BJ7" t="s">
        <v>26</v>
      </c>
      <c r="BK7">
        <v>5.5</v>
      </c>
      <c r="BL7">
        <v>6.5</v>
      </c>
      <c r="BM7">
        <v>5.5</v>
      </c>
      <c r="BN7" t="s">
        <v>26</v>
      </c>
      <c r="BO7" t="s">
        <v>26</v>
      </c>
      <c r="BP7">
        <v>6.5</v>
      </c>
      <c r="BQ7">
        <v>8.5</v>
      </c>
      <c r="BR7">
        <v>7</v>
      </c>
      <c r="BS7">
        <v>6.5</v>
      </c>
      <c r="BT7">
        <v>6.5</v>
      </c>
      <c r="BU7">
        <v>6.5</v>
      </c>
      <c r="BV7" t="s">
        <v>26</v>
      </c>
      <c r="BW7">
        <v>7</v>
      </c>
      <c r="BX7" t="s">
        <v>26</v>
      </c>
      <c r="BY7">
        <v>7</v>
      </c>
      <c r="BZ7">
        <v>7</v>
      </c>
      <c r="CA7">
        <v>6.5</v>
      </c>
      <c r="CB7">
        <v>6.5</v>
      </c>
      <c r="CC7">
        <v>6.5</v>
      </c>
      <c r="CD7">
        <v>6</v>
      </c>
      <c r="CE7">
        <v>6</v>
      </c>
      <c r="CF7">
        <v>7</v>
      </c>
      <c r="CG7">
        <v>6.5</v>
      </c>
      <c r="CI7">
        <v>6</v>
      </c>
      <c r="CJ7">
        <v>6.5</v>
      </c>
      <c r="CK7">
        <v>6.5</v>
      </c>
      <c r="CL7">
        <v>6.5</v>
      </c>
      <c r="CO7">
        <v>7.5</v>
      </c>
      <c r="CP7">
        <v>6.5</v>
      </c>
      <c r="CR7">
        <v>6.5</v>
      </c>
      <c r="CS7">
        <v>6.5</v>
      </c>
      <c r="CV7">
        <f>COUNT(B7:CL7)</f>
        <v>70</v>
      </c>
      <c r="CW7" s="18">
        <f>AVERAGE(B7:CL7)</f>
        <v>6.6071428571428568</v>
      </c>
      <c r="CX7">
        <f>IF(CV7&gt;1,_xlfn.STDEV.S(B7:CF7),"")</f>
        <v>1.0570846156365068</v>
      </c>
      <c r="CY7">
        <v>1</v>
      </c>
      <c r="CZ7">
        <f>COUNT(CO7:CS7)</f>
        <v>4</v>
      </c>
      <c r="DA7">
        <f>IF(CY7=0,CZ7,0)</f>
        <v>0</v>
      </c>
    </row>
    <row r="8" spans="1:105" x14ac:dyDescent="0.35">
      <c r="A8" t="s">
        <v>6</v>
      </c>
      <c r="B8">
        <v>8</v>
      </c>
      <c r="C8">
        <v>7</v>
      </c>
      <c r="D8">
        <v>7</v>
      </c>
      <c r="E8">
        <v>8</v>
      </c>
      <c r="F8">
        <v>5.5</v>
      </c>
      <c r="G8">
        <v>5.5</v>
      </c>
      <c r="H8" t="s">
        <v>26</v>
      </c>
      <c r="I8">
        <v>8</v>
      </c>
      <c r="J8" t="s">
        <v>26</v>
      </c>
      <c r="K8">
        <v>8</v>
      </c>
      <c r="L8" t="s">
        <v>26</v>
      </c>
      <c r="M8" t="s">
        <v>26</v>
      </c>
      <c r="N8">
        <v>5.5</v>
      </c>
      <c r="O8">
        <v>7</v>
      </c>
      <c r="P8">
        <v>5.5</v>
      </c>
      <c r="Q8" t="s">
        <v>26</v>
      </c>
      <c r="R8" t="s">
        <v>26</v>
      </c>
      <c r="S8">
        <v>5.5</v>
      </c>
      <c r="T8">
        <v>7</v>
      </c>
      <c r="U8">
        <v>7</v>
      </c>
      <c r="V8" t="s">
        <v>26</v>
      </c>
      <c r="W8">
        <v>5.5</v>
      </c>
      <c r="X8">
        <v>5.5</v>
      </c>
      <c r="Y8" t="s">
        <v>26</v>
      </c>
      <c r="Z8" t="s">
        <v>26</v>
      </c>
      <c r="AA8">
        <v>5.5</v>
      </c>
      <c r="AB8" t="s">
        <v>26</v>
      </c>
      <c r="AC8" t="s">
        <v>26</v>
      </c>
      <c r="AD8" t="s">
        <v>26</v>
      </c>
      <c r="AE8">
        <v>7</v>
      </c>
      <c r="AF8">
        <v>8</v>
      </c>
      <c r="AG8">
        <v>8.5</v>
      </c>
      <c r="AH8">
        <v>6.5</v>
      </c>
      <c r="AI8" t="s">
        <v>26</v>
      </c>
      <c r="AJ8">
        <v>6.5</v>
      </c>
      <c r="AK8">
        <v>5.5</v>
      </c>
      <c r="AL8">
        <v>5</v>
      </c>
      <c r="AM8">
        <v>6.5</v>
      </c>
      <c r="AN8">
        <v>8</v>
      </c>
      <c r="AO8">
        <v>7</v>
      </c>
      <c r="AP8">
        <v>5.5</v>
      </c>
      <c r="AQ8">
        <v>6.5</v>
      </c>
      <c r="AR8">
        <v>6.5</v>
      </c>
      <c r="AS8">
        <v>5.5</v>
      </c>
      <c r="AT8">
        <v>6.5</v>
      </c>
      <c r="AU8">
        <v>5.5</v>
      </c>
      <c r="AV8">
        <v>5.5</v>
      </c>
      <c r="AW8" t="s">
        <v>26</v>
      </c>
      <c r="AX8">
        <v>10</v>
      </c>
      <c r="AY8">
        <v>6.5</v>
      </c>
      <c r="AZ8">
        <v>5.5</v>
      </c>
      <c r="BA8">
        <v>5.5</v>
      </c>
      <c r="BB8">
        <v>5</v>
      </c>
      <c r="BC8">
        <v>8.5</v>
      </c>
      <c r="BD8">
        <v>6.5</v>
      </c>
      <c r="BE8">
        <v>8</v>
      </c>
      <c r="BF8">
        <v>5</v>
      </c>
      <c r="BG8">
        <v>5</v>
      </c>
      <c r="BH8">
        <v>9.5</v>
      </c>
      <c r="BI8">
        <v>8</v>
      </c>
      <c r="BJ8">
        <v>7</v>
      </c>
      <c r="BK8">
        <v>6.5</v>
      </c>
      <c r="BL8">
        <v>5.5</v>
      </c>
      <c r="BM8">
        <v>7</v>
      </c>
      <c r="BN8">
        <v>7</v>
      </c>
      <c r="BO8">
        <v>8</v>
      </c>
      <c r="BP8">
        <v>5.5</v>
      </c>
      <c r="BQ8">
        <v>5</v>
      </c>
      <c r="BR8">
        <v>7</v>
      </c>
      <c r="BS8">
        <v>5.5</v>
      </c>
      <c r="BT8">
        <v>6.5</v>
      </c>
      <c r="BU8">
        <v>5</v>
      </c>
      <c r="BV8">
        <v>6.5</v>
      </c>
      <c r="BW8">
        <v>5.5</v>
      </c>
      <c r="BX8">
        <v>5.5</v>
      </c>
      <c r="BY8">
        <v>5.5</v>
      </c>
      <c r="BZ8">
        <v>5.5</v>
      </c>
      <c r="CA8">
        <v>5.5</v>
      </c>
      <c r="CB8">
        <v>7</v>
      </c>
      <c r="CC8">
        <v>5.5</v>
      </c>
      <c r="CD8">
        <v>5.5</v>
      </c>
      <c r="CE8">
        <v>5</v>
      </c>
      <c r="CV8">
        <f>COUNT(B8:CI8)</f>
        <v>68</v>
      </c>
      <c r="CW8" s="18">
        <f>AVERAGE(B8:CI8)</f>
        <v>6.4191176470588234</v>
      </c>
      <c r="CX8">
        <f>IF(CV8&gt;1,_xlfn.STDEV.S(B8:CF8),"")</f>
        <v>1.1769245721961776</v>
      </c>
      <c r="CY8">
        <v>0</v>
      </c>
      <c r="CZ8">
        <f>COUNT(CO8:CS8)</f>
        <v>0</v>
      </c>
      <c r="DA8">
        <f>IF(CY8=0,CZ8,0)</f>
        <v>0</v>
      </c>
    </row>
    <row r="9" spans="1:105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R9">
        <v>5.5</v>
      </c>
      <c r="CS9">
        <v>5.5</v>
      </c>
      <c r="CV9">
        <f>COUNT(B9:CI9)</f>
        <v>67</v>
      </c>
      <c r="CW9" s="18">
        <f>AVERAGE(B9:CI9)</f>
        <v>5.9701492537313436</v>
      </c>
      <c r="CX9">
        <f>IF(CV9&gt;1,_xlfn.STDEV.S(B9:CF9),"")</f>
        <v>0.96648378625350351</v>
      </c>
      <c r="CY9">
        <v>0</v>
      </c>
      <c r="CZ9">
        <f>COUNT(CO9:CS9)</f>
        <v>2</v>
      </c>
      <c r="DA9">
        <f>IF(CY9=0,CZ9,0)</f>
        <v>2</v>
      </c>
    </row>
    <row r="10" spans="1:105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M10">
        <v>7</v>
      </c>
      <c r="CN10">
        <v>7.5</v>
      </c>
      <c r="CO10">
        <v>6</v>
      </c>
      <c r="CP10">
        <v>5.5</v>
      </c>
      <c r="CQ10">
        <v>6</v>
      </c>
      <c r="CR10">
        <v>6</v>
      </c>
      <c r="CV10">
        <f>COUNT(B10:CI10)</f>
        <v>62</v>
      </c>
      <c r="CW10" s="18">
        <f>AVERAGE(B10:CI10)</f>
        <v>5.717741935483871</v>
      </c>
      <c r="CX10">
        <f>IF(CV10&gt;1,_xlfn.STDEV.S(B10:CF10),"")</f>
        <v>1.3617531291315086</v>
      </c>
      <c r="CY10">
        <v>1</v>
      </c>
      <c r="CZ10">
        <f>COUNT(CO10:CS10)</f>
        <v>4</v>
      </c>
      <c r="DA10">
        <f>IF(CY10=0,CZ10,0)</f>
        <v>0</v>
      </c>
    </row>
    <row r="11" spans="1:105" x14ac:dyDescent="0.35">
      <c r="A11" t="s">
        <v>2</v>
      </c>
      <c r="B11">
        <v>7</v>
      </c>
      <c r="C11" t="s">
        <v>26</v>
      </c>
      <c r="D11">
        <v>3.5</v>
      </c>
      <c r="E11">
        <v>3.5</v>
      </c>
      <c r="F11">
        <v>5</v>
      </c>
      <c r="G11">
        <v>5</v>
      </c>
      <c r="H11">
        <v>7</v>
      </c>
      <c r="I11" t="s">
        <v>26</v>
      </c>
      <c r="J11">
        <v>5.5</v>
      </c>
      <c r="K11">
        <v>5.5</v>
      </c>
      <c r="L11">
        <v>5</v>
      </c>
      <c r="M11">
        <v>5.5</v>
      </c>
      <c r="N11" t="s">
        <v>26</v>
      </c>
      <c r="O11">
        <v>5</v>
      </c>
      <c r="P11">
        <v>5.5</v>
      </c>
      <c r="Q11">
        <v>3.5</v>
      </c>
      <c r="R11">
        <v>5.5</v>
      </c>
      <c r="S11">
        <v>7</v>
      </c>
      <c r="T11">
        <v>5</v>
      </c>
      <c r="U11">
        <v>5</v>
      </c>
      <c r="V11">
        <v>5</v>
      </c>
      <c r="W11">
        <v>5</v>
      </c>
      <c r="X11">
        <v>5.5</v>
      </c>
      <c r="Y11">
        <v>5</v>
      </c>
      <c r="Z11" t="s">
        <v>26</v>
      </c>
      <c r="AA11">
        <v>7</v>
      </c>
      <c r="AB11">
        <v>5.5</v>
      </c>
      <c r="AC11">
        <v>5.5</v>
      </c>
      <c r="AD11" t="s">
        <v>26</v>
      </c>
      <c r="AE11">
        <v>8.5</v>
      </c>
      <c r="AF11" t="s">
        <v>26</v>
      </c>
      <c r="AG11" t="s">
        <v>26</v>
      </c>
      <c r="AH11">
        <v>8</v>
      </c>
      <c r="AI11">
        <v>5</v>
      </c>
      <c r="AJ11" t="s">
        <v>26</v>
      </c>
      <c r="AK11">
        <v>5.5</v>
      </c>
      <c r="AL11">
        <v>5.5</v>
      </c>
      <c r="AM11">
        <v>6.5</v>
      </c>
      <c r="AN11">
        <v>4</v>
      </c>
      <c r="AO11" t="s">
        <v>26</v>
      </c>
      <c r="AP11" t="s">
        <v>26</v>
      </c>
      <c r="AQ11" t="s">
        <v>26</v>
      </c>
      <c r="AR11" t="s">
        <v>26</v>
      </c>
      <c r="AS11" t="s">
        <v>26</v>
      </c>
      <c r="AT11">
        <v>5</v>
      </c>
      <c r="AU11" t="s">
        <v>26</v>
      </c>
      <c r="AV11" t="s">
        <v>26</v>
      </c>
      <c r="AW11" t="s">
        <v>26</v>
      </c>
      <c r="AX11" t="s">
        <v>26</v>
      </c>
      <c r="AY11" t="s">
        <v>26</v>
      </c>
      <c r="AZ11">
        <v>5</v>
      </c>
      <c r="BA11" t="s">
        <v>26</v>
      </c>
      <c r="BB11" t="s">
        <v>26</v>
      </c>
      <c r="BC11">
        <v>4</v>
      </c>
      <c r="BD11" t="s">
        <v>26</v>
      </c>
      <c r="BE11" t="s">
        <v>26</v>
      </c>
      <c r="BF11" t="s">
        <v>26</v>
      </c>
      <c r="BG11">
        <v>5</v>
      </c>
      <c r="BH11">
        <v>6.5</v>
      </c>
      <c r="BI11">
        <v>5.5</v>
      </c>
      <c r="BJ11">
        <v>5</v>
      </c>
      <c r="BK11">
        <v>5</v>
      </c>
      <c r="BL11">
        <v>5</v>
      </c>
      <c r="BM11">
        <v>5.5</v>
      </c>
      <c r="BN11">
        <v>6.5</v>
      </c>
      <c r="BO11" t="s">
        <v>26</v>
      </c>
      <c r="BP11" t="s">
        <v>26</v>
      </c>
      <c r="BQ11">
        <v>5.5</v>
      </c>
      <c r="BR11" t="s">
        <v>26</v>
      </c>
      <c r="BS11" t="s">
        <v>26</v>
      </c>
      <c r="BT11" t="s">
        <v>26</v>
      </c>
      <c r="BU11" t="s">
        <v>26</v>
      </c>
      <c r="BV11" t="s">
        <v>26</v>
      </c>
      <c r="BW11">
        <v>5.5</v>
      </c>
      <c r="BX11" t="s">
        <v>26</v>
      </c>
      <c r="BY11">
        <v>4</v>
      </c>
      <c r="BZ11">
        <v>5.5</v>
      </c>
      <c r="CA11">
        <v>5.5</v>
      </c>
      <c r="CB11">
        <v>5</v>
      </c>
      <c r="CC11">
        <v>7</v>
      </c>
      <c r="CD11">
        <v>5</v>
      </c>
      <c r="CE11">
        <v>6.5</v>
      </c>
      <c r="CF11">
        <v>5.5</v>
      </c>
      <c r="CG11">
        <v>5.5</v>
      </c>
      <c r="CJ11">
        <v>5.5</v>
      </c>
      <c r="CK11">
        <v>7</v>
      </c>
      <c r="CL11">
        <v>5.5</v>
      </c>
      <c r="CM11">
        <v>6</v>
      </c>
      <c r="CN11">
        <v>6.5</v>
      </c>
      <c r="CO11">
        <v>6</v>
      </c>
      <c r="CP11">
        <v>6</v>
      </c>
      <c r="CQ11">
        <v>6</v>
      </c>
      <c r="CR11">
        <v>6</v>
      </c>
      <c r="CV11">
        <f>COUNT(B11:CR11)</f>
        <v>62</v>
      </c>
      <c r="CW11" s="18">
        <f>AVERAGE(B11:CR11)</f>
        <v>5.540322580645161</v>
      </c>
      <c r="CX11">
        <f>IF(CV11&gt;1,_xlfn.STDEV.S(B11:CF11),"")</f>
        <v>1.0254583642020354</v>
      </c>
      <c r="CY11">
        <v>1</v>
      </c>
      <c r="CZ11">
        <f>COUNT(CO11:CS11)</f>
        <v>4</v>
      </c>
      <c r="DA11">
        <f>IF(CY11=0,CZ11,0)</f>
        <v>0</v>
      </c>
    </row>
    <row r="12" spans="1:105" x14ac:dyDescent="0.35">
      <c r="A12" t="s">
        <v>16</v>
      </c>
      <c r="B12">
        <v>8</v>
      </c>
      <c r="C12" t="s">
        <v>26</v>
      </c>
      <c r="D12" t="s">
        <v>26</v>
      </c>
      <c r="E12" t="s">
        <v>26</v>
      </c>
      <c r="F12" t="s">
        <v>26</v>
      </c>
      <c r="G12" t="s">
        <v>26</v>
      </c>
      <c r="H12" t="s">
        <v>26</v>
      </c>
      <c r="I12" t="s">
        <v>26</v>
      </c>
      <c r="J12" t="s">
        <v>26</v>
      </c>
      <c r="K12" t="s">
        <v>26</v>
      </c>
      <c r="L12" t="s">
        <v>26</v>
      </c>
      <c r="M12" t="s">
        <v>26</v>
      </c>
      <c r="N12" t="s">
        <v>26</v>
      </c>
      <c r="O12" t="s">
        <v>26</v>
      </c>
      <c r="P12" t="s">
        <v>26</v>
      </c>
      <c r="Q12" t="s">
        <v>26</v>
      </c>
      <c r="R12" t="s">
        <v>26</v>
      </c>
      <c r="S12" t="s">
        <v>26</v>
      </c>
      <c r="T12" t="s">
        <v>26</v>
      </c>
      <c r="U12" t="s">
        <v>26</v>
      </c>
      <c r="V12">
        <v>7</v>
      </c>
      <c r="W12">
        <v>7</v>
      </c>
      <c r="X12">
        <v>5.5</v>
      </c>
      <c r="Y12">
        <v>7</v>
      </c>
      <c r="Z12">
        <v>8</v>
      </c>
      <c r="AA12">
        <v>7</v>
      </c>
      <c r="AB12">
        <v>7</v>
      </c>
      <c r="AC12">
        <v>8</v>
      </c>
      <c r="AD12">
        <v>7</v>
      </c>
      <c r="AE12">
        <v>7</v>
      </c>
      <c r="AF12">
        <v>8</v>
      </c>
      <c r="AG12" t="s">
        <v>26</v>
      </c>
      <c r="AH12">
        <v>8</v>
      </c>
      <c r="AI12">
        <v>8</v>
      </c>
      <c r="AJ12">
        <v>6.5</v>
      </c>
      <c r="AK12">
        <v>6.5</v>
      </c>
      <c r="AL12">
        <v>7</v>
      </c>
      <c r="AM12">
        <v>5.5</v>
      </c>
      <c r="AN12">
        <v>5.5</v>
      </c>
      <c r="AO12">
        <v>5.5</v>
      </c>
      <c r="AP12">
        <v>6.5</v>
      </c>
      <c r="AQ12">
        <v>6.5</v>
      </c>
      <c r="AR12">
        <v>7</v>
      </c>
      <c r="AS12">
        <v>5.5</v>
      </c>
      <c r="AT12">
        <v>6.5</v>
      </c>
      <c r="AU12" t="s">
        <v>26</v>
      </c>
      <c r="AV12">
        <v>5</v>
      </c>
      <c r="AW12" t="s">
        <v>26</v>
      </c>
      <c r="AX12">
        <v>7</v>
      </c>
      <c r="AY12">
        <v>6.5</v>
      </c>
      <c r="AZ12">
        <v>8</v>
      </c>
      <c r="BA12">
        <v>5.5</v>
      </c>
      <c r="BB12">
        <v>5.5</v>
      </c>
      <c r="BC12">
        <v>10</v>
      </c>
      <c r="BD12">
        <v>6.5</v>
      </c>
      <c r="BE12">
        <v>8</v>
      </c>
      <c r="BF12">
        <v>5</v>
      </c>
      <c r="BG12">
        <v>7</v>
      </c>
      <c r="BH12">
        <v>6.5</v>
      </c>
      <c r="BI12">
        <v>8.5</v>
      </c>
      <c r="BJ12">
        <v>6.5</v>
      </c>
      <c r="BK12">
        <v>8</v>
      </c>
      <c r="BL12">
        <v>6.5</v>
      </c>
      <c r="BM12">
        <v>6.5</v>
      </c>
      <c r="BN12">
        <v>5.5</v>
      </c>
      <c r="BO12" t="s">
        <v>26</v>
      </c>
      <c r="BP12">
        <v>6.5</v>
      </c>
      <c r="BQ12">
        <v>5.5</v>
      </c>
      <c r="BR12">
        <v>5.5</v>
      </c>
      <c r="BS12">
        <v>6.5</v>
      </c>
      <c r="BT12" t="s">
        <v>26</v>
      </c>
      <c r="BU12">
        <v>6.5</v>
      </c>
      <c r="BV12">
        <v>7</v>
      </c>
      <c r="BW12">
        <v>6.5</v>
      </c>
      <c r="BX12" t="s">
        <v>26</v>
      </c>
      <c r="BY12">
        <v>5.5</v>
      </c>
      <c r="BZ12">
        <v>5.5</v>
      </c>
      <c r="CA12">
        <v>7</v>
      </c>
      <c r="CB12" t="s">
        <v>26</v>
      </c>
      <c r="CC12">
        <v>7</v>
      </c>
      <c r="CD12">
        <v>5.5</v>
      </c>
      <c r="CE12">
        <v>7.5</v>
      </c>
      <c r="CF12">
        <v>6</v>
      </c>
      <c r="CG12">
        <v>6.5</v>
      </c>
      <c r="CH12">
        <v>6.5</v>
      </c>
      <c r="CL12">
        <v>6.5</v>
      </c>
      <c r="CM12">
        <v>6.5</v>
      </c>
      <c r="CN12">
        <v>7</v>
      </c>
      <c r="CO12">
        <v>6.5</v>
      </c>
      <c r="CQ12">
        <v>7</v>
      </c>
      <c r="CR12">
        <v>6</v>
      </c>
      <c r="CS12">
        <v>6</v>
      </c>
      <c r="CT12">
        <v>6</v>
      </c>
      <c r="CV12">
        <f>COUNT(B12:CI12)</f>
        <v>59</v>
      </c>
      <c r="CW12" s="18">
        <f>AVERAGE(B12:CI12)</f>
        <v>6.6779661016949152</v>
      </c>
      <c r="CX12">
        <f>IF(CV12&gt;1,_xlfn.STDEV.S(B12:CF12),"")</f>
        <v>1.0072574989410263</v>
      </c>
      <c r="CY12">
        <v>1</v>
      </c>
      <c r="CZ12">
        <f>COUNT(CO12:CS12)</f>
        <v>4</v>
      </c>
      <c r="DA12">
        <f>IF(CY12=0,CZ12,0)</f>
        <v>0</v>
      </c>
    </row>
    <row r="13" spans="1:105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V13">
        <f>COUNT(B13:CN13)</f>
        <v>56</v>
      </c>
      <c r="CW13" s="18">
        <f>AVERAGE(B13:CN13)</f>
        <v>6.3571428571428568</v>
      </c>
      <c r="CX13">
        <f>IF(CV13&gt;1,_xlfn.STDEV.S(B13:CF13),"")</f>
        <v>1.1769469323774333</v>
      </c>
      <c r="CY13">
        <v>1</v>
      </c>
      <c r="CZ13">
        <f>COUNT(CO13:CS13)</f>
        <v>3</v>
      </c>
      <c r="DA13">
        <f>IF(CY13=0,CZ13,0)</f>
        <v>0</v>
      </c>
    </row>
    <row r="14" spans="1:105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V14">
        <f>COUNT(B14:CI14)</f>
        <v>55</v>
      </c>
      <c r="CW14" s="18">
        <f>AVERAGE(B14:CI14)</f>
        <v>6.3181818181818183</v>
      </c>
      <c r="CX14">
        <f>IF(CV14&gt;1,_xlfn.STDEV.S(B14:CF14),"")</f>
        <v>1.1213885273224193</v>
      </c>
      <c r="CY14">
        <v>1</v>
      </c>
      <c r="CZ14">
        <f>COUNT(CO14:CS14)</f>
        <v>3</v>
      </c>
      <c r="DA14">
        <f>IF(CY14=0,CZ14,0)</f>
        <v>0</v>
      </c>
    </row>
    <row r="15" spans="1:105" x14ac:dyDescent="0.35">
      <c r="A15" t="s">
        <v>14</v>
      </c>
      <c r="B15">
        <v>7</v>
      </c>
      <c r="C15" t="s">
        <v>26</v>
      </c>
      <c r="D15">
        <v>8</v>
      </c>
      <c r="E15" t="s">
        <v>26</v>
      </c>
      <c r="F15">
        <v>5.5</v>
      </c>
      <c r="G15">
        <v>7</v>
      </c>
      <c r="H15">
        <v>3.5</v>
      </c>
      <c r="I15">
        <v>5</v>
      </c>
      <c r="J15" t="s">
        <v>26</v>
      </c>
      <c r="K15">
        <v>5.5</v>
      </c>
      <c r="L15">
        <v>5.5</v>
      </c>
      <c r="M15">
        <v>5.5</v>
      </c>
      <c r="N15" t="s">
        <v>26</v>
      </c>
      <c r="O15">
        <v>5.5</v>
      </c>
      <c r="P15">
        <v>5</v>
      </c>
      <c r="Q15">
        <v>5</v>
      </c>
      <c r="R15">
        <v>5.5</v>
      </c>
      <c r="S15">
        <v>3.5</v>
      </c>
      <c r="T15">
        <v>7</v>
      </c>
      <c r="U15" t="s">
        <v>26</v>
      </c>
      <c r="V15">
        <v>5.5</v>
      </c>
      <c r="W15" t="s">
        <v>26</v>
      </c>
      <c r="X15">
        <v>7</v>
      </c>
      <c r="Y15">
        <v>5.5</v>
      </c>
      <c r="Z15" t="s">
        <v>26</v>
      </c>
      <c r="AA15">
        <v>5.5</v>
      </c>
      <c r="AB15">
        <v>5</v>
      </c>
      <c r="AC15">
        <v>5.5</v>
      </c>
      <c r="AD15">
        <v>5</v>
      </c>
      <c r="AE15" t="s">
        <v>26</v>
      </c>
      <c r="AF15" t="s">
        <v>26</v>
      </c>
      <c r="AG15" t="s">
        <v>26</v>
      </c>
      <c r="AH15" t="s">
        <v>26</v>
      </c>
      <c r="AI15">
        <v>5.5</v>
      </c>
      <c r="AJ15" t="s">
        <v>26</v>
      </c>
      <c r="AK15" t="s">
        <v>26</v>
      </c>
      <c r="AL15">
        <v>6.5</v>
      </c>
      <c r="AM15">
        <v>5.5</v>
      </c>
      <c r="AN15">
        <v>5.5</v>
      </c>
      <c r="AO15">
        <v>5.5</v>
      </c>
      <c r="AP15">
        <v>5.5</v>
      </c>
      <c r="AQ15">
        <v>5.5</v>
      </c>
      <c r="AR15">
        <v>5</v>
      </c>
      <c r="AS15">
        <v>6.5</v>
      </c>
      <c r="AT15">
        <v>6.5</v>
      </c>
      <c r="AU15" t="s">
        <v>26</v>
      </c>
      <c r="AV15">
        <v>5.5</v>
      </c>
      <c r="AW15" t="s">
        <v>26</v>
      </c>
      <c r="AX15" t="s">
        <v>26</v>
      </c>
      <c r="AY15">
        <v>5</v>
      </c>
      <c r="AZ15">
        <v>5.5</v>
      </c>
      <c r="BA15" t="s">
        <v>26</v>
      </c>
      <c r="BB15">
        <v>5.5</v>
      </c>
      <c r="BC15">
        <v>7</v>
      </c>
      <c r="BD15">
        <v>7</v>
      </c>
      <c r="BE15">
        <v>7</v>
      </c>
      <c r="BF15">
        <v>5.5</v>
      </c>
      <c r="BG15">
        <v>6.5</v>
      </c>
      <c r="BH15">
        <v>5.5</v>
      </c>
      <c r="BI15">
        <v>5.5</v>
      </c>
      <c r="BJ15" t="s">
        <v>26</v>
      </c>
      <c r="BK15">
        <v>6.5</v>
      </c>
      <c r="BL15">
        <v>5.5</v>
      </c>
      <c r="BM15">
        <v>5.5</v>
      </c>
      <c r="BN15">
        <v>6.5</v>
      </c>
      <c r="BO15">
        <v>5</v>
      </c>
      <c r="BP15">
        <v>5</v>
      </c>
      <c r="BQ15">
        <v>5.5</v>
      </c>
      <c r="BR15">
        <v>5</v>
      </c>
      <c r="BS15" t="s">
        <v>26</v>
      </c>
      <c r="BT15" t="s">
        <v>26</v>
      </c>
      <c r="BU15" t="s">
        <v>26</v>
      </c>
      <c r="BV15" t="s">
        <v>26</v>
      </c>
      <c r="BW15" t="s">
        <v>26</v>
      </c>
      <c r="BX15" t="s">
        <v>26</v>
      </c>
      <c r="BY15" t="s">
        <v>26</v>
      </c>
      <c r="BZ15" t="s">
        <v>26</v>
      </c>
      <c r="CA15" t="s">
        <v>26</v>
      </c>
      <c r="CB15" t="s">
        <v>26</v>
      </c>
      <c r="CF15">
        <v>5.5</v>
      </c>
      <c r="CV15">
        <f>COUNT(B15:CI15)</f>
        <v>52</v>
      </c>
      <c r="CW15" s="18">
        <f>AVERAGE(B15:CI15)</f>
        <v>5.6923076923076925</v>
      </c>
      <c r="CX15">
        <f>IF(CV15&gt;1,_xlfn.STDEV.S(B15:CF15),"")</f>
        <v>0.84687340856573534</v>
      </c>
      <c r="CY15">
        <v>0</v>
      </c>
      <c r="CZ15">
        <f>COUNT(CO15:CS15)</f>
        <v>0</v>
      </c>
      <c r="DA15">
        <f>IF(CY15=0,CZ15,0)</f>
        <v>0</v>
      </c>
    </row>
    <row r="16" spans="1:105" x14ac:dyDescent="0.35">
      <c r="A16" t="s">
        <v>25</v>
      </c>
      <c r="B16" t="s">
        <v>26</v>
      </c>
      <c r="C16" t="s">
        <v>26</v>
      </c>
      <c r="D16" t="s">
        <v>26</v>
      </c>
      <c r="E16">
        <v>3.5</v>
      </c>
      <c r="F16">
        <v>5.5</v>
      </c>
      <c r="G16">
        <v>3</v>
      </c>
      <c r="H16" t="s">
        <v>26</v>
      </c>
      <c r="I16" t="s">
        <v>26</v>
      </c>
      <c r="J16">
        <v>3.5</v>
      </c>
      <c r="K16" t="s">
        <v>26</v>
      </c>
      <c r="L16">
        <v>1</v>
      </c>
      <c r="M16">
        <v>3.5</v>
      </c>
      <c r="N16">
        <v>5</v>
      </c>
      <c r="O16">
        <v>5.5</v>
      </c>
      <c r="P16">
        <v>3.5</v>
      </c>
      <c r="Q16" t="s">
        <v>26</v>
      </c>
      <c r="R16" t="s">
        <v>26</v>
      </c>
      <c r="S16">
        <v>3</v>
      </c>
      <c r="T16">
        <v>5.5</v>
      </c>
      <c r="U16">
        <v>1</v>
      </c>
      <c r="V16">
        <v>5</v>
      </c>
      <c r="W16">
        <v>5.5</v>
      </c>
      <c r="X16">
        <v>5.5</v>
      </c>
      <c r="Y16" t="s">
        <v>26</v>
      </c>
      <c r="Z16">
        <v>5</v>
      </c>
      <c r="AA16" t="s">
        <v>26</v>
      </c>
      <c r="AB16" t="s">
        <v>26</v>
      </c>
      <c r="AC16">
        <v>3</v>
      </c>
      <c r="AD16">
        <v>3.5</v>
      </c>
      <c r="AE16">
        <v>4</v>
      </c>
      <c r="AF16">
        <v>2</v>
      </c>
      <c r="AG16">
        <v>2.5</v>
      </c>
      <c r="AH16">
        <v>5.5</v>
      </c>
      <c r="AI16" t="s">
        <v>26</v>
      </c>
      <c r="AJ16" t="s">
        <v>26</v>
      </c>
      <c r="AK16">
        <v>5.5</v>
      </c>
      <c r="AL16">
        <v>2</v>
      </c>
      <c r="AM16">
        <v>4</v>
      </c>
      <c r="AN16" t="s">
        <v>26</v>
      </c>
      <c r="AO16">
        <v>6.5</v>
      </c>
      <c r="AP16">
        <v>6.5</v>
      </c>
      <c r="AQ16">
        <v>4</v>
      </c>
      <c r="AR16">
        <v>3.5</v>
      </c>
      <c r="AS16" t="s">
        <v>26</v>
      </c>
      <c r="AT16">
        <v>5.5</v>
      </c>
      <c r="AU16">
        <v>4</v>
      </c>
      <c r="AV16" t="s">
        <v>26</v>
      </c>
      <c r="AW16" t="s">
        <v>26</v>
      </c>
      <c r="AX16">
        <v>6.5</v>
      </c>
      <c r="AY16">
        <v>5</v>
      </c>
      <c r="AZ16">
        <v>5</v>
      </c>
      <c r="BA16">
        <v>5.5</v>
      </c>
      <c r="BB16" t="s">
        <v>26</v>
      </c>
      <c r="BC16">
        <v>4</v>
      </c>
      <c r="BD16" t="s">
        <v>26</v>
      </c>
      <c r="BE16">
        <v>5</v>
      </c>
      <c r="BF16" t="s">
        <v>26</v>
      </c>
      <c r="BG16" t="s">
        <v>26</v>
      </c>
      <c r="BH16" t="s">
        <v>26</v>
      </c>
      <c r="BI16" t="s">
        <v>26</v>
      </c>
      <c r="BJ16" t="s">
        <v>26</v>
      </c>
      <c r="BK16">
        <v>5</v>
      </c>
      <c r="BL16">
        <v>4</v>
      </c>
      <c r="BM16">
        <v>5.5</v>
      </c>
      <c r="BN16" t="s">
        <v>26</v>
      </c>
      <c r="BO16">
        <v>5</v>
      </c>
      <c r="BP16" t="s">
        <v>26</v>
      </c>
      <c r="BQ16" t="s">
        <v>26</v>
      </c>
      <c r="BR16">
        <v>5</v>
      </c>
      <c r="BS16" t="s">
        <v>26</v>
      </c>
      <c r="BT16">
        <v>5.5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>
        <v>5.5</v>
      </c>
      <c r="CB16" t="s">
        <v>26</v>
      </c>
      <c r="CC16">
        <v>4.5</v>
      </c>
      <c r="CE16">
        <v>5</v>
      </c>
      <c r="CF16">
        <v>5.5</v>
      </c>
      <c r="CV16">
        <f>COUNT(B16:CI16)</f>
        <v>47</v>
      </c>
      <c r="CW16" s="18">
        <f>AVERAGE(B16:CI16)</f>
        <v>4.4255319148936172</v>
      </c>
      <c r="CX16">
        <f>IF(CV16&gt;1,_xlfn.STDEV.S(B16:CF16),"")</f>
        <v>1.3391217246854428</v>
      </c>
      <c r="CY16">
        <v>0</v>
      </c>
      <c r="CZ16">
        <f>COUNT(CO16:CS16)</f>
        <v>0</v>
      </c>
      <c r="DA16">
        <f>IF(CY16=0,CZ16,0)</f>
        <v>0</v>
      </c>
    </row>
    <row r="17" spans="1:105" x14ac:dyDescent="0.35">
      <c r="A17" t="s">
        <v>56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>
        <v>5</v>
      </c>
      <c r="R17" t="s">
        <v>26</v>
      </c>
      <c r="S17">
        <v>7</v>
      </c>
      <c r="T17" t="s">
        <v>26</v>
      </c>
      <c r="U17" t="s">
        <v>26</v>
      </c>
      <c r="V17">
        <v>7</v>
      </c>
      <c r="W17" t="s">
        <v>26</v>
      </c>
      <c r="X17">
        <v>5.5</v>
      </c>
      <c r="Y17">
        <v>7</v>
      </c>
      <c r="Z17">
        <v>7</v>
      </c>
      <c r="AA17" t="s">
        <v>26</v>
      </c>
      <c r="AB17">
        <v>7</v>
      </c>
      <c r="AC17">
        <v>3.5</v>
      </c>
      <c r="AD17">
        <v>7</v>
      </c>
      <c r="AE17">
        <v>7</v>
      </c>
      <c r="AF17">
        <v>5.5</v>
      </c>
      <c r="AG17">
        <v>8</v>
      </c>
      <c r="AH17">
        <v>8</v>
      </c>
      <c r="AI17">
        <v>8</v>
      </c>
      <c r="AJ17">
        <v>5.5</v>
      </c>
      <c r="AK17">
        <v>5.5</v>
      </c>
      <c r="AL17">
        <v>7</v>
      </c>
      <c r="AM17">
        <v>5.5</v>
      </c>
      <c r="AN17" t="s">
        <v>26</v>
      </c>
      <c r="AO17">
        <v>5.5</v>
      </c>
      <c r="AP17">
        <v>6.5</v>
      </c>
      <c r="AQ17">
        <v>5</v>
      </c>
      <c r="AR17">
        <v>5.5</v>
      </c>
      <c r="AS17">
        <v>5.5</v>
      </c>
      <c r="AT17">
        <v>5.5</v>
      </c>
      <c r="AU17">
        <v>7</v>
      </c>
      <c r="AV17">
        <v>5</v>
      </c>
      <c r="AW17">
        <v>5.5</v>
      </c>
      <c r="AX17" t="s">
        <v>26</v>
      </c>
      <c r="AY17" t="s">
        <v>26</v>
      </c>
      <c r="AZ17" t="s">
        <v>26</v>
      </c>
      <c r="BA17" t="s">
        <v>26</v>
      </c>
      <c r="BB17" t="s">
        <v>26</v>
      </c>
      <c r="BC17" t="s">
        <v>26</v>
      </c>
      <c r="BD17" t="s">
        <v>26</v>
      </c>
      <c r="BE17" t="s">
        <v>26</v>
      </c>
      <c r="BF17" t="s">
        <v>26</v>
      </c>
      <c r="BG17" t="s">
        <v>26</v>
      </c>
      <c r="BH17" t="s">
        <v>26</v>
      </c>
      <c r="BI17" t="s">
        <v>26</v>
      </c>
      <c r="BJ17" t="s">
        <v>26</v>
      </c>
      <c r="BK17" t="s">
        <v>26</v>
      </c>
      <c r="BL17" t="s">
        <v>26</v>
      </c>
      <c r="BM17" t="s">
        <v>26</v>
      </c>
      <c r="BN17" t="s">
        <v>26</v>
      </c>
      <c r="BO17" t="s">
        <v>26</v>
      </c>
      <c r="BP17">
        <v>5.5</v>
      </c>
      <c r="BQ17">
        <v>5.5</v>
      </c>
      <c r="BR17">
        <v>6.5</v>
      </c>
      <c r="BS17">
        <v>6.5</v>
      </c>
      <c r="BT17" t="s">
        <v>26</v>
      </c>
      <c r="BU17" t="s">
        <v>26</v>
      </c>
      <c r="BV17">
        <v>5.5</v>
      </c>
      <c r="BW17">
        <v>6.5</v>
      </c>
      <c r="BX17" t="s">
        <v>26</v>
      </c>
      <c r="BY17">
        <v>5</v>
      </c>
      <c r="BZ17" t="s">
        <v>26</v>
      </c>
      <c r="CA17">
        <v>5.5</v>
      </c>
      <c r="CB17">
        <v>6.5</v>
      </c>
      <c r="CC17">
        <v>6</v>
      </c>
      <c r="CD17">
        <v>6</v>
      </c>
      <c r="CE17">
        <v>6</v>
      </c>
      <c r="CF17">
        <v>6.5</v>
      </c>
      <c r="CG17">
        <v>6.5</v>
      </c>
      <c r="CH17">
        <v>5.5</v>
      </c>
      <c r="CI17">
        <v>5.5</v>
      </c>
      <c r="CJ17">
        <v>6</v>
      </c>
      <c r="CK17">
        <v>5</v>
      </c>
      <c r="CL17">
        <v>6</v>
      </c>
      <c r="CN17">
        <v>6</v>
      </c>
      <c r="CO17">
        <v>6</v>
      </c>
      <c r="CP17">
        <v>5.5</v>
      </c>
      <c r="CQ17">
        <v>5.5</v>
      </c>
      <c r="CR17">
        <v>6</v>
      </c>
      <c r="CS17">
        <v>5.5</v>
      </c>
      <c r="CT17">
        <v>6</v>
      </c>
      <c r="CV17">
        <f>COUNT(B17:CL17)</f>
        <v>46</v>
      </c>
      <c r="CW17" s="18">
        <f>AVERAGE(B17:CL17)</f>
        <v>6.0652173913043477</v>
      </c>
      <c r="CX17">
        <f>IF(CV17&gt;1,_xlfn.STDEV.S(B17:CF17),"")</f>
        <v>0.9573434129174403</v>
      </c>
      <c r="CY17">
        <v>1</v>
      </c>
      <c r="CZ17">
        <f>COUNT(CO17:CS17)</f>
        <v>5</v>
      </c>
      <c r="DA17">
        <f>IF(CY17=0,CZ17,0)</f>
        <v>0</v>
      </c>
    </row>
    <row r="18" spans="1:105" x14ac:dyDescent="0.35">
      <c r="A18" t="s">
        <v>44</v>
      </c>
      <c r="B18" t="s">
        <v>26</v>
      </c>
      <c r="C18" t="s">
        <v>26</v>
      </c>
      <c r="D18" t="s">
        <v>26</v>
      </c>
      <c r="E18" t="s">
        <v>26</v>
      </c>
      <c r="F18">
        <v>5</v>
      </c>
      <c r="G18">
        <v>3.5</v>
      </c>
      <c r="H18">
        <v>5.5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 t="s">
        <v>26</v>
      </c>
      <c r="Q18">
        <v>5.5</v>
      </c>
      <c r="R18" t="s">
        <v>26</v>
      </c>
      <c r="S18">
        <v>5.5</v>
      </c>
      <c r="T18">
        <v>5.5</v>
      </c>
      <c r="U18" t="s">
        <v>26</v>
      </c>
      <c r="V18" t="s">
        <v>26</v>
      </c>
      <c r="W18" t="s">
        <v>26</v>
      </c>
      <c r="X18" t="s">
        <v>26</v>
      </c>
      <c r="Y18" t="s">
        <v>26</v>
      </c>
      <c r="Z18" t="s">
        <v>26</v>
      </c>
      <c r="AA18" t="s">
        <v>26</v>
      </c>
      <c r="AB18" t="s">
        <v>26</v>
      </c>
      <c r="AC18" t="s">
        <v>26</v>
      </c>
      <c r="AD18" t="s">
        <v>26</v>
      </c>
      <c r="AE18" t="s">
        <v>26</v>
      </c>
      <c r="AF18" t="s">
        <v>26</v>
      </c>
      <c r="AG18">
        <v>8</v>
      </c>
      <c r="AH18" t="s">
        <v>26</v>
      </c>
      <c r="AI18">
        <v>4</v>
      </c>
      <c r="AJ18">
        <v>3.5</v>
      </c>
      <c r="AK18">
        <v>2.5</v>
      </c>
      <c r="AL18">
        <v>5.5</v>
      </c>
      <c r="AM18" t="s">
        <v>26</v>
      </c>
      <c r="AN18">
        <v>5.5</v>
      </c>
      <c r="AO18">
        <v>5.5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>
        <v>5</v>
      </c>
      <c r="AX18">
        <v>5</v>
      </c>
      <c r="AY18">
        <v>5</v>
      </c>
      <c r="AZ18">
        <v>5</v>
      </c>
      <c r="BA18" t="s">
        <v>26</v>
      </c>
      <c r="BB18">
        <v>6.5</v>
      </c>
      <c r="BC18">
        <v>2</v>
      </c>
      <c r="BD18" t="s">
        <v>26</v>
      </c>
      <c r="BE18">
        <v>4</v>
      </c>
      <c r="BF18">
        <v>5.5</v>
      </c>
      <c r="BG18">
        <v>3.5</v>
      </c>
      <c r="BH18">
        <v>4</v>
      </c>
      <c r="BI18">
        <v>5.5</v>
      </c>
      <c r="BJ18">
        <v>5</v>
      </c>
      <c r="BK18">
        <v>5.5</v>
      </c>
      <c r="BL18">
        <v>5</v>
      </c>
      <c r="BM18" t="s">
        <v>26</v>
      </c>
      <c r="BN18" t="s">
        <v>26</v>
      </c>
      <c r="BO18">
        <v>4</v>
      </c>
      <c r="BP18">
        <v>5.5</v>
      </c>
      <c r="BQ18">
        <v>5</v>
      </c>
      <c r="BR18" t="s">
        <v>26</v>
      </c>
      <c r="BS18">
        <v>5</v>
      </c>
      <c r="BT18">
        <v>5</v>
      </c>
      <c r="BU18" t="s">
        <v>26</v>
      </c>
      <c r="BV18">
        <v>4</v>
      </c>
      <c r="BW18" t="s">
        <v>26</v>
      </c>
      <c r="BX18">
        <v>5.5</v>
      </c>
      <c r="BY18" t="s">
        <v>26</v>
      </c>
      <c r="BZ18" t="s">
        <v>26</v>
      </c>
      <c r="CA18" t="s">
        <v>26</v>
      </c>
      <c r="CB18">
        <v>5.5</v>
      </c>
      <c r="CC18">
        <v>5.5</v>
      </c>
      <c r="CD18">
        <v>4.5</v>
      </c>
      <c r="CE18">
        <v>5.5</v>
      </c>
      <c r="CG18">
        <v>6</v>
      </c>
      <c r="CH18">
        <v>6.5</v>
      </c>
      <c r="CI18">
        <v>5.5</v>
      </c>
      <c r="CJ18">
        <v>4.5</v>
      </c>
      <c r="CK18">
        <v>5.5</v>
      </c>
      <c r="CL18">
        <v>6</v>
      </c>
      <c r="CV18">
        <f>COUNT(B18:CL18)</f>
        <v>44</v>
      </c>
      <c r="CW18" s="18">
        <f>AVERAGE(B18:CL18)</f>
        <v>5.0113636363636367</v>
      </c>
      <c r="CX18">
        <f>IF(CV18&gt;1,_xlfn.STDEV.S(B18:CF18),"")</f>
        <v>1.0645089158214895</v>
      </c>
      <c r="CY18">
        <v>0</v>
      </c>
      <c r="CZ18">
        <f>COUNT(CO18:CS18)</f>
        <v>0</v>
      </c>
      <c r="DA18">
        <f>IF(CY18=0,CZ18,0)</f>
        <v>0</v>
      </c>
    </row>
    <row r="19" spans="1:105" x14ac:dyDescent="0.35">
      <c r="A19" t="s">
        <v>55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>
        <v>5.5</v>
      </c>
      <c r="P19" t="s">
        <v>26</v>
      </c>
      <c r="Q19">
        <v>3.5</v>
      </c>
      <c r="R19" t="s">
        <v>26</v>
      </c>
      <c r="S19" t="s">
        <v>26</v>
      </c>
      <c r="T19">
        <v>7</v>
      </c>
      <c r="U19">
        <v>7</v>
      </c>
      <c r="V19">
        <v>5.5</v>
      </c>
      <c r="W19">
        <v>5.5</v>
      </c>
      <c r="X19">
        <v>5.5</v>
      </c>
      <c r="Y19">
        <v>8</v>
      </c>
      <c r="Z19">
        <v>5.5</v>
      </c>
      <c r="AA19">
        <v>5.5</v>
      </c>
      <c r="AB19" t="s">
        <v>26</v>
      </c>
      <c r="AC19">
        <v>5.5</v>
      </c>
      <c r="AD19">
        <v>7</v>
      </c>
      <c r="AE19" t="s">
        <v>26</v>
      </c>
      <c r="AF19">
        <v>8.5</v>
      </c>
      <c r="AG19">
        <v>8.5</v>
      </c>
      <c r="AH19" t="s">
        <v>26</v>
      </c>
      <c r="AI19" t="s">
        <v>26</v>
      </c>
      <c r="AJ19" t="s">
        <v>26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>
        <v>8.5</v>
      </c>
      <c r="AR19">
        <v>8</v>
      </c>
      <c r="AS19">
        <v>5.5</v>
      </c>
      <c r="AT19">
        <v>5.5</v>
      </c>
      <c r="AU19">
        <v>5.5</v>
      </c>
      <c r="AV19">
        <v>5.5</v>
      </c>
      <c r="AW19">
        <v>5.5</v>
      </c>
      <c r="AX19" t="s">
        <v>26</v>
      </c>
      <c r="AY19" t="s">
        <v>26</v>
      </c>
      <c r="AZ19">
        <v>6.5</v>
      </c>
      <c r="BA19" t="s">
        <v>26</v>
      </c>
      <c r="BB19" t="s">
        <v>26</v>
      </c>
      <c r="BC19">
        <v>5</v>
      </c>
      <c r="BD19" t="s">
        <v>26</v>
      </c>
      <c r="BE19">
        <v>6.5</v>
      </c>
      <c r="BF19">
        <v>6.5</v>
      </c>
      <c r="BG19" t="s">
        <v>26</v>
      </c>
      <c r="BH19">
        <v>6.5</v>
      </c>
      <c r="BI19" t="s">
        <v>26</v>
      </c>
      <c r="BJ19">
        <v>5.5</v>
      </c>
      <c r="BK19" t="s">
        <v>26</v>
      </c>
      <c r="BL19" t="s">
        <v>26</v>
      </c>
      <c r="BM19">
        <v>5.5</v>
      </c>
      <c r="BN19">
        <v>5</v>
      </c>
      <c r="BO19">
        <v>6.5</v>
      </c>
      <c r="BP19" t="s">
        <v>26</v>
      </c>
      <c r="BQ19">
        <v>5.5</v>
      </c>
      <c r="BR19">
        <v>7</v>
      </c>
      <c r="BS19">
        <v>6.5</v>
      </c>
      <c r="BT19">
        <v>6.5</v>
      </c>
      <c r="BU19">
        <v>5.5</v>
      </c>
      <c r="BV19" t="s">
        <v>26</v>
      </c>
      <c r="BW19" t="s">
        <v>26</v>
      </c>
      <c r="BX19">
        <v>5.5</v>
      </c>
      <c r="BY19" t="s">
        <v>26</v>
      </c>
      <c r="BZ19">
        <v>5.5</v>
      </c>
      <c r="CA19">
        <v>6.5</v>
      </c>
      <c r="CB19" t="s">
        <v>26</v>
      </c>
      <c r="CK19">
        <v>5.5</v>
      </c>
      <c r="CV19">
        <f>COUNT(B19:CI19)</f>
        <v>38</v>
      </c>
      <c r="CW19" s="18">
        <f>AVERAGE(B19:CI19)</f>
        <v>6.1578947368421053</v>
      </c>
      <c r="CX19">
        <f>IF(CV19&gt;1,_xlfn.STDEV.S(B19:CF19),"")</f>
        <v>1.0973263770680928</v>
      </c>
      <c r="CY19">
        <v>0</v>
      </c>
      <c r="CZ19">
        <f>COUNT(CO19:CS19)</f>
        <v>0</v>
      </c>
      <c r="DA19">
        <f>IF(CY19=0,CZ19,0)</f>
        <v>0</v>
      </c>
    </row>
    <row r="20" spans="1:105" x14ac:dyDescent="0.35">
      <c r="A20" t="s">
        <v>46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>
        <v>5.5</v>
      </c>
      <c r="I20">
        <v>5</v>
      </c>
      <c r="J20">
        <v>5</v>
      </c>
      <c r="K20">
        <v>3</v>
      </c>
      <c r="L20" t="s">
        <v>26</v>
      </c>
      <c r="M20">
        <v>3</v>
      </c>
      <c r="N20">
        <v>3.5</v>
      </c>
      <c r="O20">
        <v>8</v>
      </c>
      <c r="P20">
        <v>7</v>
      </c>
      <c r="Q20">
        <v>3.5</v>
      </c>
      <c r="R20" t="s">
        <v>26</v>
      </c>
      <c r="S20" t="s">
        <v>26</v>
      </c>
      <c r="T20" t="s">
        <v>26</v>
      </c>
      <c r="U20">
        <v>5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 t="s">
        <v>26</v>
      </c>
      <c r="AC20" t="s">
        <v>26</v>
      </c>
      <c r="AD20" t="s">
        <v>26</v>
      </c>
      <c r="AE20" t="s">
        <v>26</v>
      </c>
      <c r="AF20" t="s">
        <v>26</v>
      </c>
      <c r="AG20" t="s">
        <v>26</v>
      </c>
      <c r="AH20">
        <v>5.5</v>
      </c>
      <c r="AI20">
        <v>6.5</v>
      </c>
      <c r="AJ20">
        <v>3.5</v>
      </c>
      <c r="AK20" t="s">
        <v>26</v>
      </c>
      <c r="AL20" t="s">
        <v>26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 t="s">
        <v>26</v>
      </c>
      <c r="AW20" t="s">
        <v>26</v>
      </c>
      <c r="AX20" t="s">
        <v>26</v>
      </c>
      <c r="AY20" t="s">
        <v>26</v>
      </c>
      <c r="AZ20" t="s">
        <v>26</v>
      </c>
      <c r="BA20" t="s">
        <v>26</v>
      </c>
      <c r="BB20" t="s">
        <v>26</v>
      </c>
      <c r="BC20" t="s">
        <v>26</v>
      </c>
      <c r="BD20" t="s">
        <v>26</v>
      </c>
      <c r="BE20" t="s">
        <v>26</v>
      </c>
      <c r="BF20">
        <v>3.5</v>
      </c>
      <c r="BG20">
        <v>5</v>
      </c>
      <c r="BH20">
        <v>4</v>
      </c>
      <c r="BI20">
        <v>5.5</v>
      </c>
      <c r="BJ20">
        <v>3.5</v>
      </c>
      <c r="BK20">
        <v>4</v>
      </c>
      <c r="BL20">
        <v>5.5</v>
      </c>
      <c r="BM20" t="s">
        <v>26</v>
      </c>
      <c r="BN20" t="s">
        <v>26</v>
      </c>
      <c r="BO20">
        <v>5.5</v>
      </c>
      <c r="BP20" t="s">
        <v>26</v>
      </c>
      <c r="BQ20">
        <v>8.5</v>
      </c>
      <c r="BR20">
        <v>5</v>
      </c>
      <c r="BS20" t="s">
        <v>26</v>
      </c>
      <c r="BT20">
        <v>5.5</v>
      </c>
      <c r="BU20">
        <v>6.5</v>
      </c>
      <c r="BV20">
        <v>5</v>
      </c>
      <c r="BW20" t="s">
        <v>26</v>
      </c>
      <c r="BX20">
        <v>5.5</v>
      </c>
      <c r="BY20">
        <v>5.5</v>
      </c>
      <c r="BZ20" t="s">
        <v>26</v>
      </c>
      <c r="CA20">
        <v>5.5</v>
      </c>
      <c r="CB20">
        <v>5.5</v>
      </c>
      <c r="CC20">
        <v>4</v>
      </c>
      <c r="CD20">
        <v>6.5</v>
      </c>
      <c r="CE20">
        <v>6</v>
      </c>
      <c r="CF20">
        <v>6</v>
      </c>
      <c r="CH20">
        <v>5.5</v>
      </c>
      <c r="CI20">
        <v>6</v>
      </c>
      <c r="CJ20">
        <v>5.5</v>
      </c>
      <c r="CM20">
        <v>5.5</v>
      </c>
      <c r="CS20">
        <v>6</v>
      </c>
      <c r="CT20">
        <v>5.5</v>
      </c>
      <c r="CV20">
        <f>COUNT(B20:CJ20)</f>
        <v>37</v>
      </c>
      <c r="CW20" s="18">
        <f>AVERAGE(B20:CJ20)</f>
        <v>5.2027027027027026</v>
      </c>
      <c r="CX20">
        <f>IF(CV20&gt;1,_xlfn.STDEV.S(B20:CF20),"")</f>
        <v>1.3241383031954423</v>
      </c>
      <c r="CY20">
        <v>0</v>
      </c>
      <c r="CZ20">
        <f>COUNT(CO20:CS20)</f>
        <v>1</v>
      </c>
      <c r="DA20">
        <f>IF(CY20=0,CZ20,0)</f>
        <v>1</v>
      </c>
    </row>
    <row r="21" spans="1:105" x14ac:dyDescent="0.35">
      <c r="A21" t="s">
        <v>84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 t="s">
        <v>26</v>
      </c>
      <c r="P21" t="s">
        <v>26</v>
      </c>
      <c r="Q21" t="s">
        <v>26</v>
      </c>
      <c r="R21" t="s">
        <v>26</v>
      </c>
      <c r="S21" t="s">
        <v>26</v>
      </c>
      <c r="T21" t="s">
        <v>26</v>
      </c>
      <c r="U21" t="s">
        <v>26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>
        <v>3.5</v>
      </c>
      <c r="AC21">
        <v>5.5</v>
      </c>
      <c r="AD21" t="s">
        <v>26</v>
      </c>
      <c r="AE21">
        <v>8</v>
      </c>
      <c r="AF21">
        <v>7</v>
      </c>
      <c r="AG21">
        <v>8</v>
      </c>
      <c r="AH21">
        <v>5.5</v>
      </c>
      <c r="AI21">
        <v>6.5</v>
      </c>
      <c r="AJ21" t="s">
        <v>26</v>
      </c>
      <c r="AK21" t="s">
        <v>26</v>
      </c>
      <c r="AL21">
        <v>5.5</v>
      </c>
      <c r="AM21" t="s">
        <v>26</v>
      </c>
      <c r="AN21" t="s">
        <v>26</v>
      </c>
      <c r="AO21">
        <v>6.5</v>
      </c>
      <c r="AP21">
        <v>7</v>
      </c>
      <c r="AQ21">
        <v>6.5</v>
      </c>
      <c r="AR21" t="s">
        <v>26</v>
      </c>
      <c r="AS21" t="s">
        <v>26</v>
      </c>
      <c r="AT21">
        <v>5</v>
      </c>
      <c r="AU21">
        <v>5.5</v>
      </c>
      <c r="AV21">
        <v>5.5</v>
      </c>
      <c r="AW21">
        <v>5</v>
      </c>
      <c r="AX21">
        <v>5.5</v>
      </c>
      <c r="AY21" t="s">
        <v>26</v>
      </c>
      <c r="AZ21">
        <v>5.5</v>
      </c>
      <c r="BA21">
        <v>6.5</v>
      </c>
      <c r="BB21">
        <v>6.5</v>
      </c>
      <c r="BC21">
        <v>4</v>
      </c>
      <c r="BD21">
        <v>5</v>
      </c>
      <c r="BE21">
        <v>5</v>
      </c>
      <c r="BF21">
        <v>5</v>
      </c>
      <c r="BG21">
        <v>5.5</v>
      </c>
      <c r="BH21" t="s">
        <v>26</v>
      </c>
      <c r="BI21">
        <v>5</v>
      </c>
      <c r="BJ21" t="s">
        <v>26</v>
      </c>
      <c r="BK21" t="s">
        <v>26</v>
      </c>
      <c r="BL21">
        <v>5.5</v>
      </c>
      <c r="BM21">
        <v>5.5</v>
      </c>
      <c r="BN21">
        <v>6.5</v>
      </c>
      <c r="BO21">
        <v>5.5</v>
      </c>
      <c r="BP21" t="s">
        <v>26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>
        <v>5.5</v>
      </c>
      <c r="BX21" t="s">
        <v>26</v>
      </c>
      <c r="BY21" t="s">
        <v>26</v>
      </c>
      <c r="BZ21" t="s">
        <v>26</v>
      </c>
      <c r="CA21">
        <v>5.5</v>
      </c>
      <c r="CB21">
        <v>6.5</v>
      </c>
      <c r="CC21">
        <v>6</v>
      </c>
      <c r="CD21">
        <v>5.5</v>
      </c>
      <c r="CJ21">
        <v>6</v>
      </c>
      <c r="CK21">
        <v>6.5</v>
      </c>
      <c r="CN21">
        <v>5.5</v>
      </c>
      <c r="CO21">
        <v>5.5</v>
      </c>
      <c r="CR21">
        <v>5.5</v>
      </c>
      <c r="CT21">
        <v>6</v>
      </c>
      <c r="CV21">
        <f>COUNT(B21:CI21)</f>
        <v>36</v>
      </c>
      <c r="CW21" s="18">
        <f>AVERAGE(B21:CI21)</f>
        <v>5.7361111111111107</v>
      </c>
      <c r="CX21">
        <f>IF(CV21&gt;1,_xlfn.STDEV.S(B21:CF21),"")</f>
        <v>0.92956296268047622</v>
      </c>
      <c r="CY21">
        <v>1</v>
      </c>
      <c r="CZ21">
        <f>COUNT(CO21:CS21)</f>
        <v>2</v>
      </c>
      <c r="DA21">
        <f>IF(CY21=0,CZ21,0)</f>
        <v>0</v>
      </c>
    </row>
    <row r="22" spans="1:105" x14ac:dyDescent="0.35">
      <c r="A22" t="s">
        <v>15</v>
      </c>
      <c r="B22">
        <v>7</v>
      </c>
      <c r="C22">
        <v>5</v>
      </c>
      <c r="D22" t="s">
        <v>26</v>
      </c>
      <c r="E22" t="s">
        <v>26</v>
      </c>
      <c r="F22" t="s">
        <v>26</v>
      </c>
      <c r="G22">
        <v>5.5</v>
      </c>
      <c r="H22">
        <v>3.5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 t="s">
        <v>26</v>
      </c>
      <c r="P22">
        <v>5.5</v>
      </c>
      <c r="Q22">
        <v>5</v>
      </c>
      <c r="R22">
        <v>7</v>
      </c>
      <c r="S22">
        <v>5.5</v>
      </c>
      <c r="T22">
        <v>5.5</v>
      </c>
      <c r="U22">
        <v>7</v>
      </c>
      <c r="V22">
        <v>5</v>
      </c>
      <c r="W22">
        <v>5.5</v>
      </c>
      <c r="X22">
        <v>5</v>
      </c>
      <c r="Y22">
        <v>7</v>
      </c>
      <c r="Z22" t="s">
        <v>26</v>
      </c>
      <c r="AA22">
        <v>7</v>
      </c>
      <c r="AB22">
        <v>5.5</v>
      </c>
      <c r="AC22" t="s">
        <v>26</v>
      </c>
      <c r="AD22">
        <v>5.5</v>
      </c>
      <c r="AE22" t="s">
        <v>26</v>
      </c>
      <c r="AF22" t="s">
        <v>26</v>
      </c>
      <c r="AG22" t="s">
        <v>26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 t="s">
        <v>26</v>
      </c>
      <c r="AR22" t="s">
        <v>26</v>
      </c>
      <c r="AS22" t="s">
        <v>26</v>
      </c>
      <c r="AT22" t="s">
        <v>26</v>
      </c>
      <c r="AU22" t="s">
        <v>26</v>
      </c>
      <c r="AV22" t="s">
        <v>26</v>
      </c>
      <c r="AW22" t="s">
        <v>26</v>
      </c>
      <c r="AX22" t="s">
        <v>26</v>
      </c>
      <c r="AY22" t="s">
        <v>26</v>
      </c>
      <c r="AZ22" t="s">
        <v>26</v>
      </c>
      <c r="BA22" t="s">
        <v>26</v>
      </c>
      <c r="BB22">
        <v>3.5</v>
      </c>
      <c r="BC22">
        <v>4</v>
      </c>
      <c r="BD22">
        <v>5.5</v>
      </c>
      <c r="BE22">
        <v>8.5</v>
      </c>
      <c r="BF22" t="s">
        <v>26</v>
      </c>
      <c r="BG22" t="s">
        <v>26</v>
      </c>
      <c r="BH22">
        <v>5.5</v>
      </c>
      <c r="BI22" t="s">
        <v>26</v>
      </c>
      <c r="BJ22">
        <v>5</v>
      </c>
      <c r="BK22">
        <v>6.5</v>
      </c>
      <c r="BL22">
        <v>5.5</v>
      </c>
      <c r="BM22">
        <v>5.5</v>
      </c>
      <c r="BN22">
        <v>6.5</v>
      </c>
      <c r="BO22" t="s">
        <v>26</v>
      </c>
      <c r="BP22" t="s">
        <v>26</v>
      </c>
      <c r="BQ22" t="s">
        <v>26</v>
      </c>
      <c r="BR22">
        <v>5.5</v>
      </c>
      <c r="BS22">
        <v>5.5</v>
      </c>
      <c r="BT22" t="s">
        <v>26</v>
      </c>
      <c r="BU22" t="s">
        <v>26</v>
      </c>
      <c r="BV22" t="s">
        <v>26</v>
      </c>
      <c r="BW22">
        <v>6.5</v>
      </c>
      <c r="BX22">
        <v>5.5</v>
      </c>
      <c r="BY22">
        <v>5.5</v>
      </c>
      <c r="BZ22" t="s">
        <v>26</v>
      </c>
      <c r="CA22">
        <v>5</v>
      </c>
      <c r="CB22">
        <v>5.5</v>
      </c>
      <c r="CC22">
        <v>5</v>
      </c>
      <c r="CI22">
        <v>5</v>
      </c>
      <c r="CJ22">
        <v>6</v>
      </c>
      <c r="CK22">
        <v>6</v>
      </c>
      <c r="CL22">
        <v>6</v>
      </c>
      <c r="CM22">
        <v>6.5</v>
      </c>
      <c r="CN22">
        <v>6.5</v>
      </c>
      <c r="CO22">
        <v>6</v>
      </c>
      <c r="CP22">
        <v>5.5</v>
      </c>
      <c r="CQ22">
        <v>6.5</v>
      </c>
      <c r="CR22">
        <v>5.5</v>
      </c>
      <c r="CS22">
        <v>5.5</v>
      </c>
      <c r="CT22">
        <v>6</v>
      </c>
      <c r="CV22">
        <f>COUNT(B22:CI22)</f>
        <v>36</v>
      </c>
      <c r="CW22" s="18">
        <f>AVERAGE(B22:CI22)</f>
        <v>5.6111111111111107</v>
      </c>
      <c r="CX22">
        <f>IF(CV22&gt;1,_xlfn.STDEV.S(B22:CF22),"")</f>
        <v>1.0098256776095882</v>
      </c>
      <c r="CY22">
        <v>1</v>
      </c>
      <c r="CZ22">
        <f>COUNT(CO22:CS22)</f>
        <v>5</v>
      </c>
      <c r="DA22">
        <f>IF(CY22=0,CZ22,0)</f>
        <v>0</v>
      </c>
    </row>
    <row r="23" spans="1:105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f>COUNT(B23:CN23)</f>
        <v>30</v>
      </c>
      <c r="CW23" s="18">
        <f>AVERAGE(B23:CN23)</f>
        <v>6.4</v>
      </c>
      <c r="CX23">
        <f>IF(CV23&gt;1,_xlfn.STDEV.S(B23:CF23),"")</f>
        <v>0.90960483309014595</v>
      </c>
      <c r="CY23">
        <v>0</v>
      </c>
      <c r="CZ23">
        <f>COUNT(CO23:CS23)</f>
        <v>0</v>
      </c>
      <c r="DA23">
        <f>IF(CY23=0,CZ23,0)</f>
        <v>0</v>
      </c>
    </row>
    <row r="24" spans="1:105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R24">
        <v>6</v>
      </c>
      <c r="CV24">
        <f>COUNT(B24:CI24)</f>
        <v>25</v>
      </c>
      <c r="CW24" s="18">
        <f>AVERAGE(B24:CI24)</f>
        <v>5.4</v>
      </c>
      <c r="CX24">
        <f>IF(CV24&gt;1,_xlfn.STDEV.S(B24:CF24),"")</f>
        <v>0.71728150235677346</v>
      </c>
      <c r="CY24">
        <v>0</v>
      </c>
      <c r="CZ24">
        <f>COUNT(CO24:CS24)</f>
        <v>1</v>
      </c>
      <c r="DA24">
        <f>IF(CY24=0,CZ24,0)</f>
        <v>1</v>
      </c>
    </row>
    <row r="25" spans="1:105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V25">
        <f>COUNT(B25:CI25)</f>
        <v>19</v>
      </c>
      <c r="CW25" s="18">
        <f>AVERAGE(B25:CI25)</f>
        <v>5.7894736842105265</v>
      </c>
      <c r="CX25">
        <f>IF(CV25&gt;1,_xlfn.STDEV.S(B25:CF25),"")</f>
        <v>1.3674366679797902</v>
      </c>
      <c r="CY25">
        <v>0</v>
      </c>
      <c r="CZ25">
        <f>COUNT(CO25:CS25)</f>
        <v>0</v>
      </c>
      <c r="DA25">
        <f>IF(CY25=0,CZ25,0)</f>
        <v>0</v>
      </c>
    </row>
    <row r="26" spans="1:105" x14ac:dyDescent="0.35">
      <c r="A26" t="s">
        <v>81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>
        <v>7</v>
      </c>
      <c r="AA26" t="s">
        <v>26</v>
      </c>
      <c r="AB26" t="s">
        <v>26</v>
      </c>
      <c r="AC26" t="s">
        <v>26</v>
      </c>
      <c r="AD26">
        <v>8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 t="s">
        <v>26</v>
      </c>
      <c r="AO26" t="s">
        <v>26</v>
      </c>
      <c r="AP26" t="s">
        <v>26</v>
      </c>
      <c r="AQ26" t="s">
        <v>26</v>
      </c>
      <c r="AR26" t="s">
        <v>26</v>
      </c>
      <c r="AS26">
        <v>5.5</v>
      </c>
      <c r="AT26" t="s">
        <v>26</v>
      </c>
      <c r="AU26" t="s">
        <v>26</v>
      </c>
      <c r="AV26" t="s">
        <v>26</v>
      </c>
      <c r="AW26" t="s">
        <v>26</v>
      </c>
      <c r="AX26" t="s">
        <v>26</v>
      </c>
      <c r="AY26" t="s">
        <v>26</v>
      </c>
      <c r="AZ26" t="s">
        <v>26</v>
      </c>
      <c r="BA26" t="s">
        <v>26</v>
      </c>
      <c r="BB26" t="s">
        <v>26</v>
      </c>
      <c r="BC26" t="s">
        <v>26</v>
      </c>
      <c r="BD26" t="s">
        <v>26</v>
      </c>
      <c r="BE26" t="s">
        <v>26</v>
      </c>
      <c r="BF26" t="s">
        <v>26</v>
      </c>
      <c r="BG26" t="s">
        <v>26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 t="s">
        <v>26</v>
      </c>
      <c r="BW26" t="s">
        <v>26</v>
      </c>
      <c r="BX26" t="s">
        <v>26</v>
      </c>
      <c r="BY26" t="s">
        <v>26</v>
      </c>
      <c r="BZ26">
        <v>6.5</v>
      </c>
      <c r="CA26" t="s">
        <v>26</v>
      </c>
      <c r="CB26" t="s">
        <v>26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CV26">
        <f>COUNT(B26:CT26)</f>
        <v>19</v>
      </c>
      <c r="CW26" s="18">
        <f>AVERAGE(B26:CT26)</f>
        <v>6.2368421052631575</v>
      </c>
      <c r="CX26">
        <f>IF(CV26&gt;1,_xlfn.STDEV.S(B26:CF26),"")</f>
        <v>0.90829510622924903</v>
      </c>
      <c r="CY26">
        <v>1</v>
      </c>
      <c r="CZ26">
        <f>COUNT(CO26:CS26)</f>
        <v>5</v>
      </c>
      <c r="DA26">
        <f>IF(CY26=0,CZ26,0)</f>
        <v>0</v>
      </c>
    </row>
    <row r="27" spans="1:105" x14ac:dyDescent="0.35">
      <c r="A27" t="s">
        <v>346</v>
      </c>
      <c r="B27" t="s">
        <v>26</v>
      </c>
      <c r="C27" t="s">
        <v>26</v>
      </c>
      <c r="D27" t="s">
        <v>26</v>
      </c>
      <c r="E27" t="s">
        <v>26</v>
      </c>
      <c r="F27" t="s">
        <v>26</v>
      </c>
      <c r="G27" t="s">
        <v>26</v>
      </c>
      <c r="H27" t="s">
        <v>26</v>
      </c>
      <c r="I27" t="s">
        <v>26</v>
      </c>
      <c r="J27" t="s">
        <v>26</v>
      </c>
      <c r="K27" t="s">
        <v>26</v>
      </c>
      <c r="L27" t="s">
        <v>26</v>
      </c>
      <c r="M27" t="s">
        <v>26</v>
      </c>
      <c r="N27" t="s">
        <v>26</v>
      </c>
      <c r="O27" t="s">
        <v>26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 t="s">
        <v>26</v>
      </c>
      <c r="AB27" t="s">
        <v>26</v>
      </c>
      <c r="AC27" t="s">
        <v>26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 t="s">
        <v>26</v>
      </c>
      <c r="AJ27" t="s">
        <v>26</v>
      </c>
      <c r="AK27" t="s">
        <v>26</v>
      </c>
      <c r="AL27" t="s">
        <v>26</v>
      </c>
      <c r="AM27" t="s">
        <v>26</v>
      </c>
      <c r="AN27">
        <v>6.5</v>
      </c>
      <c r="AO27">
        <v>5.5</v>
      </c>
      <c r="AP27" t="s">
        <v>26</v>
      </c>
      <c r="AQ27">
        <v>7</v>
      </c>
      <c r="AR27" t="s">
        <v>26</v>
      </c>
      <c r="AS27">
        <v>5.5</v>
      </c>
      <c r="AT27">
        <v>5.5</v>
      </c>
      <c r="AU27">
        <v>7</v>
      </c>
      <c r="AV27" t="s">
        <v>26</v>
      </c>
      <c r="AW27">
        <v>5.5</v>
      </c>
      <c r="AX27">
        <v>5</v>
      </c>
      <c r="AY27">
        <v>7</v>
      </c>
      <c r="AZ27">
        <v>6.5</v>
      </c>
      <c r="BA27">
        <v>5.5</v>
      </c>
      <c r="BB27" t="s">
        <v>26</v>
      </c>
      <c r="BC27">
        <v>5</v>
      </c>
      <c r="BD27" t="s">
        <v>26</v>
      </c>
      <c r="BE27">
        <v>5</v>
      </c>
      <c r="BF27">
        <v>6.5</v>
      </c>
      <c r="BG27">
        <v>5.5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>
        <v>5.5</v>
      </c>
      <c r="BW27">
        <v>6.5</v>
      </c>
      <c r="BX27" t="s">
        <v>26</v>
      </c>
      <c r="BY27">
        <v>6.5</v>
      </c>
      <c r="BZ27" t="s">
        <v>26</v>
      </c>
      <c r="CA27" t="s">
        <v>26</v>
      </c>
      <c r="CB27" t="s">
        <v>26</v>
      </c>
      <c r="CV27">
        <f>COUNT(B27:CI27)</f>
        <v>18</v>
      </c>
      <c r="CW27" s="18">
        <f>AVERAGE(B27:CI27)</f>
        <v>5.9444444444444446</v>
      </c>
      <c r="CX27">
        <f>IF(CV27&gt;1,_xlfn.STDEV.S(B27:CF27),"")</f>
        <v>0.72535769855270305</v>
      </c>
      <c r="CY27">
        <v>0</v>
      </c>
      <c r="CZ27">
        <f>COUNT(CO27:CS27)</f>
        <v>0</v>
      </c>
      <c r="DA27">
        <f>IF(CY27=0,CZ27,0)</f>
        <v>0</v>
      </c>
    </row>
    <row r="28" spans="1:105" x14ac:dyDescent="0.35">
      <c r="A28" t="s">
        <v>8</v>
      </c>
      <c r="B28">
        <v>5.5</v>
      </c>
      <c r="C28" t="s">
        <v>26</v>
      </c>
      <c r="D28">
        <v>3</v>
      </c>
      <c r="E28" t="s">
        <v>26</v>
      </c>
      <c r="F28" t="s">
        <v>26</v>
      </c>
      <c r="G28">
        <v>5</v>
      </c>
      <c r="H28">
        <v>3</v>
      </c>
      <c r="I28">
        <v>3.5</v>
      </c>
      <c r="J28">
        <v>7</v>
      </c>
      <c r="K28">
        <v>7</v>
      </c>
      <c r="L28" t="s">
        <v>26</v>
      </c>
      <c r="M28" t="s">
        <v>26</v>
      </c>
      <c r="N28" t="s">
        <v>26</v>
      </c>
      <c r="O28">
        <v>5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>
        <v>5.5</v>
      </c>
      <c r="V28" t="s">
        <v>26</v>
      </c>
      <c r="W28" t="s">
        <v>26</v>
      </c>
      <c r="X28" t="s">
        <v>26</v>
      </c>
      <c r="Y28" t="s">
        <v>26</v>
      </c>
      <c r="Z28" t="s">
        <v>26</v>
      </c>
      <c r="AA28">
        <v>7</v>
      </c>
      <c r="AB28" t="s">
        <v>26</v>
      </c>
      <c r="AC28">
        <v>7</v>
      </c>
      <c r="AD28" t="s">
        <v>26</v>
      </c>
      <c r="AE28" t="s">
        <v>26</v>
      </c>
      <c r="AF28" t="s">
        <v>26</v>
      </c>
      <c r="AG28" t="s">
        <v>26</v>
      </c>
      <c r="AH28" t="s">
        <v>26</v>
      </c>
      <c r="AI28">
        <v>5.5</v>
      </c>
      <c r="AJ28">
        <v>5.5</v>
      </c>
      <c r="AK28" t="s">
        <v>26</v>
      </c>
      <c r="AL28" t="s">
        <v>26</v>
      </c>
      <c r="AM28" t="s">
        <v>26</v>
      </c>
      <c r="AN28">
        <v>5.5</v>
      </c>
      <c r="AO28" t="s">
        <v>26</v>
      </c>
      <c r="AP28">
        <v>6.5</v>
      </c>
      <c r="AQ28">
        <v>4</v>
      </c>
      <c r="AR28" t="s">
        <v>26</v>
      </c>
      <c r="AS28" t="s">
        <v>26</v>
      </c>
      <c r="AT28" t="s">
        <v>26</v>
      </c>
      <c r="AU28" t="s">
        <v>26</v>
      </c>
      <c r="AV28">
        <v>5</v>
      </c>
      <c r="AW28" t="s">
        <v>26</v>
      </c>
      <c r="AX28" t="s">
        <v>26</v>
      </c>
      <c r="AY28" t="s">
        <v>26</v>
      </c>
      <c r="AZ28" t="s">
        <v>26</v>
      </c>
      <c r="BA28" t="s">
        <v>26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 t="s">
        <v>26</v>
      </c>
      <c r="BK28" t="s">
        <v>26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 t="s">
        <v>26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V28">
        <f>COUNT(B28:CI28)</f>
        <v>17</v>
      </c>
      <c r="CW28" s="18">
        <f>AVERAGE(B28:CI28)</f>
        <v>5.3235294117647056</v>
      </c>
      <c r="CX28">
        <f>IF(CV28&gt;1,_xlfn.STDEV.S(B28:CF28),"")</f>
        <v>1.3456083251473603</v>
      </c>
      <c r="CY28">
        <v>0</v>
      </c>
      <c r="CZ28">
        <f>COUNT(CO28:CS28)</f>
        <v>0</v>
      </c>
      <c r="DA28">
        <f>IF(CY28=0,CZ28,0)</f>
        <v>0</v>
      </c>
    </row>
    <row r="29" spans="1:105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v>6.5</v>
      </c>
      <c r="CM29">
        <v>7.5</v>
      </c>
      <c r="CN29">
        <v>6</v>
      </c>
      <c r="CO29">
        <v>6.5</v>
      </c>
      <c r="CQ29">
        <v>6.5</v>
      </c>
      <c r="CV29">
        <f>COUNT(B29:CI29)</f>
        <v>16</v>
      </c>
      <c r="CW29" s="18">
        <f>AVERAGE(B29:CI29)</f>
        <v>6.65625</v>
      </c>
      <c r="CX29">
        <f>IF(CV29&gt;1,_xlfn.STDEV.S(B29:CF29),"")</f>
        <v>0.74651970279870483</v>
      </c>
      <c r="CY29">
        <v>1</v>
      </c>
      <c r="CZ29">
        <f>COUNT(CO29:CS29)</f>
        <v>2</v>
      </c>
      <c r="DA29">
        <f>IF(CY29=0,CZ29,0)</f>
        <v>0</v>
      </c>
    </row>
    <row r="30" spans="1:105" x14ac:dyDescent="0.35">
      <c r="A30" t="s">
        <v>68</v>
      </c>
      <c r="B30" t="s">
        <v>26</v>
      </c>
      <c r="C30" t="s">
        <v>26</v>
      </c>
      <c r="D30" t="s">
        <v>26</v>
      </c>
      <c r="E30" t="s">
        <v>26</v>
      </c>
      <c r="F30" t="s">
        <v>26</v>
      </c>
      <c r="G30" t="s">
        <v>26</v>
      </c>
      <c r="H30" t="s">
        <v>26</v>
      </c>
      <c r="I30" t="s">
        <v>26</v>
      </c>
      <c r="J30" t="s">
        <v>26</v>
      </c>
      <c r="K30" t="s">
        <v>26</v>
      </c>
      <c r="L30" t="s">
        <v>26</v>
      </c>
      <c r="M30" t="s">
        <v>26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>
        <v>5.5</v>
      </c>
      <c r="Y30" t="s">
        <v>26</v>
      </c>
      <c r="Z30">
        <v>5</v>
      </c>
      <c r="AA30">
        <v>3</v>
      </c>
      <c r="AB30">
        <v>1.5</v>
      </c>
      <c r="AC30" t="s">
        <v>26</v>
      </c>
      <c r="AD30" t="s">
        <v>26</v>
      </c>
      <c r="AE30" t="s">
        <v>26</v>
      </c>
      <c r="AF30" t="s">
        <v>26</v>
      </c>
      <c r="AG30">
        <v>7</v>
      </c>
      <c r="AH30">
        <v>5.5</v>
      </c>
      <c r="AI30" t="s">
        <v>26</v>
      </c>
      <c r="AJ30">
        <v>5</v>
      </c>
      <c r="AK30">
        <v>5.5</v>
      </c>
      <c r="AL30" t="s">
        <v>26</v>
      </c>
      <c r="AM30" t="s">
        <v>26</v>
      </c>
      <c r="AN30" t="s">
        <v>26</v>
      </c>
      <c r="AO30">
        <v>4</v>
      </c>
      <c r="AP30">
        <v>6.5</v>
      </c>
      <c r="AQ30" t="s">
        <v>26</v>
      </c>
      <c r="AR30">
        <v>3.5</v>
      </c>
      <c r="AS30" t="s">
        <v>26</v>
      </c>
      <c r="AT30" t="s">
        <v>26</v>
      </c>
      <c r="AU30" t="s">
        <v>26</v>
      </c>
      <c r="AV30" t="s">
        <v>26</v>
      </c>
      <c r="AW30">
        <v>3.5</v>
      </c>
      <c r="AX30" t="s">
        <v>26</v>
      </c>
      <c r="AY30" t="s">
        <v>26</v>
      </c>
      <c r="AZ30" t="s">
        <v>26</v>
      </c>
      <c r="BA30">
        <v>2.5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>
        <v>6.5</v>
      </c>
      <c r="BK30">
        <v>4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>
        <v>4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 t="s">
        <v>26</v>
      </c>
      <c r="CB30" t="s">
        <v>26</v>
      </c>
      <c r="CV30">
        <f>COUNT(B30:CI30)</f>
        <v>16</v>
      </c>
      <c r="CW30" s="18">
        <f>AVERAGE(B30:CI30)</f>
        <v>4.53125</v>
      </c>
      <c r="CX30">
        <f>IF(CV30&gt;1,_xlfn.STDEV.S(B30:CF30),"")</f>
        <v>1.5434674167816653</v>
      </c>
      <c r="CY30">
        <v>0</v>
      </c>
      <c r="CZ30">
        <f>COUNT(CO30:CS30)</f>
        <v>0</v>
      </c>
      <c r="DA30">
        <f>IF(CY30=0,CZ30,0)</f>
        <v>0</v>
      </c>
    </row>
    <row r="31" spans="1:105" x14ac:dyDescent="0.35">
      <c r="A31" t="s">
        <v>7</v>
      </c>
      <c r="B31">
        <v>5.5</v>
      </c>
      <c r="C31">
        <v>0</v>
      </c>
      <c r="D31">
        <v>3.5</v>
      </c>
      <c r="E31">
        <v>3</v>
      </c>
      <c r="F31">
        <v>8</v>
      </c>
      <c r="G31">
        <v>5</v>
      </c>
      <c r="H31">
        <v>5.5</v>
      </c>
      <c r="I31">
        <v>3.5</v>
      </c>
      <c r="J31">
        <v>1.5</v>
      </c>
      <c r="K31">
        <v>5</v>
      </c>
      <c r="L31">
        <v>1</v>
      </c>
      <c r="M31">
        <v>0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>
        <v>5.5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 t="s">
        <v>26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 t="s">
        <v>26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 t="s">
        <v>26</v>
      </c>
      <c r="BJ31" t="s">
        <v>26</v>
      </c>
      <c r="BK31" t="s">
        <v>26</v>
      </c>
      <c r="BL31" t="s">
        <v>26</v>
      </c>
      <c r="BM31" t="s">
        <v>26</v>
      </c>
      <c r="BN31" t="s">
        <v>26</v>
      </c>
      <c r="BO31" t="s">
        <v>26</v>
      </c>
      <c r="BP31" t="s">
        <v>26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 t="s">
        <v>26</v>
      </c>
      <c r="BW31" t="s">
        <v>26</v>
      </c>
      <c r="BX31" t="s">
        <v>26</v>
      </c>
      <c r="BY31" t="s">
        <v>26</v>
      </c>
      <c r="BZ31" t="s">
        <v>26</v>
      </c>
      <c r="CA31">
        <v>5.5</v>
      </c>
      <c r="CB31">
        <v>5.5</v>
      </c>
      <c r="CV31">
        <f>COUNT(B31:CI31)</f>
        <v>15</v>
      </c>
      <c r="CW31" s="18">
        <f>AVERAGE(B31:CI31)</f>
        <v>3.8666666666666667</v>
      </c>
      <c r="CX31">
        <f>IF(CV31&gt;1,_xlfn.STDEV.S(B31:CF31),"")</f>
        <v>2.3563490726929555</v>
      </c>
      <c r="CY31">
        <v>0</v>
      </c>
      <c r="CZ31">
        <f>COUNT(CO31:CS31)</f>
        <v>0</v>
      </c>
      <c r="DA31">
        <f>IF(CY31=0,CZ31,0)</f>
        <v>0</v>
      </c>
    </row>
    <row r="32" spans="1:105" x14ac:dyDescent="0.35">
      <c r="A32" t="s">
        <v>63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>
        <v>3.5</v>
      </c>
      <c r="T32" t="s">
        <v>26</v>
      </c>
      <c r="U32">
        <v>3.5</v>
      </c>
      <c r="V32" t="s">
        <v>26</v>
      </c>
      <c r="W32">
        <v>5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>
        <v>3.5</v>
      </c>
      <c r="AL32" t="s">
        <v>26</v>
      </c>
      <c r="AM32" t="s">
        <v>26</v>
      </c>
      <c r="AN32" t="s">
        <v>26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>
        <v>5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>
        <v>5</v>
      </c>
      <c r="BJ32">
        <v>6.5</v>
      </c>
      <c r="BK32" t="s">
        <v>26</v>
      </c>
      <c r="BL32">
        <v>5</v>
      </c>
      <c r="BM32" t="s">
        <v>26</v>
      </c>
      <c r="BN32">
        <v>5</v>
      </c>
      <c r="BO32" t="s">
        <v>26</v>
      </c>
      <c r="BP32">
        <v>5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>
        <v>5.5</v>
      </c>
      <c r="BW32" t="s">
        <v>26</v>
      </c>
      <c r="BX32" t="s">
        <v>26</v>
      </c>
      <c r="BY32">
        <v>5.5</v>
      </c>
      <c r="BZ32" t="s">
        <v>26</v>
      </c>
      <c r="CA32" t="s">
        <v>26</v>
      </c>
      <c r="CB32" t="s">
        <v>26</v>
      </c>
      <c r="CF32">
        <v>5.5</v>
      </c>
      <c r="CI32">
        <v>4</v>
      </c>
      <c r="CL32">
        <v>5.5</v>
      </c>
      <c r="CP32">
        <v>6</v>
      </c>
      <c r="CV32">
        <f>COUNT(B32:CI32)</f>
        <v>14</v>
      </c>
      <c r="CW32" s="18">
        <f>AVERAGE(B32:CI32)</f>
        <v>4.8214285714285712</v>
      </c>
      <c r="CX32">
        <f>IF(CV32&gt;1,_xlfn.STDEV.S(B32:CF32),"")</f>
        <v>0.89335151148745728</v>
      </c>
      <c r="CY32">
        <v>0</v>
      </c>
      <c r="CZ32">
        <f>COUNT(CO32:CS32)</f>
        <v>1</v>
      </c>
      <c r="DA32">
        <f>IF(CY32=0,CZ32,0)</f>
        <v>1</v>
      </c>
    </row>
    <row r="33" spans="1:105" x14ac:dyDescent="0.35">
      <c r="A33" t="s">
        <v>12</v>
      </c>
      <c r="B33">
        <v>9.5</v>
      </c>
      <c r="C33" t="s">
        <v>26</v>
      </c>
      <c r="D33">
        <v>8</v>
      </c>
      <c r="E33">
        <v>8</v>
      </c>
      <c r="F33" t="s">
        <v>26</v>
      </c>
      <c r="G33" t="s">
        <v>26</v>
      </c>
      <c r="H33">
        <v>5.5</v>
      </c>
      <c r="I33">
        <v>8</v>
      </c>
      <c r="J33" t="s">
        <v>26</v>
      </c>
      <c r="K33">
        <v>5.5</v>
      </c>
      <c r="L33">
        <v>8</v>
      </c>
      <c r="M33">
        <v>7</v>
      </c>
      <c r="N33">
        <v>5.5</v>
      </c>
      <c r="O33" t="s">
        <v>26</v>
      </c>
      <c r="P33" t="s">
        <v>26</v>
      </c>
      <c r="Q33" t="s">
        <v>26</v>
      </c>
      <c r="R33">
        <v>10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E33" t="s">
        <v>26</v>
      </c>
      <c r="AF33" t="s">
        <v>26</v>
      </c>
      <c r="AG33">
        <v>8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>
        <v>7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>
        <v>5.5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V33">
        <f>COUNT(B33:CI33)</f>
        <v>13</v>
      </c>
      <c r="CW33" s="18">
        <f>AVERAGE(B33:CI33)</f>
        <v>7.3461538461538458</v>
      </c>
      <c r="CX33">
        <f>IF(CV33&gt;1,_xlfn.STDEV.S(B33:CF33),"")</f>
        <v>1.5191090506255012</v>
      </c>
      <c r="CY33">
        <v>0</v>
      </c>
      <c r="CZ33">
        <f>COUNT(CO33:CS33)</f>
        <v>0</v>
      </c>
      <c r="DA33">
        <f>IF(CY33=0,CZ33,0)</f>
        <v>0</v>
      </c>
    </row>
    <row r="34" spans="1:105" x14ac:dyDescent="0.35">
      <c r="A34" t="s">
        <v>17</v>
      </c>
      <c r="B34" t="s">
        <v>26</v>
      </c>
      <c r="C34">
        <v>5</v>
      </c>
      <c r="D34" t="s">
        <v>26</v>
      </c>
      <c r="E34" t="s">
        <v>26</v>
      </c>
      <c r="F34" t="s">
        <v>26</v>
      </c>
      <c r="G34" t="s">
        <v>26</v>
      </c>
      <c r="H34" t="s">
        <v>26</v>
      </c>
      <c r="I34" t="s">
        <v>26</v>
      </c>
      <c r="J34" t="s">
        <v>26</v>
      </c>
      <c r="K34" t="s">
        <v>26</v>
      </c>
      <c r="L34" t="s">
        <v>26</v>
      </c>
      <c r="M34" t="s">
        <v>26</v>
      </c>
      <c r="N34" t="s">
        <v>26</v>
      </c>
      <c r="O34" t="s">
        <v>26</v>
      </c>
      <c r="P34" t="s">
        <v>26</v>
      </c>
      <c r="Q34" t="s">
        <v>26</v>
      </c>
      <c r="R34">
        <v>3.5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>
        <v>5</v>
      </c>
      <c r="Z34">
        <v>5</v>
      </c>
      <c r="AA34" t="s">
        <v>26</v>
      </c>
      <c r="AB34">
        <v>5</v>
      </c>
      <c r="AC34">
        <v>5</v>
      </c>
      <c r="AD34">
        <v>3</v>
      </c>
      <c r="AE34" t="s">
        <v>26</v>
      </c>
      <c r="AF34" t="s">
        <v>26</v>
      </c>
      <c r="AG34" t="s">
        <v>26</v>
      </c>
      <c r="AH34">
        <v>4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>
        <v>5.5</v>
      </c>
      <c r="BF34">
        <v>5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>
        <v>5.5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V34">
        <f>COUNT(B34:CI34)</f>
        <v>11</v>
      </c>
      <c r="CW34" s="18">
        <f>AVERAGE(B34:CI34)</f>
        <v>4.6818181818181817</v>
      </c>
      <c r="CX34">
        <f>IF(CV34&gt;1,_xlfn.STDEV.S(B34:CF34),"")</f>
        <v>0.81463879335344846</v>
      </c>
      <c r="CY34">
        <v>0</v>
      </c>
      <c r="CZ34">
        <f>COUNT(CO34:CS34)</f>
        <v>0</v>
      </c>
      <c r="DA34">
        <f>IF(CY34=0,CZ34,0)</f>
        <v>0</v>
      </c>
    </row>
    <row r="35" spans="1:105" x14ac:dyDescent="0.35">
      <c r="A35" t="s">
        <v>45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>
        <v>8</v>
      </c>
      <c r="H35">
        <v>8</v>
      </c>
      <c r="I35" t="s">
        <v>26</v>
      </c>
      <c r="J35">
        <v>9.5</v>
      </c>
      <c r="K35">
        <v>9.5</v>
      </c>
      <c r="L35">
        <v>8</v>
      </c>
      <c r="M35">
        <v>8</v>
      </c>
      <c r="N35">
        <v>8</v>
      </c>
      <c r="O35">
        <v>10</v>
      </c>
      <c r="P35">
        <v>9.5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 t="s">
        <v>26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C35">
        <v>6</v>
      </c>
      <c r="CV35">
        <f>COUNT(B35:CI35)</f>
        <v>10</v>
      </c>
      <c r="CW35" s="18">
        <f>AVERAGE(B35:CI35)</f>
        <v>8.4499999999999993</v>
      </c>
      <c r="CX35">
        <f>IF(CV35&gt;1,_xlfn.STDEV.S(B35:CF35),"")</f>
        <v>1.1890705987824657</v>
      </c>
      <c r="CY35">
        <v>0</v>
      </c>
      <c r="CZ35">
        <f>COUNT(CO35:CS35)</f>
        <v>0</v>
      </c>
      <c r="DA35">
        <f>IF(CY35=0,CZ35,0)</f>
        <v>0</v>
      </c>
    </row>
    <row r="36" spans="1:105" x14ac:dyDescent="0.35">
      <c r="A36" t="s">
        <v>343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>
        <v>1</v>
      </c>
      <c r="K36" t="s">
        <v>26</v>
      </c>
      <c r="L36" t="s">
        <v>26</v>
      </c>
      <c r="M36">
        <v>3.5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>
        <v>2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>
        <v>5.5</v>
      </c>
      <c r="BH36">
        <v>5</v>
      </c>
      <c r="BI36">
        <v>5</v>
      </c>
      <c r="BJ36" t="s">
        <v>26</v>
      </c>
      <c r="BK36" t="s">
        <v>26</v>
      </c>
      <c r="BL36" t="s">
        <v>26</v>
      </c>
      <c r="BM36">
        <v>5.5</v>
      </c>
      <c r="BN36">
        <v>5.5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K36">
        <v>6</v>
      </c>
      <c r="CL36">
        <v>5.5</v>
      </c>
      <c r="CM36">
        <v>6.5</v>
      </c>
      <c r="CO36">
        <v>6</v>
      </c>
      <c r="CQ36">
        <v>6</v>
      </c>
      <c r="CR36">
        <v>6</v>
      </c>
      <c r="CV36">
        <f>COUNT(B36:CI36)</f>
        <v>8</v>
      </c>
      <c r="CW36" s="18">
        <f>AVERAGE(B36:CI36)</f>
        <v>4.125</v>
      </c>
      <c r="CX36">
        <f>IF(CV36&gt;1,_xlfn.STDEV.S(B36:CF36),"")</f>
        <v>1.7677669529663689</v>
      </c>
      <c r="CY36">
        <v>1</v>
      </c>
      <c r="CZ36">
        <f>COUNT(CO36:CS36)</f>
        <v>3</v>
      </c>
      <c r="DA36">
        <f>IF(CY36=0,CZ36,0)</f>
        <v>0</v>
      </c>
    </row>
    <row r="37" spans="1:105" x14ac:dyDescent="0.35">
      <c r="A37" t="s">
        <v>376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>
        <v>6.5</v>
      </c>
      <c r="BO37">
        <v>5.5</v>
      </c>
      <c r="BP37">
        <v>5.5</v>
      </c>
      <c r="BQ37">
        <v>5.5</v>
      </c>
      <c r="BR37" t="s">
        <v>26</v>
      </c>
      <c r="BS37">
        <v>5.5</v>
      </c>
      <c r="BT37" t="s">
        <v>26</v>
      </c>
      <c r="BU37" t="s">
        <v>26</v>
      </c>
      <c r="BV37">
        <v>6.5</v>
      </c>
      <c r="BW37">
        <v>5.5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N37">
        <v>6</v>
      </c>
      <c r="CO37">
        <v>5.5</v>
      </c>
      <c r="CQ37">
        <v>7.5</v>
      </c>
      <c r="CS37">
        <v>6</v>
      </c>
      <c r="CT37">
        <v>6</v>
      </c>
      <c r="CV37">
        <f>COUNT(B37:CI37)</f>
        <v>7</v>
      </c>
      <c r="CW37" s="18">
        <f>AVERAGE(B37:CI37)</f>
        <v>5.7857142857142856</v>
      </c>
      <c r="CX37">
        <f>IF(CV37&gt;1,_xlfn.STDEV.S(B37:CF37),"")</f>
        <v>0.4879500364742666</v>
      </c>
      <c r="CY37">
        <v>1</v>
      </c>
      <c r="CZ37">
        <f>COUNT(CO37:CS37)</f>
        <v>3</v>
      </c>
      <c r="DA37">
        <f>IF(CY37=0,CZ37,0)</f>
        <v>0</v>
      </c>
    </row>
    <row r="38" spans="1:105" x14ac:dyDescent="0.35">
      <c r="A38" t="s">
        <v>340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>
        <v>5.5</v>
      </c>
      <c r="AK38" t="s">
        <v>26</v>
      </c>
      <c r="AL38" t="s">
        <v>26</v>
      </c>
      <c r="AM38" t="s">
        <v>26</v>
      </c>
      <c r="AN38">
        <v>6.5</v>
      </c>
      <c r="AO38">
        <v>5</v>
      </c>
      <c r="AP38">
        <v>5.5</v>
      </c>
      <c r="AQ38">
        <v>6.5</v>
      </c>
      <c r="AR38">
        <v>5.5</v>
      </c>
      <c r="AS38">
        <v>5.5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L38">
        <v>6</v>
      </c>
      <c r="CV38">
        <f>COUNT(B38:CI38)</f>
        <v>7</v>
      </c>
      <c r="CW38" s="18">
        <f>AVERAGE(B38:CI38)</f>
        <v>5.7142857142857144</v>
      </c>
      <c r="CX38">
        <f>IF(CV38&gt;1,_xlfn.STDEV.S(B38:CF38),"")</f>
        <v>0.56694670951384085</v>
      </c>
      <c r="CY38">
        <v>0</v>
      </c>
      <c r="CZ38">
        <f>COUNT(CO38:CS38)</f>
        <v>0</v>
      </c>
      <c r="DA38">
        <f>IF(CY38=0,CZ38,0)</f>
        <v>0</v>
      </c>
    </row>
    <row r="39" spans="1:105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M39">
        <v>5</v>
      </c>
      <c r="CN39">
        <v>5</v>
      </c>
      <c r="CO39">
        <v>5.5</v>
      </c>
      <c r="CP39">
        <v>6</v>
      </c>
      <c r="CQ39">
        <v>5.5</v>
      </c>
      <c r="CV39">
        <f>COUNT(B39:CI39)</f>
        <v>6</v>
      </c>
      <c r="CW39" s="18">
        <f>AVERAGE(B39:CI39)</f>
        <v>5.166666666666667</v>
      </c>
      <c r="CX39">
        <f>IF(CV39&gt;1,_xlfn.STDEV.S(B39:CF39),"")</f>
        <v>0.28867513459481287</v>
      </c>
      <c r="CY39">
        <v>1</v>
      </c>
      <c r="CZ39">
        <f>COUNT(CO39:CS39)</f>
        <v>3</v>
      </c>
      <c r="DA39">
        <f>IF(CY39=0,CZ39,0)</f>
        <v>0</v>
      </c>
    </row>
    <row r="40" spans="1:105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V40">
        <f>COUNT(B40:CI40)</f>
        <v>5</v>
      </c>
      <c r="CW40" s="18">
        <f>AVERAGE(B40:CI40)</f>
        <v>7.8</v>
      </c>
      <c r="CX40">
        <f>IF(CV40&gt;1,_xlfn.STDEV.S(B40:CF40),"")</f>
        <v>1.0307764064044151</v>
      </c>
      <c r="CY40">
        <v>0</v>
      </c>
      <c r="CZ40">
        <f>COUNT(CO40:CS40)</f>
        <v>0</v>
      </c>
      <c r="DA40">
        <f>IF(CY40=0,CZ40,0)</f>
        <v>0</v>
      </c>
    </row>
    <row r="41" spans="1:105" x14ac:dyDescent="0.35">
      <c r="A41" t="s">
        <v>60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3.5</v>
      </c>
      <c r="S41" t="s">
        <v>26</v>
      </c>
      <c r="T41">
        <v>3</v>
      </c>
      <c r="U41">
        <v>3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>
        <v>4</v>
      </c>
      <c r="BZ41" t="s">
        <v>26</v>
      </c>
      <c r="CA41" t="s">
        <v>26</v>
      </c>
      <c r="CB41" t="s">
        <v>26</v>
      </c>
      <c r="CM41">
        <v>5.5</v>
      </c>
      <c r="CV41">
        <f>COUNT(B41:CI41)</f>
        <v>4</v>
      </c>
      <c r="CW41" s="18">
        <f>AVERAGE(B41:CI41)</f>
        <v>3.375</v>
      </c>
      <c r="CX41">
        <f>IF(CV41&gt;1,_xlfn.STDEV.S(B41:CF41),"")</f>
        <v>0.47871355387816905</v>
      </c>
      <c r="CY41">
        <v>0</v>
      </c>
      <c r="CZ41">
        <f>COUNT(CO41:CS41)</f>
        <v>0</v>
      </c>
      <c r="DA41">
        <f>IF(CY41=0,CZ41,0)</f>
        <v>0</v>
      </c>
    </row>
    <row r="42" spans="1:105" x14ac:dyDescent="0.35">
      <c r="A42" t="s">
        <v>61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 t="s">
        <v>26</v>
      </c>
      <c r="N42" t="s">
        <v>26</v>
      </c>
      <c r="O42" t="s">
        <v>26</v>
      </c>
      <c r="P42" t="s">
        <v>26</v>
      </c>
      <c r="Q42" t="s">
        <v>26</v>
      </c>
      <c r="R42">
        <v>7</v>
      </c>
      <c r="S42">
        <v>5</v>
      </c>
      <c r="T42">
        <v>5</v>
      </c>
      <c r="U42" t="s">
        <v>26</v>
      </c>
      <c r="V42" t="s">
        <v>26</v>
      </c>
      <c r="W42">
        <v>5.5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 t="s">
        <v>26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V42">
        <f>COUNT(B42:CI42)</f>
        <v>4</v>
      </c>
      <c r="CW42" s="18">
        <f>AVERAGE(B42:CI42)</f>
        <v>5.625</v>
      </c>
      <c r="CX42">
        <f>IF(CV42&gt;1,_xlfn.STDEV.S(B42:CF42),"")</f>
        <v>0.9464847243000456</v>
      </c>
      <c r="CY42">
        <v>0</v>
      </c>
      <c r="CZ42">
        <f>COUNT(CO42:CS42)</f>
        <v>0</v>
      </c>
      <c r="DA42">
        <f>IF(CY42=0,CZ42,0)</f>
        <v>0</v>
      </c>
    </row>
    <row r="43" spans="1:105" x14ac:dyDescent="0.35">
      <c r="A43" t="s">
        <v>54</v>
      </c>
      <c r="B43" t="s">
        <v>26</v>
      </c>
      <c r="C43" t="s">
        <v>26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>
        <v>5.5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>
        <v>7</v>
      </c>
      <c r="W43">
        <v>8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 t="s">
        <v>26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>
        <v>6.5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 t="s">
        <v>26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V43">
        <f>COUNT(B43:CI43)</f>
        <v>4</v>
      </c>
      <c r="CW43" s="18">
        <f>AVERAGE(B43:CI43)</f>
        <v>6.75</v>
      </c>
      <c r="CX43">
        <f>IF(CV43&gt;1,_xlfn.STDEV.S(B43:CF43),"")</f>
        <v>1.0408329997330663</v>
      </c>
      <c r="CY43">
        <v>0</v>
      </c>
      <c r="CZ43">
        <f>COUNT(CO43:CS43)</f>
        <v>0</v>
      </c>
      <c r="DA43">
        <f>IF(CY43=0,CZ43,0)</f>
        <v>0</v>
      </c>
    </row>
    <row r="44" spans="1:105" x14ac:dyDescent="0.35">
      <c r="A44" t="s">
        <v>21</v>
      </c>
      <c r="B44" t="s">
        <v>26</v>
      </c>
      <c r="C44" t="s">
        <v>26</v>
      </c>
      <c r="D44">
        <v>1.5</v>
      </c>
      <c r="E44" t="s">
        <v>26</v>
      </c>
      <c r="F44" t="s">
        <v>26</v>
      </c>
      <c r="G44">
        <v>0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>
        <v>0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>
        <v>4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V44">
        <f>COUNT(B44:CI44)</f>
        <v>4</v>
      </c>
      <c r="CW44" s="18">
        <f>AVERAGE(B44:CI44)</f>
        <v>1.375</v>
      </c>
      <c r="CX44">
        <f>IF(CV44&gt;1,_xlfn.STDEV.S(B44:CF44),"")</f>
        <v>1.8874586088176875</v>
      </c>
      <c r="CY44">
        <v>0</v>
      </c>
      <c r="CZ44">
        <f>COUNT(CO44:CS44)</f>
        <v>0</v>
      </c>
      <c r="DA44">
        <f>IF(CY44=0,CZ44,0)</f>
        <v>0</v>
      </c>
    </row>
    <row r="45" spans="1:105" x14ac:dyDescent="0.35">
      <c r="A45" t="s">
        <v>344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>
        <v>5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>
        <v>3.5</v>
      </c>
      <c r="AR45">
        <v>3.5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>
        <v>6.5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V45">
        <f>COUNT(B45:CI45)</f>
        <v>4</v>
      </c>
      <c r="CW45" s="18">
        <f>AVERAGE(B45:CI45)</f>
        <v>4.625</v>
      </c>
      <c r="CX45">
        <f>IF(CV45&gt;1,_xlfn.STDEV.S(B45:CF45),"")</f>
        <v>1.4361406616345072</v>
      </c>
      <c r="CY45">
        <v>0</v>
      </c>
      <c r="CZ45">
        <f>COUNT(CO45:CS45)</f>
        <v>0</v>
      </c>
      <c r="DA45">
        <f>IF(CY45=0,CZ45,0)</f>
        <v>0</v>
      </c>
    </row>
    <row r="46" spans="1:105" x14ac:dyDescent="0.35">
      <c r="A46" t="s">
        <v>361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>
        <v>5.5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>
        <v>5.5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>
        <v>7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>
        <v>7</v>
      </c>
      <c r="BZ46" t="s">
        <v>26</v>
      </c>
      <c r="CA46" t="s">
        <v>26</v>
      </c>
      <c r="CB46" t="s">
        <v>26</v>
      </c>
      <c r="CV46">
        <f>COUNT(B46:CI46)</f>
        <v>4</v>
      </c>
      <c r="CW46" s="18">
        <f>AVERAGE(B46:CI46)</f>
        <v>6.25</v>
      </c>
      <c r="CX46">
        <f>IF(CV46&gt;1,_xlfn.STDEV.S(B46:CF46),"")</f>
        <v>0.8660254037844386</v>
      </c>
      <c r="CY46">
        <v>0</v>
      </c>
      <c r="CZ46">
        <f>COUNT(CO46:CS46)</f>
        <v>0</v>
      </c>
      <c r="DA46">
        <f>IF(CY46=0,CZ46,0)</f>
        <v>0</v>
      </c>
    </row>
    <row r="47" spans="1:105" x14ac:dyDescent="0.35">
      <c r="A47" t="s">
        <v>43</v>
      </c>
      <c r="B47" t="s">
        <v>26</v>
      </c>
      <c r="C47">
        <v>0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1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>
        <v>5.5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>
        <v>5</v>
      </c>
      <c r="BU47" t="s">
        <v>26</v>
      </c>
      <c r="BV47" t="s">
        <v>26</v>
      </c>
      <c r="BW47" t="s">
        <v>26</v>
      </c>
      <c r="BX47" t="s">
        <v>26</v>
      </c>
      <c r="BY47" t="s">
        <v>26</v>
      </c>
      <c r="BZ47" t="s">
        <v>26</v>
      </c>
      <c r="CA47" t="s">
        <v>26</v>
      </c>
      <c r="CB47" t="s">
        <v>26</v>
      </c>
      <c r="CV47">
        <f>COUNT(B47:CI47)</f>
        <v>4</v>
      </c>
      <c r="CW47" s="18">
        <f>AVERAGE(B47:CI47)</f>
        <v>2.875</v>
      </c>
      <c r="CX47">
        <f>IF(CV47&gt;1,_xlfn.STDEV.S(B47:CF47),"")</f>
        <v>2.7801378862687129</v>
      </c>
      <c r="CY47">
        <v>0</v>
      </c>
      <c r="CZ47">
        <f>COUNT(CO47:CS47)</f>
        <v>0</v>
      </c>
      <c r="DA47">
        <f>IF(CY47=0,CZ47,0)</f>
        <v>0</v>
      </c>
    </row>
    <row r="48" spans="1:105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V48">
        <f>COUNT(B48:CI48)</f>
        <v>3</v>
      </c>
      <c r="CW48" s="18">
        <f>AVERAGE(B48:CI48)</f>
        <v>4.666666666666667</v>
      </c>
      <c r="CX48">
        <f>IF(CV48&gt;1,_xlfn.STDEV.S(B48:CF48),"")</f>
        <v>1.4433756729740652</v>
      </c>
      <c r="CY48">
        <v>0</v>
      </c>
      <c r="CZ48">
        <f>COUNT(CO48:CS48)</f>
        <v>0</v>
      </c>
      <c r="DA48">
        <f>IF(CY48=0,CZ48,0)</f>
        <v>0</v>
      </c>
    </row>
    <row r="49" spans="1:105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V49">
        <f>COUNT(B49:CI49)</f>
        <v>3</v>
      </c>
      <c r="CW49" s="18">
        <f>AVERAGE(B49:CI49)</f>
        <v>8.5</v>
      </c>
      <c r="CX49">
        <f>IF(CV49&gt;1,_xlfn.STDEV.S(B49:CF49),"")</f>
        <v>1.5</v>
      </c>
      <c r="CY49">
        <v>0</v>
      </c>
      <c r="CZ49">
        <f>COUNT(CO49:CS49)</f>
        <v>0</v>
      </c>
      <c r="DA49">
        <f>IF(CY49=0,CZ49,0)</f>
        <v>0</v>
      </c>
    </row>
    <row r="50" spans="1:105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V50">
        <f>COUNT(B50:CI50)</f>
        <v>3</v>
      </c>
      <c r="CW50" s="18">
        <f>AVERAGE(B50:CI50)</f>
        <v>4</v>
      </c>
      <c r="CX50">
        <f>IF(CV50&gt;1,_xlfn.STDEV.S(B50:CF50),"")</f>
        <v>1.7320508075688772</v>
      </c>
      <c r="CY50">
        <v>0</v>
      </c>
      <c r="CZ50">
        <f>COUNT(CO50:CS50)</f>
        <v>0</v>
      </c>
      <c r="DA50">
        <f>IF(CY50=0,CZ50,0)</f>
        <v>0</v>
      </c>
    </row>
    <row r="51" spans="1:105" x14ac:dyDescent="0.35">
      <c r="A51" t="s">
        <v>52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>
        <v>5.5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>
        <v>5.5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G51">
        <v>6</v>
      </c>
      <c r="CV51">
        <f>COUNT(B51:CI51)</f>
        <v>3</v>
      </c>
      <c r="CW51" s="18">
        <f>AVERAGE(B51:CI51)</f>
        <v>5.666666666666667</v>
      </c>
      <c r="CX51">
        <f>IF(CV51&gt;1,_xlfn.STDEV.S(B51:CF51),"")</f>
        <v>0</v>
      </c>
      <c r="CY51">
        <v>0</v>
      </c>
      <c r="CZ51">
        <f>COUNT(CO51:CS51)</f>
        <v>0</v>
      </c>
      <c r="DA51">
        <f>IF(CY51=0,CZ51,0)</f>
        <v>0</v>
      </c>
    </row>
    <row r="52" spans="1:105" x14ac:dyDescent="0.35">
      <c r="A52" t="s">
        <v>368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>
        <v>9.5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>
        <v>10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G52">
        <v>6</v>
      </c>
      <c r="CV52">
        <f>COUNT(B52:CI52)</f>
        <v>3</v>
      </c>
      <c r="CW52" s="18">
        <f>AVERAGE(B52:CI52)</f>
        <v>8.5</v>
      </c>
      <c r="CX52">
        <f>IF(CV52&gt;1,_xlfn.STDEV.S(B52:CF52),"")</f>
        <v>0.35355339059327379</v>
      </c>
      <c r="CY52">
        <v>0</v>
      </c>
      <c r="CZ52">
        <f>COUNT(CO52:CS52)</f>
        <v>0</v>
      </c>
      <c r="DA52">
        <f>IF(CY52=0,CZ52,0)</f>
        <v>0</v>
      </c>
    </row>
    <row r="53" spans="1:105" x14ac:dyDescent="0.35">
      <c r="A53" t="s">
        <v>345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>
        <v>2.5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I53">
        <v>6</v>
      </c>
      <c r="CJ53">
        <v>4</v>
      </c>
      <c r="CK53">
        <v>3.5</v>
      </c>
      <c r="CL53">
        <v>5.5</v>
      </c>
      <c r="CM53">
        <v>5.5</v>
      </c>
      <c r="CO53">
        <v>4.5</v>
      </c>
      <c r="CV53">
        <f>COUNT(B53:CI53)</f>
        <v>2</v>
      </c>
      <c r="CW53" s="18">
        <f>AVERAGE(B53:CI53)</f>
        <v>4.25</v>
      </c>
      <c r="CX53" t="e">
        <f>IF(CV53&gt;1,_xlfn.STDEV.S(B53:CF53),"")</f>
        <v>#DIV/0!</v>
      </c>
      <c r="CY53">
        <v>0</v>
      </c>
      <c r="CZ53">
        <f>COUNT(CO53:CS53)</f>
        <v>1</v>
      </c>
      <c r="DA53">
        <f>IF(CY53=0,CZ53,0)</f>
        <v>1</v>
      </c>
    </row>
    <row r="54" spans="1:105" x14ac:dyDescent="0.35">
      <c r="A54" t="s">
        <v>53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>
        <v>5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>
        <v>5.5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 t="s">
        <v>26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S54">
        <v>5.5</v>
      </c>
      <c r="CV54">
        <f>COUNT(B54:CI54)</f>
        <v>2</v>
      </c>
      <c r="CW54" s="18">
        <f>AVERAGE(B54:CI54)</f>
        <v>5.25</v>
      </c>
      <c r="CX54">
        <f>IF(CV54&gt;1,_xlfn.STDEV.S(B54:CF54),"")</f>
        <v>0.35355339059327379</v>
      </c>
      <c r="CY54">
        <v>0</v>
      </c>
      <c r="CZ54">
        <f>COUNT(CO54:CS54)</f>
        <v>1</v>
      </c>
      <c r="DA54">
        <f>IF(CY54=0,CZ54,0)</f>
        <v>1</v>
      </c>
    </row>
    <row r="55" spans="1:105" x14ac:dyDescent="0.35">
      <c r="A55" t="s">
        <v>342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>
        <v>7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>
        <v>4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J55">
        <v>5.5</v>
      </c>
      <c r="CO55">
        <v>6</v>
      </c>
      <c r="CV55">
        <f>COUNT(B55:CI55)</f>
        <v>2</v>
      </c>
      <c r="CW55" s="18">
        <f>AVERAGE(B55:CI55)</f>
        <v>5.5</v>
      </c>
      <c r="CX55">
        <f>IF(CV55&gt;1,_xlfn.STDEV.S(B55:CF55),"")</f>
        <v>2.1213203435596424</v>
      </c>
      <c r="CY55">
        <v>0</v>
      </c>
      <c r="CZ55">
        <f>COUNT(CO55:CS55)</f>
        <v>1</v>
      </c>
      <c r="DA55">
        <f>IF(CY55=0,CZ55,0)</f>
        <v>1</v>
      </c>
    </row>
    <row r="56" spans="1:105" x14ac:dyDescent="0.35">
      <c r="A56" t="s">
        <v>390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E56">
        <v>7</v>
      </c>
      <c r="CH56">
        <v>7</v>
      </c>
      <c r="CS56">
        <v>6.5</v>
      </c>
      <c r="CT56">
        <v>6</v>
      </c>
      <c r="CV56">
        <f>COUNT(B56:CI56)</f>
        <v>2</v>
      </c>
      <c r="CW56" s="18">
        <f>AVERAGE(B56:CI56)</f>
        <v>7</v>
      </c>
      <c r="CX56" t="e">
        <f>IF(CV56&gt;1,_xlfn.STDEV.S(B56:CF56),"")</f>
        <v>#DIV/0!</v>
      </c>
      <c r="CY56">
        <v>0</v>
      </c>
      <c r="CZ56">
        <f>COUNT(CO56:CS56)</f>
        <v>1</v>
      </c>
      <c r="DA56">
        <f>IF(CY56=0,CZ56,0)</f>
        <v>1</v>
      </c>
    </row>
    <row r="57" spans="1:105" x14ac:dyDescent="0.35">
      <c r="A57" t="s">
        <v>364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>
        <v>6.5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>
        <v>6.5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L57">
        <v>6.5</v>
      </c>
      <c r="CM57">
        <v>5.5</v>
      </c>
      <c r="CN57">
        <v>6</v>
      </c>
      <c r="CV57">
        <f>COUNT(B57:CI57)</f>
        <v>2</v>
      </c>
      <c r="CW57" s="18">
        <f>AVERAGE(B57:CI57)</f>
        <v>6.5</v>
      </c>
      <c r="CX57">
        <f>IF(CV57&gt;1,_xlfn.STDEV.S(B57:CF57),"")</f>
        <v>0</v>
      </c>
      <c r="CY57">
        <v>0</v>
      </c>
      <c r="CZ57">
        <f>COUNT(CO57:CS57)</f>
        <v>0</v>
      </c>
      <c r="DA57">
        <f>IF(CY57=0,CZ57,0)</f>
        <v>0</v>
      </c>
    </row>
    <row r="58" spans="1:105" x14ac:dyDescent="0.35">
      <c r="A58" t="s">
        <v>362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>
        <v>5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D58">
        <v>5.5</v>
      </c>
      <c r="CV58">
        <f>COUNT(B58:CI58)</f>
        <v>2</v>
      </c>
      <c r="CW58" s="18">
        <f>AVERAGE(B58:CI58)</f>
        <v>5.25</v>
      </c>
      <c r="CX58">
        <f>IF(CV58&gt;1,_xlfn.STDEV.S(B58:CF58),"")</f>
        <v>0.35355339059327379</v>
      </c>
      <c r="CY58">
        <v>0</v>
      </c>
      <c r="CZ58">
        <f>COUNT(CO58:CS58)</f>
        <v>0</v>
      </c>
      <c r="DA58">
        <f>IF(CY58=0,CZ58,0)</f>
        <v>0</v>
      </c>
    </row>
    <row r="59" spans="1:105" x14ac:dyDescent="0.35">
      <c r="A59" t="s">
        <v>339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>
        <v>8.5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>
        <v>5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 t="s">
        <v>26</v>
      </c>
      <c r="BZ59" t="s">
        <v>26</v>
      </c>
      <c r="CA59" t="s">
        <v>26</v>
      </c>
      <c r="CB59" t="s">
        <v>26</v>
      </c>
      <c r="CV59">
        <f>COUNT(B59:CI59)</f>
        <v>2</v>
      </c>
      <c r="CW59" s="18">
        <f>AVERAGE(B59:CI59)</f>
        <v>6.75</v>
      </c>
      <c r="CX59">
        <f>IF(CV59&gt;1,_xlfn.STDEV.S(B59:CF59),"")</f>
        <v>2.4748737341529163</v>
      </c>
      <c r="CY59">
        <v>0</v>
      </c>
      <c r="CZ59">
        <f>COUNT(CO59:CS59)</f>
        <v>0</v>
      </c>
      <c r="DA59">
        <f>IF(CY59=0,CZ59,0)</f>
        <v>0</v>
      </c>
    </row>
    <row r="60" spans="1:105" x14ac:dyDescent="0.35">
      <c r="A60" t="s">
        <v>369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>
        <v>6.5</v>
      </c>
      <c r="BH60">
        <v>5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V60">
        <f>COUNT(B60:CI60)</f>
        <v>2</v>
      </c>
      <c r="CW60" s="18">
        <f>AVERAGE(B60:CI60)</f>
        <v>5.75</v>
      </c>
      <c r="CX60">
        <f>IF(CV60&gt;1,_xlfn.STDEV.S(B60:CF60),"")</f>
        <v>1.0606601717798212</v>
      </c>
      <c r="CY60">
        <v>0</v>
      </c>
      <c r="CZ60">
        <f>COUNT(CO60:CS60)</f>
        <v>0</v>
      </c>
      <c r="DA60">
        <f>IF(CY60=0,CZ60,0)</f>
        <v>0</v>
      </c>
    </row>
    <row r="61" spans="1:105" x14ac:dyDescent="0.35">
      <c r="A61" t="s">
        <v>379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>
        <v>5.5</v>
      </c>
      <c r="BZ61">
        <v>5.5</v>
      </c>
      <c r="CA61" t="s">
        <v>26</v>
      </c>
      <c r="CB61" t="s">
        <v>26</v>
      </c>
      <c r="CV61">
        <f>COUNT(B61:CI61)</f>
        <v>2</v>
      </c>
      <c r="CW61" s="18">
        <f>AVERAGE(B61:CI61)</f>
        <v>5.5</v>
      </c>
      <c r="CX61">
        <f>IF(CV61&gt;1,_xlfn.STDEV.S(B61:CF61),"")</f>
        <v>0</v>
      </c>
      <c r="CY61">
        <v>0</v>
      </c>
      <c r="CZ61">
        <f>COUNT(CO61:CS61)</f>
        <v>0</v>
      </c>
      <c r="DA61">
        <f>IF(CY61=0,CZ61,0)</f>
        <v>0</v>
      </c>
    </row>
    <row r="62" spans="1:105" x14ac:dyDescent="0.35">
      <c r="A62" t="s">
        <v>388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>
        <v>3.5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H62">
        <v>5</v>
      </c>
      <c r="CV62">
        <f>COUNT(B62:CI62)</f>
        <v>2</v>
      </c>
      <c r="CW62" s="18">
        <f>AVERAGE(B62:CI62)</f>
        <v>4.25</v>
      </c>
      <c r="CX62" t="e">
        <f>IF(CV62&gt;1,_xlfn.STDEV.S(B62:CF62),"")</f>
        <v>#DIV/0!</v>
      </c>
      <c r="CY62">
        <v>0</v>
      </c>
      <c r="CZ62">
        <f>COUNT(CO62:CS62)</f>
        <v>0</v>
      </c>
      <c r="DA62">
        <f>IF(CY62=0,CZ62,0)</f>
        <v>0</v>
      </c>
    </row>
    <row r="63" spans="1:105" x14ac:dyDescent="0.35">
      <c r="A63" t="s">
        <v>387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G63">
        <v>7</v>
      </c>
      <c r="CH63">
        <v>6</v>
      </c>
      <c r="CJ63">
        <v>7</v>
      </c>
      <c r="CV63">
        <f>COUNT(B63:CI63)</f>
        <v>2</v>
      </c>
      <c r="CW63" s="18">
        <f>AVERAGE(B63:CI63)</f>
        <v>6.5</v>
      </c>
      <c r="CX63" t="e">
        <f>IF(CV63&gt;1,_xlfn.STDEV.S(B63:CF63),"")</f>
        <v>#DIV/0!</v>
      </c>
      <c r="CY63">
        <v>0</v>
      </c>
      <c r="CZ63">
        <f>COUNT(CO63:CS63)</f>
        <v>0</v>
      </c>
      <c r="DA63">
        <f>IF(CY63=0,CZ63,0)</f>
        <v>0</v>
      </c>
    </row>
    <row r="64" spans="1:105" x14ac:dyDescent="0.35">
      <c r="A64" t="s">
        <v>86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>
        <v>10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V64">
        <f>COUNT(B64:CI64)</f>
        <v>1</v>
      </c>
      <c r="CW64" s="18">
        <f>AVERAGE(B64:CI64)</f>
        <v>10</v>
      </c>
      <c r="CX64" t="str">
        <f>IF(CV64&gt;1,_xlfn.STDEV.S(B64:CF64),"")</f>
        <v/>
      </c>
      <c r="CY64">
        <v>0</v>
      </c>
      <c r="CZ64">
        <f>COUNT(CO64:CS64)</f>
        <v>0</v>
      </c>
      <c r="DA64">
        <f>IF(CY64=0,CZ64,0)</f>
        <v>0</v>
      </c>
    </row>
    <row r="65" spans="1:105" x14ac:dyDescent="0.35">
      <c r="A65" t="s">
        <v>77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>
        <v>7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V65">
        <f>COUNT(B65:CI65)</f>
        <v>1</v>
      </c>
      <c r="CW65" s="18">
        <f>AVERAGE(B65:CI65)</f>
        <v>7</v>
      </c>
      <c r="CX65" t="str">
        <f>IF(CV65&gt;1,_xlfn.STDEV.S(B65:CF65),"")</f>
        <v/>
      </c>
      <c r="CY65">
        <v>0</v>
      </c>
      <c r="CZ65">
        <f>COUNT(CO65:CS65)</f>
        <v>0</v>
      </c>
      <c r="DA65">
        <f>IF(CY65=0,CZ65,0)</f>
        <v>0</v>
      </c>
    </row>
    <row r="66" spans="1:105" x14ac:dyDescent="0.35">
      <c r="A66" t="s">
        <v>353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7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V66">
        <f>COUNT(B66:CI66)</f>
        <v>1</v>
      </c>
      <c r="CW66" s="18">
        <f>AVERAGE(B66:CI66)</f>
        <v>7</v>
      </c>
      <c r="CX66" t="str">
        <f>IF(CV66&gt;1,_xlfn.STDEV.S(B66:CF66),"")</f>
        <v/>
      </c>
      <c r="CY66">
        <v>0</v>
      </c>
      <c r="CZ66">
        <f>COUNT(CO66:CS66)</f>
        <v>0</v>
      </c>
      <c r="DA66">
        <f>IF(CY66=0,CZ66,0)</f>
        <v>0</v>
      </c>
    </row>
    <row r="67" spans="1:105" x14ac:dyDescent="0.35">
      <c r="A67" t="s">
        <v>80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>
        <v>7</v>
      </c>
      <c r="Z67" t="s">
        <v>26</v>
      </c>
      <c r="AA67" t="s">
        <v>26</v>
      </c>
      <c r="AB67" t="s">
        <v>26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V67">
        <f>COUNT(B67:CI67)</f>
        <v>1</v>
      </c>
      <c r="CW67" s="18">
        <f>AVERAGE(B67:CI67)</f>
        <v>7</v>
      </c>
      <c r="CX67" t="str">
        <f>IF(CV67&gt;1,_xlfn.STDEV.S(B67:CF67),"")</f>
        <v/>
      </c>
      <c r="CY67">
        <v>0</v>
      </c>
      <c r="CZ67">
        <f>COUNT(CO67:CS67)</f>
        <v>0</v>
      </c>
      <c r="DA67">
        <f>IF(CY67=0,CZ67,0)</f>
        <v>0</v>
      </c>
    </row>
    <row r="68" spans="1:105" x14ac:dyDescent="0.35">
      <c r="A68" t="s">
        <v>47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>
        <v>3.5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 t="s">
        <v>26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V68">
        <f>COUNT(B68:CI68)</f>
        <v>1</v>
      </c>
      <c r="CW68" s="18">
        <f>AVERAGE(B68:CI68)</f>
        <v>3.5</v>
      </c>
      <c r="CX68" t="str">
        <f>IF(CV68&gt;1,_xlfn.STDEV.S(B68:CF68),"")</f>
        <v/>
      </c>
      <c r="CY68">
        <v>0</v>
      </c>
      <c r="CZ68">
        <f>COUNT(CO68:CS68)</f>
        <v>0</v>
      </c>
      <c r="DA68">
        <f>IF(CY68=0,CZ68,0)</f>
        <v>0</v>
      </c>
    </row>
    <row r="69" spans="1:105" x14ac:dyDescent="0.35">
      <c r="A69" t="s">
        <v>83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>
        <v>3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V69">
        <f>COUNT(B69:CI69)</f>
        <v>1</v>
      </c>
      <c r="CW69" s="18">
        <f>AVERAGE(B69:CI69)</f>
        <v>3</v>
      </c>
      <c r="CX69" t="str">
        <f>IF(CV69&gt;1,_xlfn.STDEV.S(B69:CF69),"")</f>
        <v/>
      </c>
      <c r="CY69">
        <v>0</v>
      </c>
      <c r="CZ69">
        <f>COUNT(CO69:CS69)</f>
        <v>0</v>
      </c>
      <c r="DA69">
        <f>IF(CY69=0,CZ69,0)</f>
        <v>0</v>
      </c>
    </row>
    <row r="70" spans="1:105" x14ac:dyDescent="0.35">
      <c r="A70" t="s">
        <v>347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>
        <v>6.5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V70">
        <f>COUNT(B70:CI70)</f>
        <v>1</v>
      </c>
      <c r="CW70" s="18">
        <f>AVERAGE(B70:CI70)</f>
        <v>6.5</v>
      </c>
      <c r="CX70" t="str">
        <f>IF(CV70&gt;1,_xlfn.STDEV.S(B70:CF70),"")</f>
        <v/>
      </c>
      <c r="CY70">
        <v>0</v>
      </c>
      <c r="CZ70">
        <f>COUNT(CO70:CS70)</f>
        <v>0</v>
      </c>
      <c r="DA70">
        <f>IF(CY70=0,CZ70,0)</f>
        <v>0</v>
      </c>
    </row>
    <row r="71" spans="1:105" x14ac:dyDescent="0.35">
      <c r="A71" t="s">
        <v>350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>
        <v>4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V71">
        <f>COUNT(B71:CI71)</f>
        <v>1</v>
      </c>
      <c r="CW71" s="18">
        <f>AVERAGE(B71:CI71)</f>
        <v>4</v>
      </c>
      <c r="CX71" t="str">
        <f>IF(CV71&gt;1,_xlfn.STDEV.S(B71:CF71),"")</f>
        <v/>
      </c>
      <c r="CY71">
        <v>0</v>
      </c>
      <c r="CZ71">
        <f>COUNT(CO71:CS71)</f>
        <v>0</v>
      </c>
      <c r="DA71">
        <f>IF(CY71=0,CZ71,0)</f>
        <v>0</v>
      </c>
    </row>
    <row r="72" spans="1:105" x14ac:dyDescent="0.35">
      <c r="A72" t="s">
        <v>351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6.5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V72">
        <f>COUNT(B72:CI72)</f>
        <v>1</v>
      </c>
      <c r="CW72" s="18">
        <f>AVERAGE(B72:CI72)</f>
        <v>6.5</v>
      </c>
      <c r="CX72" t="str">
        <f>IF(CV72&gt;1,_xlfn.STDEV.S(B72:CF72),"")</f>
        <v/>
      </c>
      <c r="CY72">
        <v>0</v>
      </c>
      <c r="CZ72">
        <f>COUNT(CO72:CS72)</f>
        <v>0</v>
      </c>
      <c r="DA72">
        <f>IF(CY72=0,CZ72,0)</f>
        <v>0</v>
      </c>
    </row>
    <row r="73" spans="1:105" x14ac:dyDescent="0.35">
      <c r="A73" t="s">
        <v>352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>
        <v>5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V73">
        <f>COUNT(B73:CI73)</f>
        <v>1</v>
      </c>
      <c r="CW73" s="18">
        <f>AVERAGE(B73:CI73)</f>
        <v>5</v>
      </c>
      <c r="CX73" t="str">
        <f>IF(CV73&gt;1,_xlfn.STDEV.S(B73:CF73),"")</f>
        <v/>
      </c>
      <c r="CY73">
        <v>0</v>
      </c>
      <c r="CZ73">
        <f>COUNT(CO73:CS73)</f>
        <v>0</v>
      </c>
      <c r="DA73">
        <f>IF(CY73=0,CZ73,0)</f>
        <v>0</v>
      </c>
    </row>
    <row r="74" spans="1:105" x14ac:dyDescent="0.35">
      <c r="A74" t="s">
        <v>354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>
        <v>5.5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V74">
        <f>COUNT(B74:CI74)</f>
        <v>1</v>
      </c>
      <c r="CW74" s="18">
        <f>AVERAGE(B74:CI74)</f>
        <v>5.5</v>
      </c>
      <c r="CX74" t="str">
        <f>IF(CV74&gt;1,_xlfn.STDEV.S(B74:CF74),"")</f>
        <v/>
      </c>
      <c r="CY74">
        <v>0</v>
      </c>
      <c r="CZ74">
        <f>COUNT(CO74:CS74)</f>
        <v>0</v>
      </c>
      <c r="DA74">
        <f>IF(CY74=0,CZ74,0)</f>
        <v>0</v>
      </c>
    </row>
    <row r="75" spans="1:105" x14ac:dyDescent="0.35">
      <c r="A75" t="s">
        <v>365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>
        <v>2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V75">
        <f>COUNT(B75:CI75)</f>
        <v>1</v>
      </c>
      <c r="CW75" s="18">
        <f>AVERAGE(B75:CI75)</f>
        <v>2</v>
      </c>
      <c r="CX75" t="str">
        <f>IF(CV75&gt;1,_xlfn.STDEV.S(B75:CF75),"")</f>
        <v/>
      </c>
      <c r="CY75">
        <v>0</v>
      </c>
      <c r="CZ75">
        <f>COUNT(CO75:CS75)</f>
        <v>0</v>
      </c>
      <c r="DA75">
        <f>IF(CY75=0,CZ75,0)</f>
        <v>0</v>
      </c>
    </row>
    <row r="76" spans="1:105" x14ac:dyDescent="0.35">
      <c r="A76" t="s">
        <v>366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>
        <v>2.5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V76">
        <f>COUNT(B76:CI76)</f>
        <v>1</v>
      </c>
      <c r="CW76" s="18">
        <f>AVERAGE(B76:CI76)</f>
        <v>2.5</v>
      </c>
      <c r="CX76" t="str">
        <f>IF(CV76&gt;1,_xlfn.STDEV.S(B76:CF76),"")</f>
        <v/>
      </c>
      <c r="CY76">
        <v>0</v>
      </c>
      <c r="CZ76">
        <f>COUNT(CO76:CS76)</f>
        <v>0</v>
      </c>
      <c r="DA76">
        <f>IF(CY76=0,CZ76,0)</f>
        <v>0</v>
      </c>
    </row>
    <row r="77" spans="1:105" x14ac:dyDescent="0.35">
      <c r="A77" t="s">
        <v>374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7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V77">
        <f>COUNT(B77:CI77)</f>
        <v>1</v>
      </c>
      <c r="CW77" s="18">
        <f>AVERAGE(B77:CI77)</f>
        <v>7</v>
      </c>
      <c r="CX77" t="str">
        <f>IF(CV77&gt;1,_xlfn.STDEV.S(B77:CF77),"")</f>
        <v/>
      </c>
      <c r="CY77">
        <v>0</v>
      </c>
      <c r="CZ77">
        <f>COUNT(CO77:CS77)</f>
        <v>0</v>
      </c>
      <c r="DA77">
        <f>IF(CY77=0,CZ77,0)</f>
        <v>0</v>
      </c>
    </row>
    <row r="78" spans="1:105" x14ac:dyDescent="0.35">
      <c r="A78" t="s">
        <v>375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>
        <v>5.5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V78">
        <f>COUNT(B78:CI78)</f>
        <v>1</v>
      </c>
      <c r="CW78" s="18">
        <f>AVERAGE(B78:CI78)</f>
        <v>5.5</v>
      </c>
      <c r="CX78" t="str">
        <f>IF(CV78&gt;1,_xlfn.STDEV.S(B78:CF78),"")</f>
        <v/>
      </c>
      <c r="CY78">
        <v>0</v>
      </c>
      <c r="CZ78">
        <f>COUNT(CO78:CS78)</f>
        <v>0</v>
      </c>
      <c r="DA78">
        <f>IF(CY78=0,CZ78,0)</f>
        <v>0</v>
      </c>
    </row>
    <row r="79" spans="1:105" x14ac:dyDescent="0.35">
      <c r="A79" t="s">
        <v>377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>
        <v>5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CV79">
        <f>COUNT(B79:CI79)</f>
        <v>1</v>
      </c>
      <c r="CW79" s="18">
        <f>AVERAGE(B79:CI79)</f>
        <v>5</v>
      </c>
      <c r="CX79" t="str">
        <f>IF(CV79&gt;1,_xlfn.STDEV.S(B79:CF79),"")</f>
        <v/>
      </c>
      <c r="CY79">
        <v>0</v>
      </c>
      <c r="CZ79">
        <f>COUNT(CO79:CS79)</f>
        <v>0</v>
      </c>
      <c r="DA79">
        <f>IF(CY79=0,CZ79,0)</f>
        <v>0</v>
      </c>
    </row>
    <row r="80" spans="1:105" x14ac:dyDescent="0.35">
      <c r="A80" t="s">
        <v>381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V80">
        <f>COUNT(B80:CI80)</f>
        <v>1</v>
      </c>
      <c r="CW80" s="18">
        <f>AVERAGE(B80:CI80)</f>
        <v>5.5</v>
      </c>
      <c r="CX80" t="str">
        <f>IF(CV80&gt;1,_xlfn.STDEV.S(B80:CF80),"")</f>
        <v/>
      </c>
      <c r="CY80">
        <v>0</v>
      </c>
      <c r="CZ80">
        <f>COUNT(CO80:CS80)</f>
        <v>0</v>
      </c>
      <c r="DA80">
        <f>IF(CY80=0,CZ80,0)</f>
        <v>0</v>
      </c>
    </row>
    <row r="81" spans="1:105" x14ac:dyDescent="0.35">
      <c r="A81" t="s">
        <v>382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>
        <v>5.5</v>
      </c>
      <c r="CA81" t="s">
        <v>26</v>
      </c>
      <c r="CB81" t="s">
        <v>26</v>
      </c>
      <c r="CV81">
        <f>COUNT(B81:CI81)</f>
        <v>1</v>
      </c>
      <c r="CW81" s="18">
        <f>AVERAGE(B81:CI81)</f>
        <v>5.5</v>
      </c>
      <c r="CX81" t="str">
        <f>IF(CV81&gt;1,_xlfn.STDEV.S(B81:CF81),"")</f>
        <v/>
      </c>
      <c r="CY81">
        <v>0</v>
      </c>
      <c r="CZ81">
        <f>COUNT(CO81:CS81)</f>
        <v>0</v>
      </c>
      <c r="DA81">
        <f>IF(CY81=0,CZ81,0)</f>
        <v>0</v>
      </c>
    </row>
    <row r="82" spans="1:105" x14ac:dyDescent="0.35">
      <c r="A82" t="s">
        <v>389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V82">
        <f>COUNT(B82:CI82)</f>
        <v>1</v>
      </c>
      <c r="CW82" s="18">
        <f>AVERAGE(B82:CI82)</f>
        <v>7.5</v>
      </c>
      <c r="CX82" t="str">
        <f>IF(CV82&gt;1,_xlfn.STDEV.S(B82:CF82),"")</f>
        <v/>
      </c>
      <c r="CY82">
        <v>0</v>
      </c>
      <c r="CZ82">
        <f>COUNT(CO82:CS82)</f>
        <v>0</v>
      </c>
      <c r="DA82">
        <f>IF(CY82=0,CZ82,0)</f>
        <v>0</v>
      </c>
    </row>
    <row r="83" spans="1:105" x14ac:dyDescent="0.35">
      <c r="A83" t="s">
        <v>391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V83">
        <f>COUNT(B83:CI83)</f>
        <v>1</v>
      </c>
      <c r="CW83" s="18">
        <f>AVERAGE(B83:CI83)</f>
        <v>7</v>
      </c>
      <c r="CX83" t="str">
        <f>IF(CV83&gt;1,_xlfn.STDEV.S(B83:CF83),"")</f>
        <v/>
      </c>
      <c r="CY83">
        <v>0</v>
      </c>
      <c r="CZ83">
        <f>COUNT(CO83:CS83)</f>
        <v>0</v>
      </c>
      <c r="DA83">
        <f>IF(CY83=0,CZ83,0)</f>
        <v>0</v>
      </c>
    </row>
    <row r="84" spans="1:105" x14ac:dyDescent="0.35">
      <c r="A84" t="s">
        <v>393</v>
      </c>
      <c r="CP84">
        <v>6</v>
      </c>
      <c r="CQ84">
        <v>6.5</v>
      </c>
      <c r="CS84">
        <v>6.5</v>
      </c>
      <c r="CT84">
        <v>7</v>
      </c>
      <c r="CV84">
        <f>COUNT(B84:CI84)</f>
        <v>0</v>
      </c>
      <c r="CW84" s="18" t="e">
        <f>AVERAGE(B84:CI84)</f>
        <v>#DIV/0!</v>
      </c>
      <c r="CX84" t="str">
        <f>IF(CV84&gt;1,_xlfn.STDEV.S(B84:CF84),"")</f>
        <v/>
      </c>
      <c r="CY84">
        <v>0</v>
      </c>
      <c r="CZ84">
        <f>COUNT(CO84:CS84)</f>
        <v>3</v>
      </c>
      <c r="DA84">
        <f>IF(CY84=0,CZ84,0)</f>
        <v>3</v>
      </c>
    </row>
    <row r="85" spans="1:105" x14ac:dyDescent="0.35">
      <c r="A85" t="s">
        <v>394</v>
      </c>
      <c r="CP85">
        <v>5.5</v>
      </c>
      <c r="CQ85">
        <v>6</v>
      </c>
      <c r="CS85">
        <v>6</v>
      </c>
      <c r="CV85">
        <f>COUNT(B85:CI85)</f>
        <v>0</v>
      </c>
      <c r="CW85" s="18" t="e">
        <f>AVERAGE(B85:CI85)</f>
        <v>#DIV/0!</v>
      </c>
      <c r="CX85" t="str">
        <f>IF(CV85&gt;1,_xlfn.STDEV.S(B85:CF85),"")</f>
        <v/>
      </c>
      <c r="CY85">
        <v>0</v>
      </c>
      <c r="CZ85">
        <f>COUNT(CO85:CS85)</f>
        <v>3</v>
      </c>
      <c r="DA85">
        <f>IF(CY85=0,CZ85,0)</f>
        <v>3</v>
      </c>
    </row>
    <row r="86" spans="1:105" x14ac:dyDescent="0.35">
      <c r="A86" t="s">
        <v>395</v>
      </c>
      <c r="CP86">
        <v>6.5</v>
      </c>
      <c r="CV86">
        <f>COUNT(B86:CI86)</f>
        <v>0</v>
      </c>
      <c r="CW86" s="18" t="e">
        <f>AVERAGE(B86:CI86)</f>
        <v>#DIV/0!</v>
      </c>
      <c r="CX86" t="str">
        <f>IF(CV86&gt;1,_xlfn.STDEV.S(B86:CF86),"")</f>
        <v/>
      </c>
      <c r="CY86">
        <v>0</v>
      </c>
      <c r="CZ86">
        <f>COUNT(CO86:CS86)</f>
        <v>1</v>
      </c>
      <c r="DA86">
        <f>IF(CY86=0,CZ86,0)</f>
        <v>1</v>
      </c>
    </row>
    <row r="87" spans="1:105" x14ac:dyDescent="0.35">
      <c r="A87" t="s">
        <v>396</v>
      </c>
      <c r="CQ87">
        <v>6.5</v>
      </c>
      <c r="CV87">
        <f>COUNT(B87:CI87)</f>
        <v>0</v>
      </c>
      <c r="CW87" s="18" t="e">
        <f>AVERAGE(B87:CI87)</f>
        <v>#DIV/0!</v>
      </c>
      <c r="CX87" t="str">
        <f>IF(CV87&gt;1,_xlfn.STDEV.S(B87:CF87),"")</f>
        <v/>
      </c>
      <c r="CY87">
        <v>0</v>
      </c>
      <c r="CZ87">
        <f>COUNT(CO87:CS87)</f>
        <v>1</v>
      </c>
      <c r="DA87">
        <f>IF(CY87=0,CZ87,0)</f>
        <v>1</v>
      </c>
    </row>
    <row r="88" spans="1:105" x14ac:dyDescent="0.35">
      <c r="A88" t="s">
        <v>392</v>
      </c>
      <c r="CO88">
        <v>6.5</v>
      </c>
      <c r="CP88">
        <v>7</v>
      </c>
      <c r="CQ88">
        <v>9</v>
      </c>
      <c r="CR88">
        <v>6.5</v>
      </c>
      <c r="CS88">
        <v>5.5</v>
      </c>
      <c r="CT88">
        <v>6.5</v>
      </c>
      <c r="CV88">
        <f>COUNT(B88:CI88)</f>
        <v>0</v>
      </c>
      <c r="CW88" s="18" t="e">
        <f>AVERAGE(B88:CI88)</f>
        <v>#DIV/0!</v>
      </c>
      <c r="CX88" t="str">
        <f>IF(CV88&gt;1,_xlfn.STDEV.S(B88:CF88),"")</f>
        <v/>
      </c>
      <c r="CY88">
        <v>1</v>
      </c>
      <c r="CZ88">
        <f>COUNT(CO88:CS88)</f>
        <v>5</v>
      </c>
      <c r="DA88">
        <f>IF(CY88=0,CZ88,0)</f>
        <v>0</v>
      </c>
    </row>
  </sheetData>
  <autoFilter ref="A1:DA83" xr:uid="{B9A4D56B-02EF-476F-9B0E-F093A198C591}">
    <sortState ref="A2:DA88">
      <sortCondition descending="1" ref="CV1:CV83"/>
    </sortState>
  </autoFilter>
  <conditionalFormatting sqref="CV2:CV88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88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V2:CV88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88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8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88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88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T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4" workbookViewId="0">
      <selection activeCell="S25" sqref="S25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B93"/>
  <sheetViews>
    <sheetView topLeftCell="A22" zoomScale="85" zoomScaleNormal="85" workbookViewId="0">
      <pane xSplit="1" topLeftCell="K1" activePane="topRight" state="frozen"/>
      <selection activeCell="A31" sqref="A31"/>
      <selection pane="topRight" activeCell="X47" sqref="X47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4" width="12.26953125" style="22" customWidth="1"/>
    <col min="25" max="26" width="9.6328125" customWidth="1"/>
    <col min="28" max="28" width="16.6328125" bestFit="1" customWidth="1"/>
  </cols>
  <sheetData>
    <row r="1" spans="1:28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X1" s="22" t="s">
        <v>355</v>
      </c>
      <c r="AB1" t="s">
        <v>349</v>
      </c>
    </row>
    <row r="2" spans="1:28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AB2" s="1">
        <v>46149</v>
      </c>
    </row>
    <row r="3" spans="1:28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</row>
    <row r="4" spans="1:28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8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t="s">
        <v>370</v>
      </c>
      <c r="AB5">
        <v>18</v>
      </c>
    </row>
    <row r="6" spans="1:28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AA6" t="s">
        <v>371</v>
      </c>
      <c r="AB6">
        <f>27*AB5</f>
        <v>486</v>
      </c>
    </row>
    <row r="7" spans="1:28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t="s">
        <v>372</v>
      </c>
      <c r="AB7">
        <f>1950-AB6</f>
        <v>1464</v>
      </c>
    </row>
    <row r="8" spans="1:28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A8" t="s">
        <v>373</v>
      </c>
      <c r="AB8">
        <f>AB7/18</f>
        <v>81.333333333333329</v>
      </c>
    </row>
    <row r="9" spans="1:28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8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</row>
    <row r="11" spans="1:28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</row>
    <row r="12" spans="1:28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</row>
    <row r="13" spans="1:28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</row>
    <row r="14" spans="1:28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</row>
    <row r="15" spans="1:28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21">
        <v>81.34</v>
      </c>
    </row>
    <row r="16" spans="1:28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AA16" s="60"/>
    </row>
    <row r="17" spans="1:27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AA17" s="60"/>
    </row>
    <row r="18" spans="1:27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</row>
    <row r="19" spans="1:27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</row>
    <row r="20" spans="1:27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</row>
    <row r="21" spans="1:27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7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7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7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</row>
    <row r="25" spans="1:27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7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/>
      <c r="Z26" s="19"/>
    </row>
    <row r="27" spans="1:27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</row>
    <row r="28" spans="1:27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7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7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21">
        <v>27</v>
      </c>
      <c r="X30" s="21">
        <v>27</v>
      </c>
      <c r="Y30">
        <v>24.84</v>
      </c>
    </row>
    <row r="31" spans="1:27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7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</row>
    <row r="33" spans="1:24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4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</row>
    <row r="35" spans="1:24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</row>
    <row r="36" spans="1:24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4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</row>
    <row r="38" spans="1:24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</row>
    <row r="39" spans="1:24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21">
        <v>81.34</v>
      </c>
    </row>
    <row r="40" spans="1:24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</row>
    <row r="41" spans="1:24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4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</row>
    <row r="43" spans="1:24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</row>
    <row r="44" spans="1:24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4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4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4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21">
        <v>81.34</v>
      </c>
    </row>
    <row r="48" spans="1:24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4" x14ac:dyDescent="0.35">
      <c r="A49" t="s">
        <v>80</v>
      </c>
      <c r="G49" s="19">
        <v>25</v>
      </c>
      <c r="H49" s="19"/>
      <c r="I49" s="19"/>
    </row>
    <row r="50" spans="1:24" x14ac:dyDescent="0.35">
      <c r="A50" t="s">
        <v>83</v>
      </c>
      <c r="G50" s="19"/>
      <c r="H50" s="19">
        <v>25</v>
      </c>
      <c r="I50" s="19"/>
    </row>
    <row r="51" spans="1:24" x14ac:dyDescent="0.35">
      <c r="A51" t="s">
        <v>86</v>
      </c>
      <c r="G51" s="19"/>
      <c r="H51" s="19">
        <v>25</v>
      </c>
      <c r="I51" s="19"/>
    </row>
    <row r="52" spans="1:24" x14ac:dyDescent="0.35">
      <c r="A52" t="s">
        <v>85</v>
      </c>
      <c r="G52" s="19"/>
      <c r="H52" s="19">
        <v>25</v>
      </c>
      <c r="I52" s="19">
        <v>50</v>
      </c>
    </row>
    <row r="53" spans="1:24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</row>
    <row r="54" spans="1:24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</row>
    <row r="55" spans="1:24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4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4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</row>
    <row r="58" spans="1:24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</row>
    <row r="59" spans="1:24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4" x14ac:dyDescent="0.35">
      <c r="A60" t="s">
        <v>347</v>
      </c>
      <c r="G60"/>
      <c r="H60"/>
      <c r="I60"/>
      <c r="K60" s="19">
        <v>25</v>
      </c>
      <c r="L60" s="19"/>
    </row>
    <row r="61" spans="1:24" x14ac:dyDescent="0.35">
      <c r="A61" t="s">
        <v>354</v>
      </c>
      <c r="G61"/>
      <c r="H61"/>
      <c r="I61"/>
      <c r="K61" s="19"/>
      <c r="L61" s="19">
        <v>25</v>
      </c>
    </row>
    <row r="62" spans="1:24" x14ac:dyDescent="0.35">
      <c r="A62" t="s">
        <v>356</v>
      </c>
      <c r="L62" s="19">
        <v>25</v>
      </c>
    </row>
    <row r="63" spans="1:24" x14ac:dyDescent="0.35">
      <c r="A63" t="s">
        <v>352</v>
      </c>
      <c r="L63" s="19">
        <v>25</v>
      </c>
    </row>
    <row r="64" spans="1:24" x14ac:dyDescent="0.35">
      <c r="A64" t="s">
        <v>350</v>
      </c>
      <c r="L64" s="19">
        <v>25</v>
      </c>
    </row>
    <row r="65" spans="1:24" x14ac:dyDescent="0.35">
      <c r="A65" t="s">
        <v>363</v>
      </c>
      <c r="L65" s="19"/>
      <c r="M65" s="19">
        <v>25</v>
      </c>
      <c r="U65" s="19">
        <v>27</v>
      </c>
    </row>
    <row r="66" spans="1:24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4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</row>
    <row r="68" spans="1:24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4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4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</row>
    <row r="71" spans="1:24" x14ac:dyDescent="0.35">
      <c r="A71" t="s">
        <v>369</v>
      </c>
      <c r="O71" s="19">
        <v>54</v>
      </c>
      <c r="P71" s="19"/>
      <c r="Q71" s="19"/>
    </row>
    <row r="72" spans="1:24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</row>
    <row r="73" spans="1:24" x14ac:dyDescent="0.35">
      <c r="A73" t="s">
        <v>374</v>
      </c>
      <c r="O73" s="19"/>
      <c r="P73" s="19"/>
      <c r="Q73" s="19">
        <v>27</v>
      </c>
    </row>
    <row r="74" spans="1:24" x14ac:dyDescent="0.35">
      <c r="A74" t="s">
        <v>375</v>
      </c>
      <c r="O74" s="19"/>
      <c r="P74" s="19"/>
      <c r="Q74" s="19">
        <v>27</v>
      </c>
    </row>
    <row r="75" spans="1:24" x14ac:dyDescent="0.35">
      <c r="A75" t="s">
        <v>377</v>
      </c>
      <c r="O75" s="19"/>
      <c r="P75" s="19"/>
      <c r="Q75" s="19"/>
      <c r="R75" s="19">
        <v>27</v>
      </c>
      <c r="S75" s="19"/>
    </row>
    <row r="76" spans="1:24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21">
        <v>81.34</v>
      </c>
    </row>
    <row r="77" spans="1:24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4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4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4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21">
        <v>27</v>
      </c>
    </row>
    <row r="81" spans="1:24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4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</row>
    <row r="83" spans="1:24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4" x14ac:dyDescent="0.35">
      <c r="A84" t="s">
        <v>398</v>
      </c>
      <c r="O84" s="19"/>
      <c r="P84" s="19"/>
      <c r="Q84" s="19"/>
      <c r="R84" s="19"/>
      <c r="S84" s="19"/>
      <c r="T84" s="19"/>
      <c r="U84" s="19"/>
      <c r="V84" s="19"/>
      <c r="X84" s="21">
        <v>81.34</v>
      </c>
    </row>
    <row r="85" spans="1:24" x14ac:dyDescent="0.35">
      <c r="A85" t="s">
        <v>394</v>
      </c>
      <c r="O85" s="19"/>
      <c r="P85" s="19"/>
      <c r="Q85" s="19"/>
      <c r="R85" s="19"/>
      <c r="S85" s="19"/>
      <c r="T85" s="19"/>
      <c r="U85" s="19"/>
      <c r="V85" s="19"/>
      <c r="X85" s="21">
        <v>81</v>
      </c>
    </row>
    <row r="86" spans="1:24" x14ac:dyDescent="0.35">
      <c r="A86" t="s">
        <v>393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</row>
    <row r="87" spans="1:24" x14ac:dyDescent="0.35">
      <c r="A87" t="s">
        <v>395</v>
      </c>
      <c r="O87" s="19"/>
      <c r="P87" s="19"/>
      <c r="Q87" s="19"/>
      <c r="R87" s="19"/>
      <c r="S87" s="19"/>
      <c r="T87" s="19"/>
      <c r="U87" s="19"/>
      <c r="V87" s="19"/>
      <c r="X87" s="21">
        <v>27</v>
      </c>
    </row>
    <row r="88" spans="1:24" x14ac:dyDescent="0.35">
      <c r="A88" t="s">
        <v>396</v>
      </c>
      <c r="O88" s="19"/>
      <c r="P88" s="19"/>
      <c r="Q88" s="19"/>
      <c r="R88" s="19"/>
      <c r="S88" s="19"/>
      <c r="T88" s="19"/>
      <c r="U88" s="19"/>
      <c r="V88" s="19"/>
      <c r="X88" s="21">
        <v>27</v>
      </c>
    </row>
    <row r="89" spans="1:24" x14ac:dyDescent="0.35">
      <c r="U89" s="22"/>
    </row>
    <row r="90" spans="1:24" x14ac:dyDescent="0.35">
      <c r="A90" t="s">
        <v>386</v>
      </c>
      <c r="B90" s="20">
        <f>SUM(B2:B80)</f>
        <v>1799.9999999999998</v>
      </c>
      <c r="C90" s="20">
        <f t="shared" ref="C90:U90" si="1">SUM(C2:C80)</f>
        <v>1800.1200000000001</v>
      </c>
      <c r="D90" s="20">
        <f t="shared" si="1"/>
        <v>1825.1200000000001</v>
      </c>
      <c r="E90" s="20">
        <f t="shared" si="1"/>
        <v>1775.04</v>
      </c>
      <c r="F90" s="20">
        <f t="shared" si="1"/>
        <v>1850.04</v>
      </c>
      <c r="G90" s="20">
        <f t="shared" si="1"/>
        <v>1800.0399999999997</v>
      </c>
      <c r="H90" s="20">
        <f t="shared" si="1"/>
        <v>1800.14</v>
      </c>
      <c r="I90" s="20">
        <f t="shared" si="1"/>
        <v>1800.0399999999997</v>
      </c>
      <c r="J90" s="20">
        <f t="shared" si="1"/>
        <v>1800.1599999999994</v>
      </c>
      <c r="K90" s="20">
        <f t="shared" si="1"/>
        <v>1825.0066666666664</v>
      </c>
      <c r="L90" s="20">
        <f t="shared" si="1"/>
        <v>1800.0600000000004</v>
      </c>
      <c r="M90" s="20">
        <f t="shared" si="1"/>
        <v>1800.0200000000004</v>
      </c>
      <c r="N90" s="20">
        <f t="shared" si="1"/>
        <v>1950.1199999999997</v>
      </c>
      <c r="O90" s="20">
        <f t="shared" si="1"/>
        <v>1950.1199999999997</v>
      </c>
      <c r="P90" s="20">
        <f t="shared" si="1"/>
        <v>1950.1199999999997</v>
      </c>
      <c r="Q90" s="20">
        <f t="shared" si="1"/>
        <v>1951.9399999999998</v>
      </c>
      <c r="R90" s="20">
        <f t="shared" si="1"/>
        <v>1952.1199999999997</v>
      </c>
      <c r="S90" s="20">
        <f t="shared" si="1"/>
        <v>1950.1199999999997</v>
      </c>
      <c r="T90" s="20">
        <f t="shared" si="1"/>
        <v>1950.1199999999997</v>
      </c>
      <c r="U90" s="20">
        <f t="shared" si="1"/>
        <v>1950.1199999999997</v>
      </c>
      <c r="V90" s="20">
        <f>SUM(V2:V83)</f>
        <v>1950.12</v>
      </c>
      <c r="W90" s="20">
        <f>SUM(W2:W83)</f>
        <v>1950.1299999999994</v>
      </c>
      <c r="X90" s="20">
        <f>SUM(X2:X88)</f>
        <v>1950.1199999999997</v>
      </c>
    </row>
    <row r="91" spans="1:24" x14ac:dyDescent="0.35">
      <c r="A91" t="s">
        <v>74</v>
      </c>
      <c r="B91" s="20">
        <f>SUM(B3:B28)</f>
        <v>1716.6666666666665</v>
      </c>
      <c r="C91" s="20">
        <f>SUM(C3:C35)</f>
        <v>1729.2800000000002</v>
      </c>
      <c r="D91" s="20">
        <f>SUM(D3:D38)</f>
        <v>1754.2800000000002</v>
      </c>
      <c r="E91" s="20">
        <f>SUM(E3:E41)</f>
        <v>1697.26</v>
      </c>
      <c r="F91" s="20">
        <f>SUM(F3:F44)</f>
        <v>1772.26</v>
      </c>
      <c r="G91" s="20">
        <f>SUM(G3:G49)</f>
        <v>1722.2599999999998</v>
      </c>
      <c r="H91" s="20">
        <f>SUM(H3:H53)</f>
        <v>1715.41</v>
      </c>
      <c r="I91" s="20">
        <f>SUM(I3:I53)</f>
        <v>1722.2599999999998</v>
      </c>
      <c r="J91" s="20">
        <f>SUM(J3:J56)</f>
        <v>1714.0399999999995</v>
      </c>
      <c r="K91" s="20">
        <f>SUM(K3:K59)</f>
        <v>1716.6733333333332</v>
      </c>
      <c r="L91" s="20">
        <f>SUM(L3:L59)</f>
        <v>1620.8900000000003</v>
      </c>
      <c r="M91" s="20">
        <f>SUM(M3:M69)</f>
        <v>1723.6300000000003</v>
      </c>
      <c r="N91" s="20">
        <f>SUM(N3:N69)</f>
        <v>1861.2799999999997</v>
      </c>
      <c r="O91" s="20">
        <f>SUM(O3:O71)</f>
        <v>1865.7799999999997</v>
      </c>
      <c r="P91" s="20">
        <f>SUM(P3:P71)</f>
        <v>1864.2799999999997</v>
      </c>
      <c r="Q91" s="20">
        <f>SUM(Q3:Q74)</f>
        <v>1869.11</v>
      </c>
      <c r="R91" s="20">
        <f>SUM(R3:R75)</f>
        <v>1870.7799999999997</v>
      </c>
      <c r="S91" s="20">
        <f>SUM(S3:S77)</f>
        <v>1864.2799999999997</v>
      </c>
      <c r="T91" s="20">
        <f>SUM(T3:T79)</f>
        <v>1859.7799999999997</v>
      </c>
      <c r="U91" s="20">
        <f>SUM(U3:U80)</f>
        <v>1856.7799999999997</v>
      </c>
      <c r="V91" s="20">
        <f>SUM(V3:V80)</f>
        <v>1736.78</v>
      </c>
      <c r="W91" s="20">
        <f>SUM(W3:W80)</f>
        <v>1853.7899999999993</v>
      </c>
      <c r="X91" s="20">
        <f>X90-X2</f>
        <v>1868.7799999999997</v>
      </c>
    </row>
    <row r="92" spans="1:24" x14ac:dyDescent="0.35">
      <c r="A92" t="s">
        <v>75</v>
      </c>
      <c r="B92" s="20">
        <f>25*12+83.34*17</f>
        <v>1716.78</v>
      </c>
      <c r="C92" s="20">
        <f>22*25+70.84*17</f>
        <v>1754.28</v>
      </c>
      <c r="D92" s="20">
        <f>20*25+70.84*17</f>
        <v>1704.28</v>
      </c>
      <c r="E92" s="20">
        <f>15*25+77.78*17</f>
        <v>1697.26</v>
      </c>
      <c r="F92" s="20">
        <f>18*25+77.78*17</f>
        <v>1772.26</v>
      </c>
      <c r="G92" s="23">
        <f>17*77.78+25*16</f>
        <v>1722.26</v>
      </c>
      <c r="H92" s="23">
        <f>11*25+84.73*17</f>
        <v>1715.41</v>
      </c>
      <c r="I92" s="23">
        <f>17*25+77.78*17</f>
        <v>1747.26</v>
      </c>
      <c r="J92" s="23">
        <f>10*25+86.12*17</f>
        <v>1714.04</v>
      </c>
      <c r="K92" s="23">
        <f>14*25+83.33*17</f>
        <v>1766.61</v>
      </c>
      <c r="L92" s="23">
        <f>15*25+79.17*17</f>
        <v>1720.89</v>
      </c>
      <c r="M92" s="23">
        <f>17*25+76.39*17</f>
        <v>1723.63</v>
      </c>
      <c r="N92" s="23">
        <f>14*27+88.84*17</f>
        <v>1888.28</v>
      </c>
      <c r="O92" s="23">
        <f>16*27+84.34*17</f>
        <v>1865.78</v>
      </c>
      <c r="P92" s="23">
        <f>15*27+85.84*17</f>
        <v>1864.28</v>
      </c>
      <c r="Q92" s="23">
        <f>17*27+82.83*17</f>
        <v>1867.11</v>
      </c>
      <c r="R92" s="23">
        <f>18*27+82.83*17</f>
        <v>1894.11</v>
      </c>
      <c r="S92" s="23">
        <f>15*27+85.84*17</f>
        <v>1864.28</v>
      </c>
      <c r="T92" s="23">
        <f>12*27+85.84*17</f>
        <v>1783.28</v>
      </c>
      <c r="U92" s="23">
        <f>9*27+85.84*17</f>
        <v>1702.28</v>
      </c>
      <c r="V92" s="23">
        <f>19*27+85.84*17</f>
        <v>1972.28</v>
      </c>
      <c r="W92" s="23">
        <f>7*27+85.84*17.25</f>
        <v>1669.74</v>
      </c>
      <c r="X92" s="23">
        <f>11*27+81.34*12</f>
        <v>1273.08</v>
      </c>
    </row>
    <row r="93" spans="1:24" x14ac:dyDescent="0.35">
      <c r="B93" s="24">
        <f t="shared" ref="B93:G93" si="2">B92/B91</f>
        <v>1.0000660194174757</v>
      </c>
      <c r="C93" s="24">
        <f t="shared" si="2"/>
        <v>1.0144568837897852</v>
      </c>
      <c r="D93" s="24">
        <f t="shared" si="2"/>
        <v>0.97149827849602099</v>
      </c>
      <c r="E93" s="24">
        <f t="shared" si="2"/>
        <v>1</v>
      </c>
      <c r="F93" s="24">
        <f t="shared" si="2"/>
        <v>1</v>
      </c>
      <c r="G93" s="24">
        <f t="shared" si="2"/>
        <v>1.0000000000000002</v>
      </c>
      <c r="H93" s="24">
        <f t="shared" ref="H93:I93" si="3">H92/H91</f>
        <v>1</v>
      </c>
      <c r="I93" s="24">
        <f t="shared" si="3"/>
        <v>1.0145158106209284</v>
      </c>
      <c r="J93" s="24">
        <f t="shared" ref="J93:K93" si="4">J92/J91</f>
        <v>1.0000000000000002</v>
      </c>
      <c r="K93" s="24">
        <f t="shared" si="4"/>
        <v>1.0290892074205538</v>
      </c>
      <c r="L93" s="24">
        <f t="shared" ref="L93:M93" si="5">L92/L91</f>
        <v>1.0616945011691106</v>
      </c>
      <c r="M93" s="24">
        <f t="shared" si="5"/>
        <v>0.99999999999999989</v>
      </c>
      <c r="N93" s="24">
        <f t="shared" ref="N93:O93" si="6">N92/N91</f>
        <v>1.0145061463079172</v>
      </c>
      <c r="O93" s="24">
        <f t="shared" si="6"/>
        <v>1.0000000000000002</v>
      </c>
      <c r="P93" s="24">
        <f t="shared" ref="P93" si="7">P92/P91</f>
        <v>1.0000000000000002</v>
      </c>
      <c r="Q93" s="24">
        <f t="shared" ref="Q93:V93" si="8">Q92/Q91</f>
        <v>0.99892997201876832</v>
      </c>
      <c r="R93" s="24">
        <f t="shared" si="8"/>
        <v>1.0124707341322872</v>
      </c>
      <c r="S93" s="24">
        <f t="shared" si="8"/>
        <v>1.0000000000000002</v>
      </c>
      <c r="T93" s="24">
        <f t="shared" si="8"/>
        <v>0.95886610244222448</v>
      </c>
      <c r="U93" s="24">
        <f>U92/U91</f>
        <v>0.91679143463415169</v>
      </c>
      <c r="V93" s="24">
        <f t="shared" si="8"/>
        <v>1.1355957576664863</v>
      </c>
      <c r="W93" s="24">
        <f t="shared" ref="W93:X93" si="9">W92/W91</f>
        <v>0.90071690968232687</v>
      </c>
      <c r="X93" s="24">
        <f t="shared" si="9"/>
        <v>0.68123588651419653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85"/>
  <sheetViews>
    <sheetView topLeftCell="A259" workbookViewId="0">
      <selection activeCell="K285" sqref="K285:O285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390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390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390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390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392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392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395</v>
      </c>
      <c r="G271" s="8" t="s">
        <v>392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393</v>
      </c>
      <c r="O272" s="61" t="s">
        <v>394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393</v>
      </c>
      <c r="G273" s="61" t="s">
        <v>394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395</v>
      </c>
      <c r="O273" s="8" t="s">
        <v>392</v>
      </c>
      <c r="P273" s="8"/>
    </row>
    <row r="274" spans="1:16" x14ac:dyDescent="0.35">
      <c r="A274" s="1">
        <v>46127</v>
      </c>
      <c r="B274" s="62">
        <v>4</v>
      </c>
      <c r="C274" s="8" t="s">
        <v>10</v>
      </c>
      <c r="D274" s="8" t="s">
        <v>378</v>
      </c>
      <c r="E274" s="8" t="s">
        <v>11</v>
      </c>
      <c r="F274" s="8" t="s">
        <v>81</v>
      </c>
      <c r="G274" s="8" t="s">
        <v>343</v>
      </c>
      <c r="H274" s="8" t="s">
        <v>396</v>
      </c>
      <c r="I274" s="9">
        <v>4</v>
      </c>
      <c r="J274" s="10">
        <v>5</v>
      </c>
      <c r="K274" s="10" t="s">
        <v>1</v>
      </c>
      <c r="L274" s="10" t="s">
        <v>16</v>
      </c>
      <c r="M274" s="10" t="s">
        <v>15</v>
      </c>
      <c r="N274" s="10" t="s">
        <v>19</v>
      </c>
      <c r="O274" s="10" t="s">
        <v>22</v>
      </c>
      <c r="P274" s="10" t="s">
        <v>2</v>
      </c>
    </row>
    <row r="275" spans="1:16" x14ac:dyDescent="0.35">
      <c r="A275" s="1">
        <v>46127</v>
      </c>
      <c r="B275" s="62">
        <v>7</v>
      </c>
      <c r="C275" s="10" t="s">
        <v>1</v>
      </c>
      <c r="D275" s="10" t="s">
        <v>16</v>
      </c>
      <c r="E275" s="10" t="s">
        <v>15</v>
      </c>
      <c r="F275" s="10" t="s">
        <v>19</v>
      </c>
      <c r="G275" s="10" t="s">
        <v>22</v>
      </c>
      <c r="H275" s="10" t="s">
        <v>2</v>
      </c>
      <c r="I275" s="11">
        <v>9</v>
      </c>
      <c r="J275" s="2">
        <v>5</v>
      </c>
      <c r="K275" s="2" t="s">
        <v>56</v>
      </c>
      <c r="L275" s="2" t="s">
        <v>82</v>
      </c>
      <c r="M275" s="2" t="s">
        <v>392</v>
      </c>
      <c r="N275" s="2" t="s">
        <v>376</v>
      </c>
      <c r="O275" s="61" t="s">
        <v>393</v>
      </c>
      <c r="P275" s="2" t="s">
        <v>394</v>
      </c>
    </row>
    <row r="276" spans="1:16" x14ac:dyDescent="0.35">
      <c r="A276" s="1">
        <v>46127</v>
      </c>
      <c r="B276" s="62">
        <v>4</v>
      </c>
      <c r="C276" s="2" t="s">
        <v>56</v>
      </c>
      <c r="D276" s="2" t="s">
        <v>82</v>
      </c>
      <c r="E276" s="2" t="s">
        <v>392</v>
      </c>
      <c r="F276" s="2" t="s">
        <v>376</v>
      </c>
      <c r="G276" s="61" t="s">
        <v>393</v>
      </c>
      <c r="H276" s="2" t="s">
        <v>394</v>
      </c>
      <c r="I276" s="5">
        <v>7</v>
      </c>
      <c r="J276" s="8">
        <v>4</v>
      </c>
      <c r="K276" s="8" t="s">
        <v>10</v>
      </c>
      <c r="L276" s="8" t="s">
        <v>378</v>
      </c>
      <c r="M276" s="8" t="s">
        <v>11</v>
      </c>
      <c r="N276" s="8" t="s">
        <v>81</v>
      </c>
      <c r="O276" s="8" t="s">
        <v>343</v>
      </c>
      <c r="P276" s="8" t="s">
        <v>396</v>
      </c>
    </row>
    <row r="277" spans="1:16" x14ac:dyDescent="0.35">
      <c r="A277" s="1">
        <v>46134</v>
      </c>
      <c r="B277" s="62">
        <v>3</v>
      </c>
      <c r="C277" s="8" t="s">
        <v>1</v>
      </c>
      <c r="D277" s="8" t="s">
        <v>16</v>
      </c>
      <c r="E277" s="8" t="s">
        <v>9</v>
      </c>
      <c r="F277" s="8" t="s">
        <v>81</v>
      </c>
      <c r="G277" s="8" t="s">
        <v>11</v>
      </c>
      <c r="H277" s="8" t="s">
        <v>343</v>
      </c>
      <c r="I277" s="9">
        <v>3</v>
      </c>
      <c r="J277" s="10">
        <v>3</v>
      </c>
      <c r="K277" s="10" t="s">
        <v>15</v>
      </c>
      <c r="L277" s="10" t="s">
        <v>10</v>
      </c>
      <c r="M277" s="10" t="s">
        <v>2</v>
      </c>
      <c r="N277" s="10" t="s">
        <v>5</v>
      </c>
      <c r="O277" s="10" t="s">
        <v>392</v>
      </c>
      <c r="P277" s="10" t="s">
        <v>66</v>
      </c>
    </row>
    <row r="278" spans="1:16" x14ac:dyDescent="0.35">
      <c r="A278" s="1">
        <v>46134</v>
      </c>
      <c r="B278" s="62">
        <v>4</v>
      </c>
      <c r="C278" s="10" t="s">
        <v>15</v>
      </c>
      <c r="D278" s="10" t="s">
        <v>10</v>
      </c>
      <c r="E278" s="10" t="s">
        <v>2</v>
      </c>
      <c r="F278" s="10" t="s">
        <v>5</v>
      </c>
      <c r="G278" s="10" t="s">
        <v>392</v>
      </c>
      <c r="H278" s="10" t="s">
        <v>66</v>
      </c>
      <c r="I278" s="11">
        <v>3</v>
      </c>
      <c r="J278" s="2">
        <v>5</v>
      </c>
      <c r="K278" s="2" t="s">
        <v>56</v>
      </c>
      <c r="L278" s="2" t="s">
        <v>82</v>
      </c>
      <c r="M278" s="2" t="s">
        <v>19</v>
      </c>
      <c r="N278" s="2" t="s">
        <v>367</v>
      </c>
      <c r="O278" s="61" t="s">
        <v>84</v>
      </c>
      <c r="P278" s="2" t="s">
        <v>20</v>
      </c>
    </row>
    <row r="279" spans="1:16" x14ac:dyDescent="0.35">
      <c r="A279" s="1">
        <v>46134</v>
      </c>
      <c r="B279" s="62">
        <v>4</v>
      </c>
      <c r="C279" s="2" t="s">
        <v>56</v>
      </c>
      <c r="D279" s="2" t="s">
        <v>82</v>
      </c>
      <c r="E279" s="2" t="s">
        <v>19</v>
      </c>
      <c r="F279" s="2" t="s">
        <v>367</v>
      </c>
      <c r="G279" s="61" t="s">
        <v>84</v>
      </c>
      <c r="H279" s="2" t="s">
        <v>20</v>
      </c>
      <c r="I279" s="5">
        <v>3</v>
      </c>
      <c r="J279" s="8">
        <v>2</v>
      </c>
      <c r="K279" s="8" t="s">
        <v>1</v>
      </c>
      <c r="L279" s="8" t="s">
        <v>16</v>
      </c>
      <c r="M279" s="8" t="s">
        <v>9</v>
      </c>
      <c r="N279" s="8" t="s">
        <v>81</v>
      </c>
      <c r="O279" s="8" t="s">
        <v>11</v>
      </c>
      <c r="P279" s="8" t="s">
        <v>343</v>
      </c>
    </row>
    <row r="280" spans="1:16" x14ac:dyDescent="0.35">
      <c r="A280" s="1">
        <v>46141</v>
      </c>
      <c r="B280" s="62">
        <v>5</v>
      </c>
      <c r="C280" s="8" t="s">
        <v>1</v>
      </c>
      <c r="D280" s="8" t="s">
        <v>81</v>
      </c>
      <c r="E280" s="8" t="s">
        <v>10</v>
      </c>
      <c r="F280" s="8" t="s">
        <v>53</v>
      </c>
      <c r="G280" s="8" t="s">
        <v>56</v>
      </c>
      <c r="H280" s="8" t="s">
        <v>392</v>
      </c>
      <c r="I280" s="9">
        <v>4</v>
      </c>
      <c r="J280" s="10">
        <v>6</v>
      </c>
      <c r="K280" s="10" t="s">
        <v>9</v>
      </c>
      <c r="L280" s="10" t="s">
        <v>367</v>
      </c>
      <c r="M280" s="10" t="s">
        <v>20</v>
      </c>
      <c r="N280" s="10" t="s">
        <v>46</v>
      </c>
      <c r="O280" s="10" t="s">
        <v>16</v>
      </c>
      <c r="P280" s="10" t="s">
        <v>393</v>
      </c>
    </row>
    <row r="281" spans="1:16" x14ac:dyDescent="0.35">
      <c r="A281" s="1">
        <v>46141</v>
      </c>
      <c r="B281" s="62">
        <v>3</v>
      </c>
      <c r="C281" s="10" t="s">
        <v>9</v>
      </c>
      <c r="D281" s="10" t="s">
        <v>367</v>
      </c>
      <c r="E281" s="10" t="s">
        <v>20</v>
      </c>
      <c r="F281" s="10" t="s">
        <v>46</v>
      </c>
      <c r="G281" s="10" t="s">
        <v>16</v>
      </c>
      <c r="H281" s="10" t="s">
        <v>393</v>
      </c>
      <c r="I281" s="11">
        <v>3</v>
      </c>
      <c r="J281" s="2">
        <v>2</v>
      </c>
      <c r="K281" s="2" t="s">
        <v>15</v>
      </c>
      <c r="L281" s="2" t="s">
        <v>19</v>
      </c>
      <c r="M281" s="2" t="s">
        <v>82</v>
      </c>
      <c r="N281" s="61" t="s">
        <v>376</v>
      </c>
      <c r="O281" s="61" t="s">
        <v>390</v>
      </c>
      <c r="P281" s="2" t="s">
        <v>394</v>
      </c>
    </row>
    <row r="282" spans="1:16" x14ac:dyDescent="0.35">
      <c r="A282" s="1">
        <v>46141</v>
      </c>
      <c r="B282" s="62">
        <v>4</v>
      </c>
      <c r="C282" s="2" t="s">
        <v>15</v>
      </c>
      <c r="D282" s="2" t="s">
        <v>19</v>
      </c>
      <c r="E282" s="2" t="s">
        <v>82</v>
      </c>
      <c r="F282" s="61" t="s">
        <v>376</v>
      </c>
      <c r="G282" s="61" t="s">
        <v>390</v>
      </c>
      <c r="H282" s="2" t="s">
        <v>394</v>
      </c>
      <c r="I282" s="5">
        <v>6</v>
      </c>
      <c r="J282" s="8">
        <v>6</v>
      </c>
      <c r="K282" s="8" t="s">
        <v>1</v>
      </c>
      <c r="L282" s="8" t="s">
        <v>81</v>
      </c>
      <c r="M282" s="8" t="s">
        <v>10</v>
      </c>
      <c r="N282" s="8" t="s">
        <v>53</v>
      </c>
      <c r="O282" s="8" t="s">
        <v>56</v>
      </c>
      <c r="P282" s="8" t="s">
        <v>392</v>
      </c>
    </row>
    <row r="283" spans="1:16" x14ac:dyDescent="0.35">
      <c r="A283" s="1">
        <v>46148</v>
      </c>
      <c r="B283" s="62">
        <v>4</v>
      </c>
      <c r="C283" s="8" t="s">
        <v>15</v>
      </c>
      <c r="D283" s="8" t="s">
        <v>82</v>
      </c>
      <c r="E283" s="8" t="s">
        <v>84</v>
      </c>
      <c r="F283" s="8" t="s">
        <v>367</v>
      </c>
      <c r="G283" s="8" t="s">
        <v>392</v>
      </c>
      <c r="H283" s="8"/>
      <c r="I283" s="9">
        <v>3</v>
      </c>
      <c r="J283" s="10">
        <v>2</v>
      </c>
      <c r="K283" s="10" t="s">
        <v>56</v>
      </c>
      <c r="L283" s="10" t="s">
        <v>48</v>
      </c>
      <c r="M283" s="10" t="s">
        <v>19</v>
      </c>
      <c r="N283" s="10" t="s">
        <v>393</v>
      </c>
      <c r="O283" s="10" t="s">
        <v>390</v>
      </c>
      <c r="P283" s="10"/>
    </row>
    <row r="284" spans="1:16" x14ac:dyDescent="0.35">
      <c r="A284" s="1">
        <v>46148</v>
      </c>
      <c r="B284" s="62">
        <v>3</v>
      </c>
      <c r="C284" s="10" t="s">
        <v>56</v>
      </c>
      <c r="D284" s="10" t="s">
        <v>48</v>
      </c>
      <c r="E284" s="10" t="s">
        <v>19</v>
      </c>
      <c r="F284" s="10" t="s">
        <v>393</v>
      </c>
      <c r="G284" s="10" t="s">
        <v>390</v>
      </c>
      <c r="H284" s="10"/>
      <c r="I284" s="11">
        <v>5</v>
      </c>
      <c r="J284" s="2">
        <v>0</v>
      </c>
      <c r="K284" s="2" t="s">
        <v>1</v>
      </c>
      <c r="L284" s="2" t="s">
        <v>81</v>
      </c>
      <c r="M284" s="2" t="s">
        <v>46</v>
      </c>
      <c r="N284" s="61" t="s">
        <v>16</v>
      </c>
      <c r="O284" s="61" t="s">
        <v>376</v>
      </c>
      <c r="P284" s="2"/>
    </row>
    <row r="285" spans="1:16" x14ac:dyDescent="0.35">
      <c r="A285" s="1">
        <v>46148</v>
      </c>
      <c r="B285" s="62">
        <v>3</v>
      </c>
      <c r="C285" s="2" t="s">
        <v>1</v>
      </c>
      <c r="D285" s="2" t="s">
        <v>81</v>
      </c>
      <c r="E285" s="2" t="s">
        <v>46</v>
      </c>
      <c r="F285" s="61" t="s">
        <v>16</v>
      </c>
      <c r="G285" s="61" t="s">
        <v>376</v>
      </c>
      <c r="H285" s="2"/>
      <c r="I285" s="5">
        <v>3</v>
      </c>
      <c r="J285" s="8">
        <v>2</v>
      </c>
      <c r="K285" s="8" t="s">
        <v>15</v>
      </c>
      <c r="L285" s="8" t="s">
        <v>82</v>
      </c>
      <c r="M285" s="8" t="s">
        <v>84</v>
      </c>
      <c r="N285" s="8" t="s">
        <v>367</v>
      </c>
      <c r="O285" s="8" t="s">
        <v>392</v>
      </c>
      <c r="P285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A88"/>
  <sheetViews>
    <sheetView tabSelected="1" topLeftCell="A46" zoomScaleNormal="100" workbookViewId="0">
      <pane xSplit="1" topLeftCell="BT1" activePane="topRight" state="frozen"/>
      <selection pane="topRight" activeCell="CA89" sqref="CA89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79" width="10.453125" bestFit="1" customWidth="1"/>
  </cols>
  <sheetData>
    <row r="1" spans="1:79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</row>
    <row r="2" spans="1:79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</row>
    <row r="3" spans="1:79" x14ac:dyDescent="0.35">
      <c r="A3" t="s">
        <v>24</v>
      </c>
      <c r="BO3">
        <v>2</v>
      </c>
    </row>
    <row r="4" spans="1:79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79" hidden="1" x14ac:dyDescent="0.35">
      <c r="A5" t="s">
        <v>365</v>
      </c>
    </row>
    <row r="6" spans="1:79" x14ac:dyDescent="0.35">
      <c r="A6" t="s">
        <v>77</v>
      </c>
      <c r="G6">
        <v>3</v>
      </c>
    </row>
    <row r="7" spans="1:79" x14ac:dyDescent="0.35">
      <c r="A7" t="s">
        <v>392</v>
      </c>
      <c r="BW7">
        <v>2</v>
      </c>
      <c r="BX7">
        <v>9</v>
      </c>
      <c r="BY7">
        <v>4</v>
      </c>
      <c r="BZ7">
        <v>1</v>
      </c>
      <c r="CA7">
        <v>3</v>
      </c>
    </row>
    <row r="8" spans="1:79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79" x14ac:dyDescent="0.35">
      <c r="A9" t="s">
        <v>7</v>
      </c>
      <c r="K9">
        <v>1</v>
      </c>
    </row>
    <row r="10" spans="1:79" x14ac:dyDescent="0.35">
      <c r="A10" t="s">
        <v>353</v>
      </c>
      <c r="G10">
        <v>1</v>
      </c>
    </row>
    <row r="11" spans="1:79" hidden="1" x14ac:dyDescent="0.35">
      <c r="A11" t="s">
        <v>347</v>
      </c>
    </row>
    <row r="12" spans="1:79" x14ac:dyDescent="0.35">
      <c r="A12" t="s">
        <v>48</v>
      </c>
    </row>
    <row r="13" spans="1:79" x14ac:dyDescent="0.35">
      <c r="A13" t="s">
        <v>396</v>
      </c>
      <c r="BX13">
        <v>2</v>
      </c>
    </row>
    <row r="14" spans="1:79" x14ac:dyDescent="0.35">
      <c r="A14" t="s">
        <v>382</v>
      </c>
    </row>
    <row r="15" spans="1:79" x14ac:dyDescent="0.35">
      <c r="A15" t="s">
        <v>394</v>
      </c>
      <c r="BW15">
        <v>1</v>
      </c>
    </row>
    <row r="16" spans="1:79" x14ac:dyDescent="0.35">
      <c r="A16" t="s">
        <v>362</v>
      </c>
      <c r="BK16">
        <v>1</v>
      </c>
    </row>
    <row r="17" spans="1:79" hidden="1" x14ac:dyDescent="0.35">
      <c r="A17" t="s">
        <v>18</v>
      </c>
    </row>
    <row r="18" spans="1:79" x14ac:dyDescent="0.35">
      <c r="A18" t="s">
        <v>25</v>
      </c>
      <c r="C18">
        <v>1</v>
      </c>
      <c r="E18">
        <v>1</v>
      </c>
      <c r="G18">
        <v>1</v>
      </c>
      <c r="J18">
        <v>3</v>
      </c>
      <c r="K18">
        <v>3</v>
      </c>
      <c r="M18">
        <v>1</v>
      </c>
      <c r="R18">
        <v>1</v>
      </c>
      <c r="V18">
        <v>1</v>
      </c>
      <c r="AE18">
        <v>1</v>
      </c>
      <c r="AF18">
        <v>1</v>
      </c>
      <c r="AH18">
        <v>2</v>
      </c>
      <c r="AT18">
        <v>1</v>
      </c>
      <c r="BA18">
        <v>1</v>
      </c>
      <c r="BH18">
        <v>1</v>
      </c>
      <c r="BM18">
        <v>1</v>
      </c>
    </row>
    <row r="19" spans="1:79" x14ac:dyDescent="0.35">
      <c r="A19" t="s">
        <v>14</v>
      </c>
      <c r="E19">
        <v>1</v>
      </c>
      <c r="F19">
        <v>1</v>
      </c>
      <c r="J19">
        <v>1</v>
      </c>
      <c r="P19">
        <v>1</v>
      </c>
      <c r="S19">
        <v>1</v>
      </c>
      <c r="W19">
        <v>1</v>
      </c>
      <c r="Z19">
        <v>2</v>
      </c>
      <c r="AA19">
        <v>0.5</v>
      </c>
      <c r="AK19">
        <v>1</v>
      </c>
      <c r="AR19">
        <v>2</v>
      </c>
      <c r="AX19">
        <v>1</v>
      </c>
    </row>
    <row r="20" spans="1:79" x14ac:dyDescent="0.35">
      <c r="A20" t="s">
        <v>378</v>
      </c>
      <c r="BL20">
        <v>1</v>
      </c>
      <c r="BR20">
        <v>1</v>
      </c>
      <c r="BX20">
        <v>2</v>
      </c>
    </row>
    <row r="21" spans="1:79" x14ac:dyDescent="0.35">
      <c r="A21" t="s">
        <v>54</v>
      </c>
      <c r="C21">
        <v>2</v>
      </c>
      <c r="D21">
        <v>3</v>
      </c>
      <c r="V21">
        <v>2</v>
      </c>
    </row>
    <row r="22" spans="1:79" x14ac:dyDescent="0.35">
      <c r="A22" t="s">
        <v>66</v>
      </c>
      <c r="D22">
        <v>2</v>
      </c>
      <c r="I22">
        <v>3</v>
      </c>
      <c r="J22">
        <v>1</v>
      </c>
      <c r="T22">
        <v>1</v>
      </c>
      <c r="W22">
        <v>1</v>
      </c>
      <c r="X22">
        <v>1</v>
      </c>
      <c r="Y22">
        <v>1</v>
      </c>
      <c r="Z22">
        <v>1</v>
      </c>
      <c r="AA22">
        <v>1</v>
      </c>
      <c r="AC22">
        <v>1</v>
      </c>
      <c r="AD22">
        <v>1</v>
      </c>
      <c r="AH22">
        <v>1</v>
      </c>
      <c r="AI22">
        <v>1</v>
      </c>
      <c r="BA22">
        <v>3</v>
      </c>
      <c r="BG22">
        <v>1</v>
      </c>
      <c r="BP22">
        <v>1</v>
      </c>
      <c r="BU22">
        <v>2</v>
      </c>
    </row>
    <row r="23" spans="1:79" x14ac:dyDescent="0.35">
      <c r="A23" t="s">
        <v>84</v>
      </c>
      <c r="I23">
        <v>2</v>
      </c>
      <c r="J23">
        <v>1</v>
      </c>
      <c r="L23">
        <v>3</v>
      </c>
      <c r="N23">
        <v>2</v>
      </c>
      <c r="O23">
        <v>2</v>
      </c>
      <c r="P23">
        <v>1</v>
      </c>
      <c r="S23">
        <v>2</v>
      </c>
      <c r="V23">
        <v>4</v>
      </c>
      <c r="W23">
        <v>6</v>
      </c>
      <c r="X23">
        <v>3</v>
      </c>
      <c r="AB23">
        <v>1</v>
      </c>
      <c r="AC23">
        <v>2</v>
      </c>
      <c r="AD23">
        <v>3</v>
      </c>
      <c r="AE23">
        <v>1</v>
      </c>
      <c r="AH23">
        <v>4</v>
      </c>
      <c r="AI23">
        <v>5</v>
      </c>
      <c r="AK23">
        <v>1</v>
      </c>
      <c r="AL23">
        <v>1</v>
      </c>
      <c r="AN23">
        <v>2</v>
      </c>
      <c r="AU23">
        <v>4</v>
      </c>
      <c r="AV23">
        <v>1</v>
      </c>
      <c r="AX23">
        <v>1</v>
      </c>
      <c r="BH23">
        <v>1</v>
      </c>
      <c r="BI23">
        <v>2</v>
      </c>
      <c r="BK23">
        <v>2</v>
      </c>
      <c r="BQ23">
        <v>2</v>
      </c>
      <c r="BR23">
        <v>3</v>
      </c>
      <c r="BU23">
        <v>1</v>
      </c>
      <c r="BV23">
        <v>1</v>
      </c>
      <c r="CA23">
        <v>1</v>
      </c>
    </row>
    <row r="24" spans="1:79" x14ac:dyDescent="0.35">
      <c r="A24" t="s">
        <v>391</v>
      </c>
      <c r="BP24">
        <v>2</v>
      </c>
    </row>
    <row r="25" spans="1:79" x14ac:dyDescent="0.35">
      <c r="A25" t="s">
        <v>15</v>
      </c>
      <c r="F25">
        <v>1</v>
      </c>
      <c r="H25">
        <v>2</v>
      </c>
      <c r="I25">
        <v>1</v>
      </c>
      <c r="AK25">
        <v>1</v>
      </c>
      <c r="AL25">
        <v>4</v>
      </c>
      <c r="AO25">
        <v>2</v>
      </c>
      <c r="AR25">
        <v>3</v>
      </c>
      <c r="AS25">
        <v>2</v>
      </c>
      <c r="AT25">
        <v>1</v>
      </c>
      <c r="AY25">
        <v>1</v>
      </c>
      <c r="BE25">
        <v>2</v>
      </c>
      <c r="BF25">
        <v>1</v>
      </c>
      <c r="BI25">
        <v>2</v>
      </c>
      <c r="BR25">
        <v>1</v>
      </c>
      <c r="BS25">
        <v>1</v>
      </c>
      <c r="BT25">
        <v>3</v>
      </c>
      <c r="BU25">
        <v>1</v>
      </c>
      <c r="BW25">
        <v>1</v>
      </c>
      <c r="BX25">
        <v>2</v>
      </c>
    </row>
    <row r="26" spans="1:79" x14ac:dyDescent="0.35">
      <c r="A26" t="s">
        <v>375</v>
      </c>
      <c r="AW26">
        <v>1</v>
      </c>
    </row>
    <row r="27" spans="1:79" x14ac:dyDescent="0.35">
      <c r="A27" t="s">
        <v>6</v>
      </c>
      <c r="B27">
        <v>3</v>
      </c>
      <c r="E27">
        <v>2</v>
      </c>
      <c r="H27">
        <v>1</v>
      </c>
      <c r="L27">
        <v>2</v>
      </c>
      <c r="M27">
        <v>2</v>
      </c>
      <c r="N27">
        <v>6</v>
      </c>
      <c r="O27">
        <v>1</v>
      </c>
      <c r="Q27">
        <v>3</v>
      </c>
      <c r="R27">
        <v>1</v>
      </c>
      <c r="S27">
        <v>1</v>
      </c>
      <c r="T27">
        <v>3</v>
      </c>
      <c r="U27">
        <v>3</v>
      </c>
      <c r="V27">
        <v>6</v>
      </c>
      <c r="W27">
        <v>2</v>
      </c>
      <c r="X27">
        <v>3</v>
      </c>
      <c r="Y27">
        <v>1</v>
      </c>
      <c r="Z27">
        <v>3.5</v>
      </c>
      <c r="AA27">
        <v>3.5</v>
      </c>
      <c r="AB27">
        <v>3</v>
      </c>
      <c r="AC27">
        <v>1</v>
      </c>
      <c r="AE27">
        <v>10</v>
      </c>
      <c r="AF27">
        <v>3</v>
      </c>
      <c r="AG27">
        <v>3</v>
      </c>
      <c r="AH27">
        <v>2</v>
      </c>
      <c r="AJ27">
        <v>3</v>
      </c>
      <c r="AK27">
        <v>3</v>
      </c>
      <c r="AL27">
        <v>5</v>
      </c>
      <c r="AN27">
        <v>1</v>
      </c>
      <c r="AO27">
        <v>6</v>
      </c>
      <c r="AP27">
        <v>4</v>
      </c>
      <c r="AQ27">
        <v>3</v>
      </c>
      <c r="AR27">
        <v>4</v>
      </c>
      <c r="AS27">
        <v>2</v>
      </c>
      <c r="AT27">
        <v>4</v>
      </c>
      <c r="AU27">
        <v>4</v>
      </c>
      <c r="AV27">
        <v>6</v>
      </c>
      <c r="AW27">
        <v>1</v>
      </c>
      <c r="AY27">
        <v>4</v>
      </c>
      <c r="AZ27">
        <v>1</v>
      </c>
      <c r="BA27">
        <v>3</v>
      </c>
      <c r="BC27">
        <v>5</v>
      </c>
      <c r="BD27">
        <v>2</v>
      </c>
      <c r="BE27">
        <v>3</v>
      </c>
      <c r="BF27">
        <v>3</v>
      </c>
      <c r="BG27">
        <v>3</v>
      </c>
      <c r="BH27">
        <v>1</v>
      </c>
      <c r="BI27">
        <v>5</v>
      </c>
      <c r="BJ27">
        <v>1</v>
      </c>
      <c r="BK27">
        <v>1</v>
      </c>
      <c r="BL27">
        <v>2</v>
      </c>
    </row>
    <row r="28" spans="1:79" x14ac:dyDescent="0.35">
      <c r="A28" t="s">
        <v>342</v>
      </c>
      <c r="T28">
        <v>4</v>
      </c>
      <c r="AH28">
        <v>1</v>
      </c>
      <c r="AK28">
        <v>1</v>
      </c>
      <c r="BQ28">
        <v>2</v>
      </c>
      <c r="BV28">
        <v>2</v>
      </c>
    </row>
    <row r="29" spans="1:79" hidden="1" x14ac:dyDescent="0.35">
      <c r="A29" t="s">
        <v>52</v>
      </c>
    </row>
    <row r="30" spans="1:79" x14ac:dyDescent="0.35">
      <c r="A30" t="s">
        <v>388</v>
      </c>
    </row>
    <row r="31" spans="1:79" x14ac:dyDescent="0.35">
      <c r="A31" t="s">
        <v>12</v>
      </c>
      <c r="N31">
        <v>2</v>
      </c>
      <c r="U31">
        <v>1</v>
      </c>
      <c r="AI31">
        <v>1</v>
      </c>
    </row>
    <row r="32" spans="1:79" x14ac:dyDescent="0.35">
      <c r="A32" t="s">
        <v>4</v>
      </c>
      <c r="E32">
        <v>1</v>
      </c>
      <c r="F32">
        <v>3</v>
      </c>
      <c r="H32">
        <v>1</v>
      </c>
      <c r="J32">
        <v>1</v>
      </c>
      <c r="K32">
        <v>3</v>
      </c>
      <c r="P32">
        <v>3</v>
      </c>
      <c r="U32">
        <v>3</v>
      </c>
      <c r="W32">
        <v>1</v>
      </c>
      <c r="AD32">
        <v>1</v>
      </c>
      <c r="AF32">
        <v>1</v>
      </c>
      <c r="AH32">
        <v>1</v>
      </c>
      <c r="AI32">
        <v>1</v>
      </c>
      <c r="AJ32">
        <v>2</v>
      </c>
      <c r="AO32">
        <v>2</v>
      </c>
      <c r="AP32">
        <v>2</v>
      </c>
      <c r="AQ32">
        <v>4</v>
      </c>
      <c r="AR32">
        <v>2</v>
      </c>
      <c r="AT32">
        <v>1</v>
      </c>
      <c r="AU32">
        <v>2</v>
      </c>
      <c r="AV32">
        <v>1</v>
      </c>
      <c r="AW32">
        <v>1</v>
      </c>
      <c r="AX32">
        <v>1</v>
      </c>
      <c r="AZ32">
        <v>2</v>
      </c>
      <c r="BA32">
        <v>2</v>
      </c>
      <c r="BB32">
        <v>1</v>
      </c>
      <c r="BD32">
        <v>2</v>
      </c>
      <c r="BE32">
        <v>3</v>
      </c>
      <c r="BF32">
        <v>1</v>
      </c>
      <c r="BG32">
        <v>1</v>
      </c>
      <c r="BJ32">
        <v>1</v>
      </c>
      <c r="BK32">
        <v>1</v>
      </c>
      <c r="BL32">
        <v>1</v>
      </c>
      <c r="BM32">
        <v>2</v>
      </c>
    </row>
    <row r="33" spans="1:79" x14ac:dyDescent="0.35">
      <c r="A33" t="s">
        <v>361</v>
      </c>
      <c r="AD33">
        <v>2</v>
      </c>
      <c r="AM33">
        <v>1</v>
      </c>
      <c r="AU33">
        <v>1</v>
      </c>
      <c r="BF33">
        <v>3</v>
      </c>
    </row>
    <row r="34" spans="1:79" x14ac:dyDescent="0.35">
      <c r="A34" t="s">
        <v>389</v>
      </c>
      <c r="BO34">
        <v>3</v>
      </c>
    </row>
    <row r="35" spans="1:79" x14ac:dyDescent="0.35">
      <c r="A35" t="s">
        <v>1</v>
      </c>
      <c r="B35">
        <v>1</v>
      </c>
      <c r="C35">
        <v>1</v>
      </c>
      <c r="D35">
        <v>1</v>
      </c>
      <c r="E35">
        <v>1</v>
      </c>
      <c r="F35">
        <v>2</v>
      </c>
      <c r="I35">
        <v>2</v>
      </c>
      <c r="J35">
        <v>1</v>
      </c>
      <c r="K35">
        <v>2</v>
      </c>
      <c r="L35">
        <v>1</v>
      </c>
      <c r="M35">
        <v>2</v>
      </c>
      <c r="N35">
        <v>1</v>
      </c>
      <c r="O35">
        <v>1</v>
      </c>
      <c r="P35">
        <v>2</v>
      </c>
      <c r="R35">
        <v>1</v>
      </c>
      <c r="T35">
        <v>1</v>
      </c>
      <c r="U35">
        <v>2</v>
      </c>
      <c r="Y35">
        <v>2</v>
      </c>
      <c r="AB35">
        <v>2</v>
      </c>
      <c r="AD35">
        <v>1</v>
      </c>
      <c r="AH35">
        <v>1</v>
      </c>
      <c r="AJ35">
        <v>1</v>
      </c>
      <c r="AN35">
        <v>2</v>
      </c>
      <c r="AO35">
        <v>1</v>
      </c>
      <c r="AP35">
        <v>2</v>
      </c>
      <c r="AQ35">
        <v>1</v>
      </c>
      <c r="AS35">
        <v>2</v>
      </c>
      <c r="AW35">
        <v>1</v>
      </c>
      <c r="AX35">
        <v>1</v>
      </c>
      <c r="AY35">
        <v>2</v>
      </c>
      <c r="AZ35">
        <v>2</v>
      </c>
      <c r="BA35">
        <v>1</v>
      </c>
      <c r="BB35">
        <v>2</v>
      </c>
      <c r="BC35">
        <v>4</v>
      </c>
      <c r="BD35">
        <v>1</v>
      </c>
      <c r="BE35">
        <v>1</v>
      </c>
      <c r="BG35">
        <v>2</v>
      </c>
      <c r="BH35">
        <v>3</v>
      </c>
      <c r="BJ35">
        <v>1</v>
      </c>
      <c r="BM35">
        <v>3</v>
      </c>
      <c r="BN35">
        <v>1</v>
      </c>
      <c r="BP35">
        <v>1</v>
      </c>
      <c r="BR35">
        <v>3</v>
      </c>
      <c r="BV35">
        <v>1</v>
      </c>
      <c r="BW35">
        <v>4</v>
      </c>
      <c r="BX35">
        <v>2</v>
      </c>
    </row>
    <row r="36" spans="1:79" hidden="1" x14ac:dyDescent="0.35">
      <c r="A36" t="s">
        <v>351</v>
      </c>
      <c r="Z36">
        <v>1</v>
      </c>
    </row>
    <row r="37" spans="1:79" x14ac:dyDescent="0.35">
      <c r="A37" t="s">
        <v>9</v>
      </c>
      <c r="C37">
        <v>1</v>
      </c>
      <c r="D37">
        <v>1</v>
      </c>
      <c r="G37">
        <v>2</v>
      </c>
      <c r="H37">
        <v>2</v>
      </c>
      <c r="I37">
        <v>1</v>
      </c>
      <c r="J37">
        <v>1</v>
      </c>
      <c r="K37">
        <v>2</v>
      </c>
      <c r="L37">
        <v>5</v>
      </c>
      <c r="M37">
        <v>1</v>
      </c>
      <c r="O37">
        <v>4</v>
      </c>
      <c r="P37">
        <v>1</v>
      </c>
      <c r="Q37">
        <v>2</v>
      </c>
      <c r="T37">
        <v>6</v>
      </c>
      <c r="X37">
        <v>2</v>
      </c>
      <c r="Y37">
        <v>2</v>
      </c>
      <c r="Z37">
        <v>1</v>
      </c>
      <c r="AA37">
        <v>1</v>
      </c>
      <c r="AB37">
        <v>1</v>
      </c>
      <c r="AC37">
        <v>3</v>
      </c>
      <c r="AF37">
        <v>4</v>
      </c>
      <c r="AI37">
        <v>1</v>
      </c>
      <c r="AL37">
        <v>1</v>
      </c>
      <c r="AN37">
        <v>1</v>
      </c>
      <c r="AR37">
        <v>2</v>
      </c>
      <c r="AS37">
        <v>3</v>
      </c>
      <c r="AT37">
        <v>1</v>
      </c>
      <c r="AW37">
        <v>2</v>
      </c>
      <c r="AX37">
        <v>5</v>
      </c>
      <c r="AY37">
        <v>3</v>
      </c>
      <c r="AZ37">
        <v>1</v>
      </c>
      <c r="BA37">
        <v>3</v>
      </c>
      <c r="BB37">
        <v>2</v>
      </c>
      <c r="BD37">
        <v>3</v>
      </c>
      <c r="BF37">
        <v>3</v>
      </c>
      <c r="BG37">
        <v>4</v>
      </c>
      <c r="BH37">
        <v>3</v>
      </c>
      <c r="BI37">
        <v>2</v>
      </c>
      <c r="BJ37">
        <v>1</v>
      </c>
      <c r="BL37">
        <v>1</v>
      </c>
      <c r="BM37">
        <v>2</v>
      </c>
      <c r="BN37">
        <v>1</v>
      </c>
      <c r="BP37">
        <v>1</v>
      </c>
      <c r="BQ37">
        <v>2</v>
      </c>
      <c r="BR37">
        <v>3</v>
      </c>
      <c r="BS37">
        <v>2</v>
      </c>
      <c r="BV37">
        <v>5</v>
      </c>
      <c r="BW37">
        <v>4</v>
      </c>
      <c r="BY37">
        <v>1</v>
      </c>
      <c r="BZ37">
        <v>3</v>
      </c>
    </row>
    <row r="38" spans="1:79" x14ac:dyDescent="0.35">
      <c r="A38" t="s">
        <v>393</v>
      </c>
      <c r="BW38">
        <v>1</v>
      </c>
      <c r="BZ38">
        <v>2</v>
      </c>
      <c r="CA38">
        <v>5</v>
      </c>
    </row>
    <row r="39" spans="1:79" x14ac:dyDescent="0.35">
      <c r="A39" t="s">
        <v>381</v>
      </c>
      <c r="BG39">
        <v>2</v>
      </c>
    </row>
    <row r="40" spans="1:79" x14ac:dyDescent="0.35">
      <c r="A40" t="s">
        <v>20</v>
      </c>
      <c r="B40">
        <v>1</v>
      </c>
      <c r="D40">
        <v>1</v>
      </c>
      <c r="F40">
        <v>2</v>
      </c>
      <c r="G40">
        <v>2</v>
      </c>
      <c r="H40">
        <v>4</v>
      </c>
      <c r="J40">
        <v>2</v>
      </c>
      <c r="K40">
        <v>2</v>
      </c>
      <c r="L40">
        <v>1</v>
      </c>
      <c r="M40">
        <v>1</v>
      </c>
      <c r="P40">
        <v>1</v>
      </c>
      <c r="Q40">
        <v>1</v>
      </c>
      <c r="R40">
        <v>3</v>
      </c>
      <c r="S40">
        <v>2</v>
      </c>
      <c r="T40">
        <v>2</v>
      </c>
      <c r="U40">
        <v>2</v>
      </c>
      <c r="W40">
        <v>3</v>
      </c>
      <c r="X40">
        <v>3</v>
      </c>
      <c r="Y40">
        <v>2</v>
      </c>
      <c r="AA40">
        <v>2</v>
      </c>
      <c r="AB40">
        <v>2</v>
      </c>
      <c r="AC40">
        <v>2</v>
      </c>
      <c r="AE40">
        <v>2</v>
      </c>
      <c r="AF40">
        <v>1</v>
      </c>
      <c r="AG40">
        <v>2</v>
      </c>
      <c r="AJ40">
        <v>4</v>
      </c>
      <c r="AK40">
        <v>2</v>
      </c>
      <c r="AM40">
        <v>1</v>
      </c>
      <c r="AN40">
        <v>1</v>
      </c>
      <c r="AO40">
        <v>1</v>
      </c>
      <c r="AP40">
        <v>1</v>
      </c>
      <c r="AU40">
        <v>1</v>
      </c>
      <c r="AV40">
        <v>1</v>
      </c>
      <c r="AW40">
        <v>2</v>
      </c>
      <c r="BA40">
        <v>1</v>
      </c>
      <c r="BH40">
        <v>2</v>
      </c>
      <c r="BJ40">
        <v>2</v>
      </c>
      <c r="BK40">
        <v>3</v>
      </c>
      <c r="BP40">
        <v>2</v>
      </c>
    </row>
    <row r="41" spans="1:79" x14ac:dyDescent="0.35">
      <c r="A41" t="s">
        <v>395</v>
      </c>
    </row>
    <row r="42" spans="1:79" x14ac:dyDescent="0.35">
      <c r="A42" t="s">
        <v>80</v>
      </c>
      <c r="F42">
        <v>1</v>
      </c>
    </row>
    <row r="43" spans="1:79" hidden="1" x14ac:dyDescent="0.35">
      <c r="A43" t="s">
        <v>61</v>
      </c>
      <c r="D43">
        <v>1</v>
      </c>
    </row>
    <row r="44" spans="1:79" x14ac:dyDescent="0.35">
      <c r="A44" t="s">
        <v>374</v>
      </c>
      <c r="AW44">
        <v>2</v>
      </c>
    </row>
    <row r="45" spans="1:79" x14ac:dyDescent="0.35">
      <c r="A45" t="s">
        <v>19</v>
      </c>
      <c r="B45">
        <v>2</v>
      </c>
      <c r="C45">
        <v>1</v>
      </c>
      <c r="D45">
        <v>1</v>
      </c>
      <c r="F45">
        <v>4</v>
      </c>
      <c r="G45">
        <v>3</v>
      </c>
      <c r="H45">
        <v>1</v>
      </c>
      <c r="I45">
        <v>1</v>
      </c>
      <c r="M45">
        <v>2</v>
      </c>
      <c r="N45">
        <v>3</v>
      </c>
      <c r="T45">
        <v>1</v>
      </c>
      <c r="X45">
        <v>1</v>
      </c>
      <c r="AA45">
        <v>2</v>
      </c>
      <c r="AB45">
        <v>2</v>
      </c>
      <c r="AC45">
        <v>1</v>
      </c>
      <c r="AD45">
        <v>2</v>
      </c>
      <c r="AE45">
        <v>1</v>
      </c>
      <c r="AG45">
        <v>1</v>
      </c>
      <c r="AH45">
        <v>2</v>
      </c>
      <c r="AJ45">
        <v>1</v>
      </c>
      <c r="AM45">
        <v>4</v>
      </c>
      <c r="AN45">
        <v>1</v>
      </c>
      <c r="AP45">
        <v>1</v>
      </c>
      <c r="AR45">
        <v>1</v>
      </c>
      <c r="AS45">
        <v>1</v>
      </c>
      <c r="AT45">
        <v>1</v>
      </c>
      <c r="AV45">
        <v>1</v>
      </c>
      <c r="AZ45">
        <v>2</v>
      </c>
      <c r="BA45">
        <v>1</v>
      </c>
      <c r="BC45">
        <v>3</v>
      </c>
      <c r="BD45">
        <v>1</v>
      </c>
      <c r="BI45">
        <v>1</v>
      </c>
      <c r="BJ45">
        <v>1</v>
      </c>
      <c r="BK45">
        <v>3</v>
      </c>
      <c r="BL45">
        <v>2</v>
      </c>
      <c r="BM45">
        <v>5</v>
      </c>
      <c r="BO45">
        <v>1</v>
      </c>
      <c r="BP45">
        <v>3</v>
      </c>
      <c r="BQ45">
        <v>3</v>
      </c>
      <c r="BS45">
        <v>1</v>
      </c>
      <c r="BX45">
        <v>3</v>
      </c>
      <c r="BY45">
        <v>5</v>
      </c>
      <c r="BZ45">
        <v>1</v>
      </c>
    </row>
    <row r="46" spans="1:79" x14ac:dyDescent="0.35">
      <c r="A46" t="s">
        <v>43</v>
      </c>
      <c r="AQ46">
        <v>2</v>
      </c>
    </row>
    <row r="47" spans="1:79" x14ac:dyDescent="0.35">
      <c r="A47" t="s">
        <v>68</v>
      </c>
      <c r="E47">
        <v>1</v>
      </c>
      <c r="I47">
        <v>1</v>
      </c>
      <c r="N47">
        <v>1</v>
      </c>
      <c r="W47">
        <v>2</v>
      </c>
      <c r="AQ47">
        <v>1</v>
      </c>
    </row>
    <row r="48" spans="1:79" x14ac:dyDescent="0.35">
      <c r="A48" t="s">
        <v>53</v>
      </c>
      <c r="N48">
        <v>1</v>
      </c>
      <c r="BZ48">
        <v>2</v>
      </c>
    </row>
    <row r="49" spans="1:79" x14ac:dyDescent="0.35">
      <c r="A49" t="s">
        <v>368</v>
      </c>
      <c r="AM49">
        <v>5</v>
      </c>
      <c r="BB49">
        <v>9</v>
      </c>
      <c r="BN49">
        <v>2</v>
      </c>
    </row>
    <row r="50" spans="1:79" x14ac:dyDescent="0.35">
      <c r="A50" t="s">
        <v>345</v>
      </c>
      <c r="U50">
        <v>1</v>
      </c>
      <c r="BR50">
        <v>1</v>
      </c>
      <c r="BS50">
        <v>1</v>
      </c>
      <c r="BT50">
        <v>1</v>
      </c>
    </row>
    <row r="51" spans="1:79" x14ac:dyDescent="0.35">
      <c r="A51" t="s">
        <v>343</v>
      </c>
      <c r="AN51">
        <v>1</v>
      </c>
      <c r="BR51">
        <v>1</v>
      </c>
      <c r="BS51">
        <v>1</v>
      </c>
      <c r="BT51">
        <v>3</v>
      </c>
    </row>
    <row r="52" spans="1:79" x14ac:dyDescent="0.35">
      <c r="A52" t="s">
        <v>344</v>
      </c>
      <c r="X52">
        <v>1</v>
      </c>
      <c r="Y52">
        <v>2</v>
      </c>
      <c r="AF52">
        <v>2</v>
      </c>
    </row>
    <row r="53" spans="1:79" x14ac:dyDescent="0.35">
      <c r="A53" t="s">
        <v>10</v>
      </c>
      <c r="B53">
        <v>2</v>
      </c>
      <c r="C53">
        <v>3</v>
      </c>
      <c r="F53">
        <v>2</v>
      </c>
      <c r="I53">
        <v>2</v>
      </c>
      <c r="J53">
        <v>2</v>
      </c>
      <c r="K53">
        <v>1</v>
      </c>
      <c r="L53">
        <v>1</v>
      </c>
      <c r="M53">
        <v>1</v>
      </c>
      <c r="O53">
        <v>2</v>
      </c>
      <c r="R53">
        <v>3</v>
      </c>
      <c r="S53">
        <v>1</v>
      </c>
      <c r="T53">
        <v>1</v>
      </c>
      <c r="V53">
        <v>1</v>
      </c>
      <c r="W53">
        <v>3</v>
      </c>
      <c r="X53">
        <v>1</v>
      </c>
      <c r="Y53">
        <v>1</v>
      </c>
      <c r="Z53">
        <v>1.5</v>
      </c>
      <c r="AC53">
        <v>1</v>
      </c>
      <c r="AD53">
        <v>2</v>
      </c>
      <c r="AE53">
        <v>1</v>
      </c>
      <c r="AF53">
        <v>2</v>
      </c>
      <c r="AH53">
        <v>2</v>
      </c>
      <c r="AL53">
        <v>3</v>
      </c>
      <c r="AP53">
        <v>2</v>
      </c>
      <c r="AQ53">
        <v>4</v>
      </c>
      <c r="AR53">
        <v>3</v>
      </c>
      <c r="AS53">
        <v>0.5</v>
      </c>
      <c r="AU53">
        <v>2</v>
      </c>
      <c r="AV53">
        <v>1</v>
      </c>
      <c r="BC53">
        <v>1</v>
      </c>
      <c r="BD53">
        <v>1</v>
      </c>
      <c r="BE53">
        <v>7</v>
      </c>
      <c r="BH53">
        <v>1</v>
      </c>
      <c r="BI53">
        <v>1</v>
      </c>
      <c r="BJ53">
        <v>3</v>
      </c>
      <c r="BK53">
        <v>3</v>
      </c>
      <c r="BL53">
        <v>1</v>
      </c>
      <c r="BM53">
        <v>1</v>
      </c>
      <c r="BN53">
        <v>4</v>
      </c>
      <c r="BP53">
        <v>1</v>
      </c>
      <c r="BQ53">
        <v>3</v>
      </c>
      <c r="BR53">
        <v>1</v>
      </c>
      <c r="BT53">
        <v>1</v>
      </c>
      <c r="BV53">
        <v>1</v>
      </c>
      <c r="BW53">
        <v>2</v>
      </c>
      <c r="BX53">
        <v>2</v>
      </c>
      <c r="BZ53">
        <v>2</v>
      </c>
    </row>
    <row r="54" spans="1:79" x14ac:dyDescent="0.35">
      <c r="A54" t="s">
        <v>46</v>
      </c>
      <c r="B54">
        <v>1</v>
      </c>
      <c r="O54">
        <v>3</v>
      </c>
      <c r="P54">
        <v>1</v>
      </c>
      <c r="Q54">
        <v>2</v>
      </c>
      <c r="AM54">
        <v>1</v>
      </c>
      <c r="AN54">
        <v>1</v>
      </c>
      <c r="AP54">
        <v>1</v>
      </c>
      <c r="AS54">
        <v>1</v>
      </c>
      <c r="AV54">
        <v>1</v>
      </c>
      <c r="AX54">
        <v>5</v>
      </c>
      <c r="AY54">
        <v>1</v>
      </c>
      <c r="BA54">
        <v>2</v>
      </c>
      <c r="BB54">
        <v>4</v>
      </c>
      <c r="BE54">
        <v>3</v>
      </c>
      <c r="BF54">
        <v>2</v>
      </c>
      <c r="BH54">
        <v>3</v>
      </c>
      <c r="BK54">
        <v>1</v>
      </c>
      <c r="BT54">
        <v>3</v>
      </c>
      <c r="BZ54">
        <v>1</v>
      </c>
    </row>
    <row r="55" spans="1:79" x14ac:dyDescent="0.35">
      <c r="A55" t="s">
        <v>377</v>
      </c>
    </row>
    <row r="56" spans="1:79" x14ac:dyDescent="0.35">
      <c r="A56" t="s">
        <v>3</v>
      </c>
      <c r="F56">
        <v>3</v>
      </c>
      <c r="L56">
        <v>1</v>
      </c>
      <c r="S56">
        <v>3</v>
      </c>
      <c r="AH56">
        <v>1</v>
      </c>
    </row>
    <row r="57" spans="1:79" hidden="1" x14ac:dyDescent="0.35">
      <c r="A57" t="s">
        <v>350</v>
      </c>
    </row>
    <row r="58" spans="1:79" x14ac:dyDescent="0.35">
      <c r="A58" t="s">
        <v>56</v>
      </c>
      <c r="C58">
        <v>3</v>
      </c>
      <c r="E58">
        <v>2</v>
      </c>
      <c r="F58">
        <v>1</v>
      </c>
      <c r="G58">
        <v>2</v>
      </c>
      <c r="I58">
        <v>1</v>
      </c>
      <c r="J58">
        <v>1</v>
      </c>
      <c r="K58">
        <v>1</v>
      </c>
      <c r="L58">
        <v>1</v>
      </c>
      <c r="M58">
        <v>1</v>
      </c>
      <c r="P58">
        <v>1</v>
      </c>
      <c r="R58">
        <v>1</v>
      </c>
      <c r="S58">
        <v>4</v>
      </c>
      <c r="T58">
        <v>1</v>
      </c>
      <c r="V58">
        <v>1</v>
      </c>
      <c r="W58">
        <v>2</v>
      </c>
      <c r="Z58">
        <v>2</v>
      </c>
      <c r="AA58">
        <v>1</v>
      </c>
      <c r="AB58">
        <v>4</v>
      </c>
      <c r="AC58">
        <v>1</v>
      </c>
      <c r="AD58">
        <v>1</v>
      </c>
      <c r="AX58">
        <v>1</v>
      </c>
      <c r="AY58">
        <v>1</v>
      </c>
      <c r="AZ58">
        <v>2</v>
      </c>
      <c r="BD58">
        <v>1</v>
      </c>
      <c r="BF58">
        <v>1</v>
      </c>
      <c r="BH58">
        <v>1</v>
      </c>
      <c r="BI58">
        <v>1</v>
      </c>
      <c r="BJ58">
        <v>2</v>
      </c>
      <c r="BK58">
        <v>1</v>
      </c>
      <c r="BL58">
        <v>2</v>
      </c>
      <c r="BM58">
        <v>2</v>
      </c>
      <c r="BN58">
        <v>2</v>
      </c>
      <c r="BO58">
        <v>1</v>
      </c>
      <c r="BP58">
        <v>1</v>
      </c>
      <c r="BR58">
        <v>1</v>
      </c>
      <c r="BS58">
        <v>2</v>
      </c>
      <c r="BU58">
        <v>2</v>
      </c>
      <c r="BV58">
        <v>1</v>
      </c>
      <c r="BX58">
        <v>1</v>
      </c>
      <c r="BY58">
        <v>2</v>
      </c>
      <c r="BZ58">
        <v>2</v>
      </c>
      <c r="CA58">
        <v>2</v>
      </c>
    </row>
    <row r="59" spans="1:79" x14ac:dyDescent="0.35">
      <c r="A59" t="s">
        <v>369</v>
      </c>
      <c r="AN59">
        <v>3</v>
      </c>
    </row>
    <row r="60" spans="1:79" x14ac:dyDescent="0.35">
      <c r="A60" t="s">
        <v>387</v>
      </c>
      <c r="BN60">
        <v>3</v>
      </c>
      <c r="BO60">
        <v>2</v>
      </c>
      <c r="BQ60">
        <v>2</v>
      </c>
    </row>
    <row r="61" spans="1:79" x14ac:dyDescent="0.35">
      <c r="A61" t="s">
        <v>60</v>
      </c>
      <c r="B61">
        <v>2</v>
      </c>
      <c r="BF61">
        <v>1</v>
      </c>
      <c r="BT61">
        <v>2</v>
      </c>
    </row>
    <row r="62" spans="1:79" x14ac:dyDescent="0.35">
      <c r="A62" t="s">
        <v>340</v>
      </c>
      <c r="Q62">
        <v>1</v>
      </c>
      <c r="U62">
        <v>1</v>
      </c>
      <c r="W62">
        <v>1</v>
      </c>
      <c r="X62">
        <v>3</v>
      </c>
      <c r="Y62">
        <v>1</v>
      </c>
      <c r="Z62">
        <v>1</v>
      </c>
    </row>
    <row r="63" spans="1:79" x14ac:dyDescent="0.35">
      <c r="A63" t="s">
        <v>339</v>
      </c>
    </row>
    <row r="64" spans="1:79" x14ac:dyDescent="0.35">
      <c r="A64" t="s">
        <v>11</v>
      </c>
    </row>
    <row r="65" spans="1:79" x14ac:dyDescent="0.35">
      <c r="A65" t="s">
        <v>55</v>
      </c>
      <c r="B65">
        <v>2</v>
      </c>
      <c r="C65">
        <v>1</v>
      </c>
      <c r="D65">
        <v>1</v>
      </c>
      <c r="E65">
        <v>1</v>
      </c>
      <c r="F65">
        <v>3</v>
      </c>
      <c r="G65">
        <v>2</v>
      </c>
      <c r="H65">
        <v>3</v>
      </c>
      <c r="J65">
        <v>1</v>
      </c>
      <c r="K65">
        <v>1</v>
      </c>
      <c r="M65">
        <v>3</v>
      </c>
      <c r="N65">
        <v>4</v>
      </c>
      <c r="X65">
        <v>6</v>
      </c>
      <c r="Y65">
        <v>5</v>
      </c>
      <c r="Z65">
        <v>1</v>
      </c>
      <c r="AD65">
        <v>2</v>
      </c>
      <c r="AG65">
        <v>3</v>
      </c>
      <c r="AJ65">
        <v>2</v>
      </c>
      <c r="AM65">
        <v>2</v>
      </c>
      <c r="AO65">
        <v>3</v>
      </c>
      <c r="AQ65">
        <v>2</v>
      </c>
      <c r="AT65">
        <v>1</v>
      </c>
      <c r="AU65">
        <v>4</v>
      </c>
      <c r="AV65">
        <v>2</v>
      </c>
      <c r="AX65">
        <v>1</v>
      </c>
      <c r="AY65">
        <v>2</v>
      </c>
      <c r="AZ65">
        <v>1</v>
      </c>
      <c r="BA65">
        <v>4</v>
      </c>
      <c r="BB65">
        <v>2</v>
      </c>
      <c r="BH65">
        <v>1</v>
      </c>
      <c r="BR65">
        <v>2</v>
      </c>
    </row>
    <row r="66" spans="1:79" x14ac:dyDescent="0.35">
      <c r="A66" t="s">
        <v>21</v>
      </c>
    </row>
    <row r="67" spans="1:79" x14ac:dyDescent="0.35">
      <c r="A67" t="s">
        <v>81</v>
      </c>
      <c r="G67">
        <v>3</v>
      </c>
      <c r="K67">
        <v>1</v>
      </c>
      <c r="BG67">
        <v>2</v>
      </c>
      <c r="BN67">
        <v>4</v>
      </c>
      <c r="BP67">
        <v>1</v>
      </c>
      <c r="BR67">
        <v>2</v>
      </c>
      <c r="BS67">
        <v>3</v>
      </c>
      <c r="BU67">
        <v>3</v>
      </c>
      <c r="BV67">
        <v>2</v>
      </c>
      <c r="BW67">
        <v>2</v>
      </c>
      <c r="BX67">
        <v>2</v>
      </c>
      <c r="BY67">
        <v>2</v>
      </c>
    </row>
    <row r="68" spans="1:79" x14ac:dyDescent="0.35">
      <c r="A68" t="s">
        <v>63</v>
      </c>
      <c r="B68">
        <v>2</v>
      </c>
      <c r="D68">
        <v>1</v>
      </c>
      <c r="AF68">
        <v>2</v>
      </c>
      <c r="AQ68">
        <v>3</v>
      </c>
      <c r="BF68">
        <v>1</v>
      </c>
      <c r="BM68">
        <v>1</v>
      </c>
      <c r="BW68">
        <v>1</v>
      </c>
    </row>
    <row r="69" spans="1:79" hidden="1" x14ac:dyDescent="0.35">
      <c r="A69" t="s">
        <v>83</v>
      </c>
    </row>
    <row r="70" spans="1:79" x14ac:dyDescent="0.35">
      <c r="A70" t="s">
        <v>22</v>
      </c>
      <c r="Y70">
        <v>1</v>
      </c>
      <c r="AB70">
        <v>2</v>
      </c>
      <c r="AD70">
        <v>3</v>
      </c>
      <c r="AI70">
        <v>1</v>
      </c>
      <c r="AR70">
        <v>4</v>
      </c>
      <c r="AV70">
        <v>3</v>
      </c>
      <c r="BA70">
        <v>2</v>
      </c>
      <c r="BB70">
        <v>5</v>
      </c>
      <c r="BE70">
        <v>6</v>
      </c>
      <c r="BS70">
        <v>1</v>
      </c>
      <c r="BT70">
        <v>1</v>
      </c>
      <c r="BU70">
        <v>2</v>
      </c>
      <c r="BV70">
        <v>3</v>
      </c>
      <c r="BX70">
        <v>2</v>
      </c>
    </row>
    <row r="71" spans="1:79" x14ac:dyDescent="0.35">
      <c r="A71" t="s">
        <v>376</v>
      </c>
      <c r="AU71">
        <v>1</v>
      </c>
      <c r="AV71">
        <v>1</v>
      </c>
      <c r="AW71">
        <v>3</v>
      </c>
      <c r="AX71">
        <v>1</v>
      </c>
      <c r="AZ71">
        <v>1</v>
      </c>
      <c r="BC71">
        <v>2</v>
      </c>
      <c r="BX71">
        <v>1</v>
      </c>
    </row>
    <row r="72" spans="1:79" x14ac:dyDescent="0.35">
      <c r="A72" t="s">
        <v>44</v>
      </c>
      <c r="N72">
        <v>3</v>
      </c>
      <c r="S72">
        <v>2</v>
      </c>
      <c r="AG72">
        <v>2</v>
      </c>
      <c r="AI72">
        <v>1</v>
      </c>
      <c r="AP72">
        <v>2</v>
      </c>
      <c r="AQ72">
        <v>1</v>
      </c>
      <c r="AR72">
        <v>3</v>
      </c>
      <c r="AW72">
        <v>1</v>
      </c>
      <c r="BA72">
        <v>1</v>
      </c>
      <c r="BE72">
        <v>1</v>
      </c>
      <c r="BI72">
        <v>2</v>
      </c>
      <c r="BL72">
        <v>2</v>
      </c>
      <c r="BN72">
        <v>2</v>
      </c>
      <c r="BO72">
        <v>1</v>
      </c>
      <c r="BP72">
        <v>1</v>
      </c>
      <c r="BR72">
        <v>1</v>
      </c>
    </row>
    <row r="73" spans="1:79" x14ac:dyDescent="0.35">
      <c r="A73" t="s">
        <v>379</v>
      </c>
      <c r="BF73">
        <v>1</v>
      </c>
      <c r="BG73">
        <v>1</v>
      </c>
    </row>
    <row r="74" spans="1:79" x14ac:dyDescent="0.35">
      <c r="A74" t="s">
        <v>8</v>
      </c>
      <c r="B74">
        <v>1</v>
      </c>
      <c r="H74">
        <v>1</v>
      </c>
      <c r="J74">
        <v>2</v>
      </c>
      <c r="Q74">
        <v>2</v>
      </c>
    </row>
    <row r="75" spans="1:79" hidden="1" x14ac:dyDescent="0.35">
      <c r="A75" t="s">
        <v>354</v>
      </c>
    </row>
    <row r="76" spans="1:79" x14ac:dyDescent="0.35">
      <c r="A76" t="s">
        <v>82</v>
      </c>
      <c r="B76">
        <v>2</v>
      </c>
      <c r="C76">
        <v>2</v>
      </c>
      <c r="D76">
        <v>1</v>
      </c>
      <c r="E76">
        <v>2</v>
      </c>
      <c r="F76">
        <v>1</v>
      </c>
      <c r="G76">
        <v>2</v>
      </c>
      <c r="H76">
        <v>2</v>
      </c>
      <c r="I76">
        <v>3</v>
      </c>
      <c r="J76">
        <v>4</v>
      </c>
      <c r="L76">
        <v>4</v>
      </c>
      <c r="M76">
        <v>1</v>
      </c>
      <c r="N76">
        <v>2</v>
      </c>
      <c r="O76">
        <v>1</v>
      </c>
      <c r="P76">
        <v>1</v>
      </c>
      <c r="Q76">
        <v>1</v>
      </c>
      <c r="R76">
        <v>3</v>
      </c>
      <c r="S76">
        <v>3</v>
      </c>
      <c r="U76">
        <v>3</v>
      </c>
      <c r="V76">
        <v>1</v>
      </c>
      <c r="W76">
        <v>3</v>
      </c>
      <c r="AC76">
        <v>1</v>
      </c>
      <c r="AF76">
        <v>1</v>
      </c>
      <c r="AH76">
        <v>2</v>
      </c>
      <c r="AI76">
        <v>3</v>
      </c>
      <c r="AJ76">
        <v>1</v>
      </c>
      <c r="AK76">
        <v>4</v>
      </c>
      <c r="AL76">
        <v>3</v>
      </c>
      <c r="AN76">
        <v>1</v>
      </c>
      <c r="AP76">
        <v>2</v>
      </c>
      <c r="AT76">
        <v>2</v>
      </c>
      <c r="AU76">
        <v>3</v>
      </c>
      <c r="AV76">
        <v>1</v>
      </c>
      <c r="AW76">
        <v>1</v>
      </c>
      <c r="AX76">
        <v>1</v>
      </c>
      <c r="AY76">
        <v>1</v>
      </c>
      <c r="AZ76">
        <v>2</v>
      </c>
      <c r="BC76">
        <v>2</v>
      </c>
      <c r="BD76">
        <v>1</v>
      </c>
      <c r="BF76">
        <v>2</v>
      </c>
      <c r="BH76">
        <v>3</v>
      </c>
      <c r="BI76">
        <v>1</v>
      </c>
      <c r="BJ76">
        <v>2</v>
      </c>
      <c r="BK76">
        <v>3</v>
      </c>
      <c r="BM76">
        <v>2</v>
      </c>
      <c r="BN76">
        <v>3</v>
      </c>
      <c r="BU76">
        <v>1</v>
      </c>
      <c r="BV76">
        <v>3</v>
      </c>
      <c r="BX76">
        <v>2</v>
      </c>
      <c r="BY76">
        <v>1</v>
      </c>
      <c r="BZ76">
        <v>1</v>
      </c>
      <c r="CA76">
        <v>1</v>
      </c>
    </row>
    <row r="77" spans="1:79" x14ac:dyDescent="0.35">
      <c r="A77" t="s">
        <v>49</v>
      </c>
      <c r="G77">
        <v>2</v>
      </c>
    </row>
    <row r="78" spans="1:79" x14ac:dyDescent="0.35">
      <c r="A78" t="s">
        <v>390</v>
      </c>
      <c r="BZ78">
        <v>5</v>
      </c>
      <c r="CA78">
        <v>2</v>
      </c>
    </row>
    <row r="79" spans="1:79" x14ac:dyDescent="0.35">
      <c r="A79" t="s">
        <v>85</v>
      </c>
      <c r="K79">
        <v>4</v>
      </c>
      <c r="L79">
        <v>2</v>
      </c>
      <c r="M79">
        <v>5</v>
      </c>
    </row>
    <row r="80" spans="1:79" x14ac:dyDescent="0.35">
      <c r="A80" t="s">
        <v>5</v>
      </c>
      <c r="B80">
        <v>1</v>
      </c>
      <c r="C80">
        <v>2</v>
      </c>
      <c r="D80">
        <v>2</v>
      </c>
      <c r="E80">
        <v>3</v>
      </c>
      <c r="F80">
        <v>2</v>
      </c>
      <c r="G80">
        <v>3</v>
      </c>
      <c r="H80">
        <v>1</v>
      </c>
      <c r="M80">
        <v>4</v>
      </c>
      <c r="N80">
        <v>6</v>
      </c>
      <c r="P80">
        <v>2</v>
      </c>
      <c r="Q80">
        <v>1</v>
      </c>
      <c r="R80">
        <v>2</v>
      </c>
      <c r="S80">
        <v>3</v>
      </c>
      <c r="V80">
        <v>2</v>
      </c>
      <c r="W80">
        <v>1</v>
      </c>
      <c r="X80">
        <v>1</v>
      </c>
      <c r="Y80">
        <v>4</v>
      </c>
      <c r="Z80">
        <v>5</v>
      </c>
      <c r="AA80">
        <v>1</v>
      </c>
      <c r="AB80">
        <v>3</v>
      </c>
      <c r="AC80">
        <v>4</v>
      </c>
      <c r="AD80">
        <v>3</v>
      </c>
      <c r="AE80">
        <v>3</v>
      </c>
      <c r="AF80">
        <v>2</v>
      </c>
      <c r="AG80">
        <v>5</v>
      </c>
      <c r="AH80">
        <v>7</v>
      </c>
      <c r="AI80">
        <v>3</v>
      </c>
      <c r="AJ80">
        <v>1</v>
      </c>
      <c r="AK80">
        <v>1</v>
      </c>
      <c r="AL80">
        <v>6</v>
      </c>
      <c r="AR80">
        <v>3</v>
      </c>
      <c r="AS80">
        <v>2</v>
      </c>
      <c r="AV80">
        <v>2</v>
      </c>
      <c r="AW80">
        <v>1</v>
      </c>
      <c r="AX80">
        <v>4</v>
      </c>
      <c r="AY80">
        <v>3</v>
      </c>
      <c r="AZ80">
        <v>4</v>
      </c>
      <c r="BA80">
        <v>5</v>
      </c>
      <c r="BB80">
        <v>6</v>
      </c>
      <c r="BC80">
        <v>2</v>
      </c>
      <c r="BD80">
        <v>2</v>
      </c>
      <c r="BE80">
        <v>7</v>
      </c>
      <c r="BG80">
        <v>4</v>
      </c>
      <c r="BH80">
        <v>3</v>
      </c>
      <c r="BI80">
        <v>4</v>
      </c>
      <c r="BK80">
        <v>1</v>
      </c>
      <c r="BL80">
        <v>8</v>
      </c>
      <c r="BM80">
        <v>4</v>
      </c>
      <c r="BN80">
        <v>5</v>
      </c>
      <c r="BO80">
        <v>3</v>
      </c>
      <c r="BP80">
        <v>1</v>
      </c>
      <c r="BQ80">
        <v>1</v>
      </c>
      <c r="BR80">
        <v>3</v>
      </c>
      <c r="BS80">
        <v>1</v>
      </c>
    </row>
    <row r="81" spans="1:79" x14ac:dyDescent="0.35">
      <c r="A81" t="s">
        <v>45</v>
      </c>
      <c r="K81">
        <v>1</v>
      </c>
      <c r="BJ81">
        <v>1</v>
      </c>
    </row>
    <row r="82" spans="1:79" x14ac:dyDescent="0.35">
      <c r="A82" t="s">
        <v>367</v>
      </c>
      <c r="B82">
        <v>1</v>
      </c>
      <c r="D82">
        <v>1</v>
      </c>
      <c r="E82">
        <v>3</v>
      </c>
      <c r="O82">
        <v>2</v>
      </c>
      <c r="P82">
        <v>2</v>
      </c>
      <c r="Q82">
        <v>1</v>
      </c>
      <c r="R82">
        <v>1</v>
      </c>
      <c r="AD82">
        <v>1</v>
      </c>
      <c r="AE82">
        <v>1</v>
      </c>
      <c r="AG82">
        <v>1</v>
      </c>
      <c r="AH82">
        <v>2</v>
      </c>
      <c r="AL82">
        <v>3</v>
      </c>
      <c r="AM82">
        <v>2</v>
      </c>
      <c r="AN82">
        <v>1</v>
      </c>
      <c r="AO82">
        <v>1</v>
      </c>
      <c r="AR82">
        <v>1</v>
      </c>
      <c r="AS82">
        <v>1</v>
      </c>
      <c r="AT82">
        <v>1</v>
      </c>
      <c r="AV82">
        <v>1</v>
      </c>
      <c r="AW82">
        <v>2</v>
      </c>
      <c r="BD82">
        <v>1</v>
      </c>
      <c r="BF82">
        <v>1</v>
      </c>
      <c r="BI82">
        <v>1</v>
      </c>
      <c r="BU82">
        <v>2</v>
      </c>
      <c r="BW82">
        <v>2</v>
      </c>
    </row>
    <row r="83" spans="1:79" hidden="1" x14ac:dyDescent="0.35">
      <c r="A83" t="s">
        <v>352</v>
      </c>
      <c r="Z83">
        <v>1</v>
      </c>
    </row>
    <row r="84" spans="1:79" hidden="1" x14ac:dyDescent="0.35">
      <c r="A84" t="s">
        <v>366</v>
      </c>
    </row>
    <row r="85" spans="1:79" x14ac:dyDescent="0.35">
      <c r="A85" t="s">
        <v>17</v>
      </c>
      <c r="F85">
        <v>2</v>
      </c>
      <c r="J85">
        <v>1</v>
      </c>
      <c r="K85">
        <v>1</v>
      </c>
    </row>
    <row r="86" spans="1:79" hidden="1" x14ac:dyDescent="0.35">
      <c r="A86" t="s">
        <v>86</v>
      </c>
      <c r="K86">
        <v>5</v>
      </c>
    </row>
    <row r="87" spans="1:79" x14ac:dyDescent="0.35">
      <c r="A87" t="s">
        <v>16</v>
      </c>
      <c r="C87">
        <v>4</v>
      </c>
      <c r="D87">
        <v>3</v>
      </c>
      <c r="F87">
        <v>2</v>
      </c>
      <c r="G87">
        <v>5</v>
      </c>
      <c r="H87">
        <v>3</v>
      </c>
      <c r="I87">
        <v>2</v>
      </c>
      <c r="J87">
        <v>5</v>
      </c>
      <c r="K87">
        <v>3</v>
      </c>
      <c r="L87">
        <v>2</v>
      </c>
      <c r="M87">
        <v>3</v>
      </c>
      <c r="O87">
        <v>5</v>
      </c>
      <c r="P87">
        <v>5</v>
      </c>
      <c r="Q87">
        <v>3</v>
      </c>
      <c r="R87">
        <v>2</v>
      </c>
      <c r="S87">
        <v>3</v>
      </c>
      <c r="T87">
        <v>1</v>
      </c>
      <c r="U87">
        <v>1</v>
      </c>
      <c r="V87">
        <v>3</v>
      </c>
      <c r="W87">
        <v>3</v>
      </c>
      <c r="X87">
        <v>5</v>
      </c>
      <c r="Y87">
        <v>4</v>
      </c>
      <c r="Z87">
        <v>1</v>
      </c>
      <c r="AA87">
        <v>3</v>
      </c>
      <c r="AC87">
        <v>1</v>
      </c>
      <c r="AE87">
        <v>4</v>
      </c>
      <c r="AF87">
        <v>2</v>
      </c>
      <c r="AG87">
        <v>3</v>
      </c>
      <c r="AH87">
        <v>2</v>
      </c>
      <c r="AI87">
        <v>2</v>
      </c>
      <c r="AJ87">
        <v>7</v>
      </c>
      <c r="AK87">
        <v>3</v>
      </c>
      <c r="AL87">
        <v>5</v>
      </c>
      <c r="AM87">
        <v>1</v>
      </c>
      <c r="AN87">
        <v>4</v>
      </c>
      <c r="AO87">
        <v>3</v>
      </c>
      <c r="AP87">
        <v>6</v>
      </c>
      <c r="AQ87">
        <v>4</v>
      </c>
      <c r="AR87">
        <v>5</v>
      </c>
      <c r="AS87">
        <v>3</v>
      </c>
      <c r="AT87">
        <v>2</v>
      </c>
      <c r="AU87">
        <v>2</v>
      </c>
      <c r="AW87">
        <v>3</v>
      </c>
      <c r="AY87">
        <v>1</v>
      </c>
      <c r="AZ87">
        <v>3</v>
      </c>
      <c r="BB87">
        <v>4</v>
      </c>
      <c r="BC87">
        <v>4</v>
      </c>
      <c r="BD87">
        <v>3</v>
      </c>
      <c r="BF87">
        <v>2</v>
      </c>
      <c r="BG87">
        <v>4</v>
      </c>
      <c r="BH87">
        <v>5</v>
      </c>
      <c r="BJ87">
        <v>4</v>
      </c>
      <c r="BK87">
        <v>2</v>
      </c>
      <c r="BL87">
        <v>4</v>
      </c>
      <c r="BM87">
        <v>1</v>
      </c>
      <c r="BN87">
        <v>2</v>
      </c>
      <c r="BO87">
        <v>3</v>
      </c>
      <c r="BS87">
        <v>3</v>
      </c>
      <c r="BT87">
        <v>4</v>
      </c>
      <c r="BU87">
        <v>4</v>
      </c>
      <c r="BV87">
        <v>3</v>
      </c>
      <c r="BX87">
        <v>5</v>
      </c>
      <c r="BY87">
        <v>2</v>
      </c>
      <c r="BZ87">
        <v>3</v>
      </c>
      <c r="CA87">
        <v>1</v>
      </c>
    </row>
    <row r="88" spans="1:79" hidden="1" x14ac:dyDescent="0.35">
      <c r="A88" t="s">
        <v>47</v>
      </c>
    </row>
  </sheetData>
  <autoFilter ref="A1:AB88" xr:uid="{130C2564-D265-4C41-A3E0-02A62EDAC91D}">
    <sortState ref="A2:AB88">
      <sortCondition ref="A1:A88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2026-05-07T16:50:35Z</dcterms:modified>
</cp:coreProperties>
</file>