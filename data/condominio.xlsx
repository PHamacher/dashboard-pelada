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5416d5ad4be8d97/Documentos antigo/Projetos_jl/Streamlit/Dashboard Pelada/data/"/>
    </mc:Choice>
  </mc:AlternateContent>
  <xr:revisionPtr revIDLastSave="0" documentId="14_{DA921E24-FFF9-4D4F-87A5-978DFD7A6C25}" xr6:coauthVersionLast="36" xr6:coauthVersionMax="36" xr10:uidLastSave="{00000000-0000-0000-0000-000000000000}"/>
  <bookViews>
    <workbookView xWindow="0" yWindow="0" windowWidth="13800" windowHeight="3780" activeTab="3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artilharia!$A$1:$AB$75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notas!$A$1:$CA$74</definedName>
  </definedNames>
  <calcPr calcId="191029"/>
</workbook>
</file>

<file path=xl/calcChain.xml><?xml version="1.0" encoding="utf-8"?>
<calcChain xmlns="http://schemas.openxmlformats.org/spreadsheetml/2006/main">
  <c r="R79" i="4" l="1"/>
  <c r="R78" i="4" l="1"/>
  <c r="R32" i="4"/>
  <c r="R73" i="4"/>
  <c r="R26" i="4"/>
  <c r="R54" i="4"/>
  <c r="R17" i="4"/>
  <c r="R80" i="4" l="1"/>
  <c r="BY3" i="1" l="1"/>
  <c r="BY4" i="1"/>
  <c r="BY5" i="1"/>
  <c r="BY6" i="1"/>
  <c r="BY7" i="1"/>
  <c r="BY8" i="1"/>
  <c r="BY9" i="1"/>
  <c r="BY20" i="1"/>
  <c r="BY10" i="1"/>
  <c r="BY11" i="1"/>
  <c r="BY12" i="1"/>
  <c r="BY21" i="1"/>
  <c r="BY13" i="1"/>
  <c r="BY14" i="1"/>
  <c r="BY15" i="1"/>
  <c r="BY22" i="1"/>
  <c r="BY16" i="1"/>
  <c r="BY17" i="1"/>
  <c r="BY18" i="1"/>
  <c r="BY19" i="1"/>
  <c r="BY23" i="1"/>
  <c r="BY24" i="1"/>
  <c r="BZ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2" i="1"/>
  <c r="BX3" i="1"/>
  <c r="BZ3" i="1" s="1"/>
  <c r="BX4" i="1"/>
  <c r="BZ4" i="1" s="1"/>
  <c r="BX5" i="1"/>
  <c r="BZ5" i="1" s="1"/>
  <c r="BX6" i="1"/>
  <c r="BZ6" i="1" s="1"/>
  <c r="BX7" i="1"/>
  <c r="BZ7" i="1" s="1"/>
  <c r="BX8" i="1"/>
  <c r="BZ8" i="1" s="1"/>
  <c r="BX9" i="1"/>
  <c r="BZ9" i="1" s="1"/>
  <c r="BX20" i="1"/>
  <c r="BZ20" i="1" s="1"/>
  <c r="BX10" i="1"/>
  <c r="BZ10" i="1" s="1"/>
  <c r="BX11" i="1"/>
  <c r="BZ11" i="1" s="1"/>
  <c r="BX12" i="1"/>
  <c r="BZ12" i="1" s="1"/>
  <c r="BX21" i="1"/>
  <c r="BZ21" i="1" s="1"/>
  <c r="BX13" i="1"/>
  <c r="BZ13" i="1" s="1"/>
  <c r="BX14" i="1"/>
  <c r="BZ14" i="1" s="1"/>
  <c r="BX15" i="1"/>
  <c r="BZ15" i="1" s="1"/>
  <c r="BX22" i="1"/>
  <c r="BZ22" i="1" s="1"/>
  <c r="BX16" i="1"/>
  <c r="BZ16" i="1" s="1"/>
  <c r="BX17" i="1"/>
  <c r="BZ17" i="1" s="1"/>
  <c r="BX18" i="1"/>
  <c r="BZ18" i="1" s="1"/>
  <c r="BX19" i="1"/>
  <c r="BZ19" i="1" s="1"/>
  <c r="BX23" i="1"/>
  <c r="BZ23" i="1" s="1"/>
  <c r="BX24" i="1"/>
  <c r="BX25" i="1"/>
  <c r="BZ25" i="1" s="1"/>
  <c r="BX26" i="1"/>
  <c r="BZ26" i="1" s="1"/>
  <c r="BX27" i="1"/>
  <c r="BZ27" i="1" s="1"/>
  <c r="BX28" i="1"/>
  <c r="BZ28" i="1" s="1"/>
  <c r="BX29" i="1"/>
  <c r="BZ29" i="1" s="1"/>
  <c r="BX30" i="1"/>
  <c r="BZ30" i="1" s="1"/>
  <c r="BX31" i="1"/>
  <c r="BZ31" i="1" s="1"/>
  <c r="BX32" i="1"/>
  <c r="BZ32" i="1" s="1"/>
  <c r="BX33" i="1"/>
  <c r="BZ33" i="1" s="1"/>
  <c r="BX34" i="1"/>
  <c r="BZ34" i="1" s="1"/>
  <c r="BX35" i="1"/>
  <c r="BZ35" i="1" s="1"/>
  <c r="BX36" i="1"/>
  <c r="BZ36" i="1" s="1"/>
  <c r="BX37" i="1"/>
  <c r="BZ37" i="1" s="1"/>
  <c r="BX38" i="1"/>
  <c r="BZ38" i="1" s="1"/>
  <c r="BX39" i="1"/>
  <c r="BZ39" i="1" s="1"/>
  <c r="BX40" i="1"/>
  <c r="BZ40" i="1" s="1"/>
  <c r="BX41" i="1"/>
  <c r="BZ41" i="1" s="1"/>
  <c r="BX42" i="1"/>
  <c r="BZ42" i="1" s="1"/>
  <c r="BX43" i="1"/>
  <c r="BZ43" i="1" s="1"/>
  <c r="BX44" i="1"/>
  <c r="BZ44" i="1" s="1"/>
  <c r="BX45" i="1"/>
  <c r="BZ45" i="1" s="1"/>
  <c r="BX46" i="1"/>
  <c r="BZ46" i="1" s="1"/>
  <c r="BX47" i="1"/>
  <c r="BZ47" i="1" s="1"/>
  <c r="BX48" i="1"/>
  <c r="BZ48" i="1" s="1"/>
  <c r="BX49" i="1"/>
  <c r="BZ49" i="1" s="1"/>
  <c r="BX50" i="1"/>
  <c r="BZ50" i="1" s="1"/>
  <c r="BX51" i="1"/>
  <c r="BZ51" i="1" s="1"/>
  <c r="BX52" i="1"/>
  <c r="BZ52" i="1" s="1"/>
  <c r="BX53" i="1"/>
  <c r="BZ53" i="1" s="1"/>
  <c r="BX54" i="1"/>
  <c r="BZ54" i="1" s="1"/>
  <c r="BX55" i="1"/>
  <c r="BZ55" i="1" s="1"/>
  <c r="BX56" i="1"/>
  <c r="BZ56" i="1" s="1"/>
  <c r="BX57" i="1"/>
  <c r="BZ57" i="1" s="1"/>
  <c r="BX58" i="1"/>
  <c r="BZ58" i="1" s="1"/>
  <c r="BX59" i="1"/>
  <c r="BZ59" i="1" s="1"/>
  <c r="BX60" i="1"/>
  <c r="BZ60" i="1" s="1"/>
  <c r="BX61" i="1"/>
  <c r="BZ61" i="1" s="1"/>
  <c r="BX62" i="1"/>
  <c r="BZ62" i="1" s="1"/>
  <c r="BX63" i="1"/>
  <c r="BZ63" i="1" s="1"/>
  <c r="BX64" i="1"/>
  <c r="BZ64" i="1" s="1"/>
  <c r="BX65" i="1"/>
  <c r="BZ65" i="1" s="1"/>
  <c r="BX66" i="1"/>
  <c r="BZ66" i="1" s="1"/>
  <c r="BX67" i="1"/>
  <c r="BZ67" i="1" s="1"/>
  <c r="BX68" i="1"/>
  <c r="BZ68" i="1" s="1"/>
  <c r="BX69" i="1"/>
  <c r="BZ69" i="1" s="1"/>
  <c r="BX70" i="1"/>
  <c r="BZ70" i="1" s="1"/>
  <c r="BX71" i="1"/>
  <c r="BZ71" i="1" s="1"/>
  <c r="BX72" i="1"/>
  <c r="BZ72" i="1" s="1"/>
  <c r="BX73" i="1"/>
  <c r="BZ73" i="1" s="1"/>
  <c r="BX74" i="1"/>
  <c r="BZ74" i="1" s="1"/>
  <c r="BX75" i="1"/>
  <c r="BZ75" i="1" s="1"/>
  <c r="BX2" i="1"/>
  <c r="BZ2" i="1" l="1"/>
  <c r="Q79" i="4" l="1"/>
  <c r="Q80" i="4" l="1"/>
  <c r="Q78" i="4" l="1"/>
  <c r="P79" i="4" l="1"/>
  <c r="O79" i="4" l="1"/>
  <c r="P43" i="4" l="1"/>
  <c r="P78" i="4" s="1"/>
  <c r="P80" i="4" s="1"/>
  <c r="N79" i="4" l="1"/>
  <c r="K79" i="4"/>
  <c r="O30" i="4" l="1"/>
  <c r="O60" i="4"/>
  <c r="O78" i="4"/>
  <c r="U6" i="4"/>
  <c r="O80" i="4" l="1"/>
  <c r="M79" i="4" l="1"/>
  <c r="L79" i="4" l="1"/>
  <c r="U7" i="4"/>
  <c r="U8" i="4" s="1"/>
  <c r="M78" i="4"/>
  <c r="N78" i="4"/>
  <c r="N80" i="4" l="1"/>
  <c r="M80" i="4" l="1"/>
  <c r="L78" i="4" l="1"/>
  <c r="L80" i="4" l="1"/>
  <c r="J79" i="4" l="1"/>
  <c r="I79" i="4"/>
  <c r="K54" i="4" l="1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78" i="4" s="1"/>
  <c r="K2" i="4"/>
  <c r="K80" i="4" l="1"/>
  <c r="J78" i="4" l="1"/>
  <c r="J80" i="4" l="1"/>
  <c r="E79" i="4" l="1"/>
  <c r="G79" i="4" l="1"/>
  <c r="H79" i="4"/>
  <c r="I78" i="4" l="1"/>
  <c r="I80" i="4" s="1"/>
  <c r="D79" i="4" l="1"/>
  <c r="C79" i="4"/>
  <c r="B10" i="6" l="1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E33" i="6" l="1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I5" i="6" l="1"/>
  <c r="J5" i="6" s="1"/>
  <c r="H6" i="6"/>
  <c r="F79" i="4"/>
  <c r="H78" i="4"/>
  <c r="H7" i="6" l="1"/>
  <c r="I6" i="6"/>
  <c r="J6" i="6" s="1"/>
  <c r="H80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I7" i="6" l="1"/>
  <c r="J7" i="6" s="1"/>
  <c r="H8" i="6"/>
  <c r="AH12" i="3"/>
  <c r="AI12" i="3"/>
  <c r="AH40" i="3"/>
  <c r="AI40" i="3"/>
  <c r="H9" i="6" l="1"/>
  <c r="I8" i="6"/>
  <c r="J8" i="6" s="1"/>
  <c r="AH52" i="3"/>
  <c r="AI52" i="3"/>
  <c r="AH53" i="3"/>
  <c r="AI53" i="3"/>
  <c r="H10" i="6" l="1"/>
  <c r="I9" i="6"/>
  <c r="J9" i="6" s="1"/>
  <c r="G78" i="4"/>
  <c r="I10" i="6" l="1"/>
  <c r="J10" i="6" s="1"/>
  <c r="H11" i="6"/>
  <c r="G80" i="4"/>
  <c r="B79" i="4"/>
  <c r="E78" i="4"/>
  <c r="D78" i="4"/>
  <c r="C78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0" i="4" l="1"/>
  <c r="F78" i="4"/>
  <c r="H12" i="6"/>
  <c r="I11" i="6"/>
  <c r="J11" i="6" s="1"/>
  <c r="C80" i="4"/>
  <c r="D80" i="4"/>
  <c r="B78" i="4"/>
  <c r="B80" i="4" s="1"/>
  <c r="F80" i="4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<sst xmlns="http://schemas.openxmlformats.org/spreadsheetml/2006/main" count="4484" uniqueCount="378">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</sst>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75"/>
  <sheetViews>
    <sheetView zoomScale="85" zoomScaleNormal="85" workbookViewId="0">
      <pane xSplit="1" topLeftCell="AZ1" activePane="topRight" state="frozen"/>
      <selection pane="topRight" activeCell="BV34" sqref="BV34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75" width="11" customWidth="1"/>
  </cols>
  <sheetData>
    <row r="1" spans="1:79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/>
      <c r="BX1" t="s">
        <v>57</v>
      </c>
      <c r="BY1" t="s">
        <v>58</v>
      </c>
      <c r="BZ1" t="s">
        <v>59</v>
      </c>
      <c r="CA1" t="s">
        <v>62</v>
      </c>
    </row>
    <row r="2" spans="1:79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X2">
        <f t="shared" ref="BX2:BX33" si="0">COUNT(B2:BW2)</f>
        <v>68</v>
      </c>
      <c r="BY2" s="18">
        <f t="shared" ref="BY2:BY33" si="1">AVERAGE(B2:BW2)</f>
        <v>5.742647058823529</v>
      </c>
      <c r="BZ2">
        <f t="shared" ref="BZ2:BZ33" si="2">IF(BX2&gt;1,_xlfn.STDEV.S(B2:BW2),"")</f>
        <v>1.0384138559648923</v>
      </c>
      <c r="CA2">
        <v>1</v>
      </c>
    </row>
    <row r="3" spans="1:79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X3">
        <f t="shared" si="0"/>
        <v>65</v>
      </c>
      <c r="BY3" s="18">
        <f t="shared" si="1"/>
        <v>5.407692307692308</v>
      </c>
      <c r="BZ3">
        <f t="shared" si="2"/>
        <v>0.89657467834316817</v>
      </c>
      <c r="CA3">
        <v>1</v>
      </c>
    </row>
    <row r="4" spans="1:79" x14ac:dyDescent="0.35">
      <c r="A4" t="s">
        <v>20</v>
      </c>
      <c r="B4" t="s">
        <v>26</v>
      </c>
      <c r="C4" t="s">
        <v>26</v>
      </c>
      <c r="D4">
        <v>7</v>
      </c>
      <c r="E4">
        <v>7</v>
      </c>
      <c r="F4">
        <v>7</v>
      </c>
      <c r="G4">
        <v>7</v>
      </c>
      <c r="H4">
        <v>7.5</v>
      </c>
      <c r="I4">
        <v>7</v>
      </c>
      <c r="J4">
        <v>7.5</v>
      </c>
      <c r="K4">
        <v>7</v>
      </c>
      <c r="L4">
        <v>6</v>
      </c>
      <c r="M4">
        <v>5.5</v>
      </c>
      <c r="N4">
        <v>5.5</v>
      </c>
      <c r="O4" t="s">
        <v>26</v>
      </c>
      <c r="P4">
        <v>7</v>
      </c>
      <c r="Q4">
        <v>4.5</v>
      </c>
      <c r="R4">
        <v>6</v>
      </c>
      <c r="S4">
        <v>7</v>
      </c>
      <c r="T4">
        <v>6</v>
      </c>
      <c r="U4">
        <v>7</v>
      </c>
      <c r="V4">
        <v>6</v>
      </c>
      <c r="W4">
        <v>6</v>
      </c>
      <c r="X4">
        <v>5.5</v>
      </c>
      <c r="Y4">
        <v>6</v>
      </c>
      <c r="Z4">
        <v>6</v>
      </c>
      <c r="AA4">
        <v>7</v>
      </c>
      <c r="AB4">
        <v>5.5</v>
      </c>
      <c r="AC4">
        <v>6</v>
      </c>
      <c r="AD4">
        <v>7</v>
      </c>
      <c r="AE4">
        <v>6</v>
      </c>
      <c r="AF4">
        <v>6</v>
      </c>
      <c r="AG4">
        <v>6.5</v>
      </c>
      <c r="AI4">
        <v>5.5</v>
      </c>
      <c r="AJ4">
        <v>5</v>
      </c>
      <c r="AK4">
        <v>5.5</v>
      </c>
      <c r="AL4">
        <v>5</v>
      </c>
      <c r="AM4">
        <v>5</v>
      </c>
      <c r="AN4">
        <v>5.5</v>
      </c>
      <c r="AP4">
        <v>5</v>
      </c>
      <c r="AQ4">
        <v>4.5</v>
      </c>
      <c r="AR4">
        <v>4.5</v>
      </c>
      <c r="AT4">
        <v>5.5</v>
      </c>
      <c r="AU4">
        <v>5.5</v>
      </c>
      <c r="AV4">
        <v>5</v>
      </c>
      <c r="AW4">
        <v>4.5</v>
      </c>
      <c r="AX4">
        <v>4.5</v>
      </c>
      <c r="AY4">
        <v>5</v>
      </c>
      <c r="AZ4">
        <v>5.5</v>
      </c>
      <c r="BB4">
        <v>4.5</v>
      </c>
      <c r="BC4">
        <v>6</v>
      </c>
      <c r="BD4">
        <v>5.5</v>
      </c>
      <c r="BE4">
        <v>4</v>
      </c>
      <c r="BF4">
        <v>4.5</v>
      </c>
      <c r="BG4">
        <v>5.5</v>
      </c>
      <c r="BH4">
        <v>5</v>
      </c>
      <c r="BI4">
        <v>5</v>
      </c>
      <c r="BJ4">
        <v>5.5</v>
      </c>
      <c r="BM4">
        <v>4</v>
      </c>
      <c r="BN4">
        <v>5.5</v>
      </c>
      <c r="BO4">
        <v>4.5</v>
      </c>
      <c r="BP4">
        <v>5</v>
      </c>
      <c r="BQ4">
        <v>5</v>
      </c>
      <c r="BR4">
        <v>5</v>
      </c>
      <c r="BT4">
        <v>5.5</v>
      </c>
      <c r="BX4">
        <f t="shared" si="0"/>
        <v>61</v>
      </c>
      <c r="BY4" s="18">
        <f t="shared" si="1"/>
        <v>5.6721311475409832</v>
      </c>
      <c r="BZ4">
        <f t="shared" si="2"/>
        <v>0.91234700042271633</v>
      </c>
      <c r="CA4">
        <v>1</v>
      </c>
    </row>
    <row r="5" spans="1:79" x14ac:dyDescent="0.35">
      <c r="A5" t="s">
        <v>82</v>
      </c>
      <c r="B5">
        <v>9</v>
      </c>
      <c r="C5" t="s">
        <v>26</v>
      </c>
      <c r="D5">
        <v>7.5</v>
      </c>
      <c r="E5">
        <v>7</v>
      </c>
      <c r="F5">
        <v>6</v>
      </c>
      <c r="G5">
        <v>7</v>
      </c>
      <c r="H5">
        <v>6</v>
      </c>
      <c r="I5">
        <v>7</v>
      </c>
      <c r="J5">
        <v>7</v>
      </c>
      <c r="K5">
        <v>7</v>
      </c>
      <c r="L5">
        <v>6</v>
      </c>
      <c r="M5">
        <v>6</v>
      </c>
      <c r="N5">
        <v>7</v>
      </c>
      <c r="O5">
        <v>7</v>
      </c>
      <c r="P5">
        <v>7</v>
      </c>
      <c r="Q5">
        <v>7</v>
      </c>
      <c r="R5">
        <v>7.5</v>
      </c>
      <c r="S5">
        <v>7</v>
      </c>
      <c r="T5">
        <v>7.5</v>
      </c>
      <c r="U5">
        <v>7</v>
      </c>
      <c r="V5">
        <v>7</v>
      </c>
      <c r="W5">
        <v>7</v>
      </c>
      <c r="X5">
        <v>6</v>
      </c>
      <c r="Y5">
        <v>6</v>
      </c>
      <c r="Z5">
        <v>6</v>
      </c>
      <c r="AA5">
        <v>7</v>
      </c>
      <c r="AB5">
        <v>7</v>
      </c>
      <c r="AC5">
        <v>7</v>
      </c>
      <c r="AD5" t="s">
        <v>26</v>
      </c>
      <c r="AE5">
        <v>7</v>
      </c>
      <c r="AF5">
        <v>6</v>
      </c>
      <c r="AG5">
        <v>6</v>
      </c>
      <c r="AH5">
        <v>5</v>
      </c>
      <c r="AI5">
        <v>6.5</v>
      </c>
      <c r="AJ5">
        <v>5.5</v>
      </c>
      <c r="AK5">
        <v>6.5</v>
      </c>
      <c r="AL5">
        <v>5.5</v>
      </c>
      <c r="AN5">
        <v>6.5</v>
      </c>
      <c r="AO5">
        <v>5.5</v>
      </c>
      <c r="AP5">
        <v>6</v>
      </c>
      <c r="AV5">
        <v>5</v>
      </c>
      <c r="AY5">
        <v>6</v>
      </c>
      <c r="BA5">
        <v>5</v>
      </c>
      <c r="BB5">
        <v>6</v>
      </c>
      <c r="BC5">
        <v>5</v>
      </c>
      <c r="BD5">
        <v>6.5</v>
      </c>
      <c r="BE5">
        <v>6</v>
      </c>
      <c r="BF5">
        <v>5</v>
      </c>
      <c r="BG5">
        <v>5.5</v>
      </c>
      <c r="BH5">
        <v>5.5</v>
      </c>
      <c r="BI5">
        <v>5</v>
      </c>
      <c r="BL5">
        <v>5</v>
      </c>
      <c r="BM5">
        <v>5.5</v>
      </c>
      <c r="BN5">
        <v>6.5</v>
      </c>
      <c r="BO5">
        <v>6</v>
      </c>
      <c r="BP5">
        <v>5</v>
      </c>
      <c r="BQ5">
        <v>5</v>
      </c>
      <c r="BR5">
        <v>5.5</v>
      </c>
      <c r="BS5">
        <v>5.5</v>
      </c>
      <c r="BV5">
        <v>5.5</v>
      </c>
      <c r="BX5">
        <f t="shared" si="0"/>
        <v>58</v>
      </c>
      <c r="BY5" s="18">
        <f t="shared" si="1"/>
        <v>6.2327586206896548</v>
      </c>
      <c r="BZ5">
        <f t="shared" si="2"/>
        <v>0.85949555402021838</v>
      </c>
      <c r="CA5">
        <v>1</v>
      </c>
    </row>
    <row r="6" spans="1:79" x14ac:dyDescent="0.35">
      <c r="A6" t="s">
        <v>6</v>
      </c>
      <c r="B6">
        <v>7.5</v>
      </c>
      <c r="C6">
        <v>7</v>
      </c>
      <c r="D6">
        <v>7</v>
      </c>
      <c r="E6">
        <v>7.5</v>
      </c>
      <c r="F6">
        <v>6</v>
      </c>
      <c r="G6">
        <v>6</v>
      </c>
      <c r="H6" t="s">
        <v>26</v>
      </c>
      <c r="I6">
        <v>7.5</v>
      </c>
      <c r="J6" t="s">
        <v>26</v>
      </c>
      <c r="K6">
        <v>7.5</v>
      </c>
      <c r="L6" t="s">
        <v>26</v>
      </c>
      <c r="M6" t="s">
        <v>26</v>
      </c>
      <c r="N6">
        <v>6</v>
      </c>
      <c r="O6">
        <v>7</v>
      </c>
      <c r="P6">
        <v>6</v>
      </c>
      <c r="Q6" t="s">
        <v>26</v>
      </c>
      <c r="R6" t="s">
        <v>26</v>
      </c>
      <c r="S6">
        <v>6</v>
      </c>
      <c r="T6">
        <v>7</v>
      </c>
      <c r="U6">
        <v>7</v>
      </c>
      <c r="V6" t="s">
        <v>26</v>
      </c>
      <c r="W6">
        <v>6</v>
      </c>
      <c r="X6">
        <v>6</v>
      </c>
      <c r="Y6" t="s">
        <v>26</v>
      </c>
      <c r="Z6" t="s">
        <v>26</v>
      </c>
      <c r="AA6">
        <v>6</v>
      </c>
      <c r="AB6" t="s">
        <v>26</v>
      </c>
      <c r="AC6" t="s">
        <v>26</v>
      </c>
      <c r="AD6" t="s">
        <v>26</v>
      </c>
      <c r="AE6">
        <v>6</v>
      </c>
      <c r="AF6">
        <v>6.5</v>
      </c>
      <c r="AG6">
        <v>7</v>
      </c>
      <c r="AH6">
        <v>5.5</v>
      </c>
      <c r="AJ6">
        <v>5.5</v>
      </c>
      <c r="AK6">
        <v>5</v>
      </c>
      <c r="AL6">
        <v>4.5</v>
      </c>
      <c r="AM6">
        <v>5.5</v>
      </c>
      <c r="AN6">
        <v>6.5</v>
      </c>
      <c r="AO6">
        <v>6</v>
      </c>
      <c r="AP6">
        <v>5</v>
      </c>
      <c r="AQ6">
        <v>5.5</v>
      </c>
      <c r="AR6">
        <v>5.5</v>
      </c>
      <c r="AS6">
        <v>5</v>
      </c>
      <c r="AT6">
        <v>5.5</v>
      </c>
      <c r="AU6">
        <v>5</v>
      </c>
      <c r="AV6">
        <v>5</v>
      </c>
      <c r="AX6">
        <v>10</v>
      </c>
      <c r="AY6">
        <v>5.5</v>
      </c>
      <c r="AZ6">
        <v>5</v>
      </c>
      <c r="BA6">
        <v>5</v>
      </c>
      <c r="BB6">
        <v>4.5</v>
      </c>
      <c r="BC6">
        <v>7</v>
      </c>
      <c r="BD6">
        <v>5.5</v>
      </c>
      <c r="BE6">
        <v>6.5</v>
      </c>
      <c r="BF6">
        <v>4.5</v>
      </c>
      <c r="BG6">
        <v>4.5</v>
      </c>
      <c r="BH6">
        <v>7.5</v>
      </c>
      <c r="BI6">
        <v>6.5</v>
      </c>
      <c r="BJ6">
        <v>6</v>
      </c>
      <c r="BK6">
        <v>5.5</v>
      </c>
      <c r="BL6">
        <v>5</v>
      </c>
      <c r="BM6">
        <v>6</v>
      </c>
      <c r="BN6">
        <v>6</v>
      </c>
      <c r="BO6">
        <v>6.5</v>
      </c>
      <c r="BP6">
        <v>5</v>
      </c>
      <c r="BQ6">
        <v>4.5</v>
      </c>
      <c r="BR6">
        <v>6</v>
      </c>
      <c r="BS6">
        <v>5</v>
      </c>
      <c r="BT6">
        <v>5.5</v>
      </c>
      <c r="BU6">
        <v>4.5</v>
      </c>
      <c r="BV6">
        <v>5.5</v>
      </c>
      <c r="BX6">
        <f t="shared" si="0"/>
        <v>59</v>
      </c>
      <c r="BY6" s="18">
        <f t="shared" si="1"/>
        <v>5.9406779661016946</v>
      </c>
      <c r="BZ6">
        <f t="shared" si="2"/>
        <v>1.0300851394453439</v>
      </c>
      <c r="CA6">
        <v>1</v>
      </c>
    </row>
    <row r="7" spans="1:79" x14ac:dyDescent="0.35">
      <c r="A7" t="s">
        <v>4</v>
      </c>
      <c r="B7">
        <v>4.5</v>
      </c>
      <c r="C7" t="s">
        <v>26</v>
      </c>
      <c r="D7">
        <v>6</v>
      </c>
      <c r="E7">
        <v>5.5</v>
      </c>
      <c r="F7">
        <v>6</v>
      </c>
      <c r="G7" t="s">
        <v>26</v>
      </c>
      <c r="H7">
        <v>7</v>
      </c>
      <c r="I7">
        <v>5.5</v>
      </c>
      <c r="J7">
        <v>6</v>
      </c>
      <c r="K7">
        <v>5.5</v>
      </c>
      <c r="L7">
        <v>7</v>
      </c>
      <c r="M7">
        <v>6</v>
      </c>
      <c r="N7">
        <v>7</v>
      </c>
      <c r="O7">
        <v>5.5</v>
      </c>
      <c r="P7">
        <v>5.5</v>
      </c>
      <c r="Q7">
        <v>7</v>
      </c>
      <c r="R7">
        <v>6</v>
      </c>
      <c r="S7">
        <v>6</v>
      </c>
      <c r="T7">
        <v>7</v>
      </c>
      <c r="U7">
        <v>6</v>
      </c>
      <c r="V7">
        <v>5.5</v>
      </c>
      <c r="W7">
        <v>5.5</v>
      </c>
      <c r="X7">
        <v>6</v>
      </c>
      <c r="Y7">
        <v>5.5</v>
      </c>
      <c r="Z7" t="s">
        <v>26</v>
      </c>
      <c r="AA7">
        <v>7</v>
      </c>
      <c r="AB7">
        <v>6</v>
      </c>
      <c r="AC7">
        <v>6</v>
      </c>
      <c r="AD7">
        <v>6</v>
      </c>
      <c r="AE7">
        <v>6.5</v>
      </c>
      <c r="AF7">
        <v>6</v>
      </c>
      <c r="AG7">
        <v>6</v>
      </c>
      <c r="AH7">
        <v>5</v>
      </c>
      <c r="AI7">
        <v>6</v>
      </c>
      <c r="AL7">
        <v>3</v>
      </c>
      <c r="AM7">
        <v>4</v>
      </c>
      <c r="AN7">
        <v>5.5</v>
      </c>
      <c r="AO7">
        <v>5</v>
      </c>
      <c r="AP7">
        <v>4.5</v>
      </c>
      <c r="AV7">
        <v>4</v>
      </c>
      <c r="AW7">
        <v>4.5</v>
      </c>
      <c r="AX7">
        <v>4.5</v>
      </c>
      <c r="AY7">
        <v>5</v>
      </c>
      <c r="AZ7">
        <v>4</v>
      </c>
      <c r="BA7">
        <v>5</v>
      </c>
      <c r="BB7">
        <v>5</v>
      </c>
      <c r="BC7">
        <v>6</v>
      </c>
      <c r="BH7">
        <v>5.5</v>
      </c>
      <c r="BI7">
        <v>5.5</v>
      </c>
      <c r="BJ7">
        <v>5.5</v>
      </c>
      <c r="BK7">
        <v>5</v>
      </c>
      <c r="BL7">
        <v>4.5</v>
      </c>
      <c r="BM7">
        <v>5</v>
      </c>
      <c r="BN7">
        <v>6</v>
      </c>
      <c r="BO7">
        <v>5</v>
      </c>
      <c r="BP7">
        <v>5</v>
      </c>
      <c r="BQ7">
        <v>5</v>
      </c>
      <c r="BR7">
        <v>5</v>
      </c>
      <c r="BS7">
        <v>5</v>
      </c>
      <c r="BT7">
        <v>5.5</v>
      </c>
      <c r="BU7">
        <v>5.5</v>
      </c>
      <c r="BV7">
        <v>5</v>
      </c>
      <c r="BX7">
        <f t="shared" si="0"/>
        <v>59</v>
      </c>
      <c r="BY7" s="18">
        <f t="shared" si="1"/>
        <v>5.4915254237288131</v>
      </c>
      <c r="BZ7">
        <f t="shared" si="2"/>
        <v>0.82781143438238103</v>
      </c>
      <c r="CA7">
        <v>1</v>
      </c>
    </row>
    <row r="8" spans="1:79" x14ac:dyDescent="0.35">
      <c r="A8" t="s">
        <v>9</v>
      </c>
      <c r="B8">
        <v>7</v>
      </c>
      <c r="C8" t="s">
        <v>26</v>
      </c>
      <c r="D8">
        <v>7</v>
      </c>
      <c r="E8">
        <v>6</v>
      </c>
      <c r="F8">
        <v>7.5</v>
      </c>
      <c r="G8">
        <v>7</v>
      </c>
      <c r="H8">
        <v>7</v>
      </c>
      <c r="I8" t="s">
        <v>26</v>
      </c>
      <c r="J8">
        <v>6</v>
      </c>
      <c r="K8" t="s">
        <v>26</v>
      </c>
      <c r="L8">
        <v>7</v>
      </c>
      <c r="M8">
        <v>7</v>
      </c>
      <c r="N8">
        <v>7.5</v>
      </c>
      <c r="O8">
        <v>6</v>
      </c>
      <c r="P8">
        <v>6</v>
      </c>
      <c r="Q8">
        <v>7</v>
      </c>
      <c r="R8" t="s">
        <v>26</v>
      </c>
      <c r="S8">
        <v>6</v>
      </c>
      <c r="T8">
        <v>7.5</v>
      </c>
      <c r="U8" t="s">
        <v>26</v>
      </c>
      <c r="V8">
        <v>6</v>
      </c>
      <c r="W8">
        <v>7</v>
      </c>
      <c r="X8">
        <v>7</v>
      </c>
      <c r="Y8" t="s">
        <v>26</v>
      </c>
      <c r="Z8">
        <v>7.5</v>
      </c>
      <c r="AA8">
        <v>7</v>
      </c>
      <c r="AB8">
        <v>7</v>
      </c>
      <c r="AC8">
        <v>6</v>
      </c>
      <c r="AD8">
        <v>7</v>
      </c>
      <c r="AE8">
        <v>8</v>
      </c>
      <c r="AF8">
        <v>6.5</v>
      </c>
      <c r="AH8">
        <v>7.5</v>
      </c>
      <c r="AI8">
        <v>5.5</v>
      </c>
      <c r="AJ8">
        <v>5.5</v>
      </c>
      <c r="AK8">
        <v>5.5</v>
      </c>
      <c r="AM8">
        <v>7</v>
      </c>
      <c r="AQ8">
        <v>5</v>
      </c>
      <c r="AR8">
        <v>5.5</v>
      </c>
      <c r="AS8">
        <v>5</v>
      </c>
      <c r="AT8">
        <v>5.5</v>
      </c>
      <c r="AU8">
        <v>5.5</v>
      </c>
      <c r="AV8">
        <v>5.5</v>
      </c>
      <c r="AX8">
        <v>6</v>
      </c>
      <c r="AY8">
        <v>6.5</v>
      </c>
      <c r="AZ8">
        <v>5.5</v>
      </c>
      <c r="BA8">
        <v>5.5</v>
      </c>
      <c r="BB8">
        <v>4.5</v>
      </c>
      <c r="BC8">
        <v>4</v>
      </c>
      <c r="BD8">
        <v>4.5</v>
      </c>
      <c r="BE8">
        <v>5.5</v>
      </c>
      <c r="BF8">
        <v>5</v>
      </c>
      <c r="BG8">
        <v>5</v>
      </c>
      <c r="BH8">
        <v>5</v>
      </c>
      <c r="BK8">
        <v>5</v>
      </c>
      <c r="BL8">
        <v>5.5</v>
      </c>
      <c r="BM8">
        <v>5</v>
      </c>
      <c r="BP8">
        <v>5.5</v>
      </c>
      <c r="BQ8">
        <v>7</v>
      </c>
      <c r="BR8">
        <v>6</v>
      </c>
      <c r="BS8">
        <v>5.5</v>
      </c>
      <c r="BT8">
        <v>5.5</v>
      </c>
      <c r="BU8">
        <v>5.5</v>
      </c>
      <c r="BX8">
        <f t="shared" si="0"/>
        <v>56</v>
      </c>
      <c r="BY8" s="18">
        <f t="shared" si="1"/>
        <v>6.0892857142857144</v>
      </c>
      <c r="BZ8">
        <f t="shared" si="2"/>
        <v>0.93957022504558441</v>
      </c>
      <c r="CA8">
        <v>1</v>
      </c>
    </row>
    <row r="9" spans="1:79" x14ac:dyDescent="0.35">
      <c r="A9" t="s">
        <v>5</v>
      </c>
      <c r="B9">
        <v>10</v>
      </c>
      <c r="C9">
        <v>8.5</v>
      </c>
      <c r="D9">
        <v>8.5</v>
      </c>
      <c r="E9">
        <v>7.5</v>
      </c>
      <c r="F9">
        <v>7</v>
      </c>
      <c r="G9">
        <v>7.5</v>
      </c>
      <c r="H9">
        <v>7</v>
      </c>
      <c r="I9" t="s">
        <v>26</v>
      </c>
      <c r="J9">
        <v>8.5</v>
      </c>
      <c r="K9">
        <v>7.5</v>
      </c>
      <c r="L9">
        <v>8.5</v>
      </c>
      <c r="M9">
        <v>7</v>
      </c>
      <c r="N9">
        <v>7.5</v>
      </c>
      <c r="O9">
        <v>7.5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6</v>
      </c>
      <c r="W9">
        <v>7.5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F9">
        <v>6.5</v>
      </c>
      <c r="AG9">
        <v>10</v>
      </c>
      <c r="AI9">
        <v>6.5</v>
      </c>
      <c r="AJ9">
        <v>5.5</v>
      </c>
      <c r="AK9">
        <v>6.5</v>
      </c>
      <c r="AL9">
        <v>6</v>
      </c>
      <c r="AO9">
        <v>6</v>
      </c>
      <c r="AP9">
        <v>5</v>
      </c>
      <c r="AQ9">
        <v>5.5</v>
      </c>
      <c r="AR9">
        <v>6.5</v>
      </c>
      <c r="AS9">
        <v>6</v>
      </c>
      <c r="AT9">
        <v>5.5</v>
      </c>
      <c r="AU9">
        <v>6.5</v>
      </c>
      <c r="AV9">
        <v>6</v>
      </c>
      <c r="AW9">
        <v>6</v>
      </c>
      <c r="AX9">
        <v>6</v>
      </c>
      <c r="AY9">
        <v>5.5</v>
      </c>
      <c r="AZ9">
        <v>7</v>
      </c>
      <c r="BA9">
        <v>8.5</v>
      </c>
      <c r="BB9">
        <v>5.5</v>
      </c>
      <c r="BC9">
        <v>4.5</v>
      </c>
      <c r="BD9">
        <v>5.5</v>
      </c>
      <c r="BE9">
        <v>6.5</v>
      </c>
      <c r="BF9">
        <v>5.5</v>
      </c>
      <c r="BG9">
        <v>5</v>
      </c>
      <c r="BK9">
        <v>5.5</v>
      </c>
      <c r="BL9">
        <v>6</v>
      </c>
      <c r="BO9">
        <v>5.5</v>
      </c>
      <c r="BP9">
        <v>5.5</v>
      </c>
      <c r="BQ9">
        <v>6</v>
      </c>
      <c r="BR9">
        <v>5.5</v>
      </c>
      <c r="BS9">
        <v>6</v>
      </c>
      <c r="BT9">
        <v>6</v>
      </c>
      <c r="BU9">
        <v>6.5</v>
      </c>
      <c r="BV9">
        <v>5.5</v>
      </c>
      <c r="BX9">
        <f t="shared" si="0"/>
        <v>57</v>
      </c>
      <c r="BY9" s="18">
        <f t="shared" si="1"/>
        <v>6.6052631578947372</v>
      </c>
      <c r="BZ9">
        <f t="shared" si="2"/>
        <v>1.16395585529809</v>
      </c>
      <c r="CA9">
        <v>1</v>
      </c>
    </row>
    <row r="10" spans="1:79" x14ac:dyDescent="0.35">
      <c r="A10" t="s">
        <v>11</v>
      </c>
      <c r="B10">
        <v>5.5</v>
      </c>
      <c r="C10" t="s">
        <v>26</v>
      </c>
      <c r="D10">
        <v>7.5</v>
      </c>
      <c r="E10">
        <v>7.5</v>
      </c>
      <c r="F10">
        <v>7.5</v>
      </c>
      <c r="G10">
        <v>5.5</v>
      </c>
      <c r="H10" t="s">
        <v>26</v>
      </c>
      <c r="I10">
        <v>4.5</v>
      </c>
      <c r="J10">
        <v>7</v>
      </c>
      <c r="K10">
        <v>6</v>
      </c>
      <c r="L10" t="s">
        <v>26</v>
      </c>
      <c r="M10" t="s">
        <v>26</v>
      </c>
      <c r="N10">
        <v>6</v>
      </c>
      <c r="O10">
        <v>5.5</v>
      </c>
      <c r="P10">
        <v>6</v>
      </c>
      <c r="Q10" t="s">
        <v>26</v>
      </c>
      <c r="R10" t="s">
        <v>26</v>
      </c>
      <c r="S10">
        <v>4.5</v>
      </c>
      <c r="T10">
        <v>7</v>
      </c>
      <c r="U10" t="s">
        <v>26</v>
      </c>
      <c r="V10" t="s">
        <v>26</v>
      </c>
      <c r="W10" t="s">
        <v>26</v>
      </c>
      <c r="X10">
        <v>6</v>
      </c>
      <c r="Y10">
        <v>6</v>
      </c>
      <c r="Z10" t="s">
        <v>26</v>
      </c>
      <c r="AA10">
        <v>4.5</v>
      </c>
      <c r="AB10" t="s">
        <v>26</v>
      </c>
      <c r="AC10">
        <v>7</v>
      </c>
      <c r="AD10" t="s">
        <v>26</v>
      </c>
      <c r="AE10">
        <v>3</v>
      </c>
      <c r="AF10">
        <v>6</v>
      </c>
      <c r="AG10">
        <v>4.5</v>
      </c>
      <c r="AH10">
        <v>6</v>
      </c>
      <c r="AI10">
        <v>6</v>
      </c>
      <c r="AJ10">
        <v>5.5</v>
      </c>
      <c r="AK10">
        <v>7</v>
      </c>
      <c r="AL10">
        <v>5</v>
      </c>
      <c r="AM10">
        <v>4.5</v>
      </c>
      <c r="AN10">
        <v>4.5</v>
      </c>
      <c r="AO10">
        <v>5</v>
      </c>
      <c r="AP10">
        <v>5</v>
      </c>
      <c r="AR10">
        <v>5.5</v>
      </c>
      <c r="AS10">
        <v>5.5</v>
      </c>
      <c r="AT10">
        <v>5</v>
      </c>
      <c r="AU10">
        <v>6</v>
      </c>
      <c r="AV10">
        <v>5</v>
      </c>
      <c r="AX10">
        <v>5</v>
      </c>
      <c r="AY10">
        <v>4.5</v>
      </c>
      <c r="BD10">
        <v>4</v>
      </c>
      <c r="BE10">
        <v>6</v>
      </c>
      <c r="BG10">
        <v>3.5</v>
      </c>
      <c r="BH10">
        <v>5.5</v>
      </c>
      <c r="BI10">
        <v>5</v>
      </c>
      <c r="BJ10">
        <v>5</v>
      </c>
      <c r="BK10">
        <v>5</v>
      </c>
      <c r="BM10">
        <v>4.5</v>
      </c>
      <c r="BN10">
        <v>7</v>
      </c>
      <c r="BO10">
        <v>5</v>
      </c>
      <c r="BR10">
        <v>7</v>
      </c>
      <c r="BS10">
        <v>5.5</v>
      </c>
      <c r="BT10">
        <v>5.5</v>
      </c>
      <c r="BU10">
        <v>5.5</v>
      </c>
      <c r="BV10">
        <v>5</v>
      </c>
      <c r="BX10">
        <f t="shared" si="0"/>
        <v>51</v>
      </c>
      <c r="BY10" s="18">
        <f t="shared" si="1"/>
        <v>5.5098039215686274</v>
      </c>
      <c r="BZ10">
        <f t="shared" si="2"/>
        <v>1.0123744172905169</v>
      </c>
      <c r="CA10">
        <v>1</v>
      </c>
    </row>
    <row r="11" spans="1:79" x14ac:dyDescent="0.35">
      <c r="A11" t="s">
        <v>367</v>
      </c>
      <c r="B11">
        <v>8.5</v>
      </c>
      <c r="C11" t="s">
        <v>26</v>
      </c>
      <c r="D11" t="s">
        <v>26</v>
      </c>
      <c r="E11">
        <v>7</v>
      </c>
      <c r="F11">
        <v>7</v>
      </c>
      <c r="G11" t="s">
        <v>26</v>
      </c>
      <c r="H11">
        <v>10</v>
      </c>
      <c r="I11">
        <v>7</v>
      </c>
      <c r="J11" t="s">
        <v>26</v>
      </c>
      <c r="K11">
        <v>6</v>
      </c>
      <c r="L11">
        <v>7</v>
      </c>
      <c r="M11">
        <v>6</v>
      </c>
      <c r="N11">
        <v>6</v>
      </c>
      <c r="O11">
        <v>6</v>
      </c>
      <c r="P11">
        <v>7</v>
      </c>
      <c r="Q11">
        <v>5.5</v>
      </c>
      <c r="R11">
        <v>7.5</v>
      </c>
      <c r="S11">
        <v>7</v>
      </c>
      <c r="T11">
        <v>7</v>
      </c>
      <c r="U11">
        <v>6</v>
      </c>
      <c r="V11">
        <v>7</v>
      </c>
      <c r="W11">
        <v>7</v>
      </c>
      <c r="X11">
        <v>7</v>
      </c>
      <c r="Y11" t="s">
        <v>26</v>
      </c>
      <c r="Z11">
        <v>6</v>
      </c>
      <c r="AA11">
        <v>6</v>
      </c>
      <c r="AB11" t="s">
        <v>26</v>
      </c>
      <c r="AC11">
        <v>6</v>
      </c>
      <c r="AD11" t="s">
        <v>26</v>
      </c>
      <c r="AF11">
        <v>7</v>
      </c>
      <c r="AG11">
        <v>5.5</v>
      </c>
      <c r="AH11">
        <v>5.5</v>
      </c>
      <c r="AI11">
        <v>5.5</v>
      </c>
      <c r="AJ11">
        <v>5.5</v>
      </c>
      <c r="AK11">
        <v>6.5</v>
      </c>
      <c r="AL11">
        <v>4.5</v>
      </c>
      <c r="AV11">
        <v>4.5</v>
      </c>
      <c r="AW11">
        <v>4.5</v>
      </c>
      <c r="AX11">
        <v>5</v>
      </c>
      <c r="AY11">
        <v>5.5</v>
      </c>
      <c r="AZ11">
        <v>5.5</v>
      </c>
      <c r="BA11">
        <v>5</v>
      </c>
      <c r="BD11">
        <v>4.5</v>
      </c>
      <c r="BE11">
        <v>6</v>
      </c>
      <c r="BF11">
        <v>6.5</v>
      </c>
      <c r="BG11">
        <v>5.5</v>
      </c>
      <c r="BH11">
        <v>5</v>
      </c>
      <c r="BK11">
        <v>4.5</v>
      </c>
      <c r="BL11">
        <v>5</v>
      </c>
      <c r="BM11">
        <v>5.5</v>
      </c>
      <c r="BN11">
        <v>5.5</v>
      </c>
      <c r="BO11">
        <v>5</v>
      </c>
      <c r="BP11">
        <v>5.5</v>
      </c>
      <c r="BQ11">
        <v>5</v>
      </c>
      <c r="BR11">
        <v>4.5</v>
      </c>
      <c r="BS11">
        <v>5.5</v>
      </c>
      <c r="BT11">
        <v>5</v>
      </c>
      <c r="BV11">
        <v>5.5</v>
      </c>
      <c r="BX11">
        <f t="shared" si="0"/>
        <v>51</v>
      </c>
      <c r="BY11" s="18">
        <f t="shared" si="1"/>
        <v>5.9509803921568629</v>
      </c>
      <c r="BZ11">
        <f t="shared" si="2"/>
        <v>1.0920389276980218</v>
      </c>
      <c r="CA11">
        <v>1</v>
      </c>
    </row>
    <row r="12" spans="1:79" x14ac:dyDescent="0.35">
      <c r="A12" t="s">
        <v>16</v>
      </c>
      <c r="B12">
        <v>7.5</v>
      </c>
      <c r="C12" t="s">
        <v>26</v>
      </c>
      <c r="D12" t="s">
        <v>26</v>
      </c>
      <c r="E12" t="s">
        <v>26</v>
      </c>
      <c r="F12" t="s">
        <v>26</v>
      </c>
      <c r="G12" t="s">
        <v>26</v>
      </c>
      <c r="H12" t="s">
        <v>26</v>
      </c>
      <c r="I12" t="s">
        <v>26</v>
      </c>
      <c r="J12" t="s">
        <v>26</v>
      </c>
      <c r="K12" t="s">
        <v>26</v>
      </c>
      <c r="L12" t="s">
        <v>26</v>
      </c>
      <c r="M12" t="s">
        <v>26</v>
      </c>
      <c r="N12" t="s">
        <v>26</v>
      </c>
      <c r="O12" t="s">
        <v>26</v>
      </c>
      <c r="P12" t="s">
        <v>26</v>
      </c>
      <c r="Q12" t="s">
        <v>26</v>
      </c>
      <c r="R12" t="s">
        <v>26</v>
      </c>
      <c r="S12" t="s">
        <v>26</v>
      </c>
      <c r="T12" t="s">
        <v>26</v>
      </c>
      <c r="U12" t="s">
        <v>26</v>
      </c>
      <c r="V12">
        <v>7</v>
      </c>
      <c r="W12">
        <v>7</v>
      </c>
      <c r="X12">
        <v>6</v>
      </c>
      <c r="Y12">
        <v>7</v>
      </c>
      <c r="Z12">
        <v>7.5</v>
      </c>
      <c r="AA12">
        <v>7</v>
      </c>
      <c r="AB12">
        <v>7</v>
      </c>
      <c r="AC12">
        <v>7.5</v>
      </c>
      <c r="AD12">
        <v>7</v>
      </c>
      <c r="AE12">
        <v>6</v>
      </c>
      <c r="AF12">
        <v>6.5</v>
      </c>
      <c r="AH12">
        <v>6.5</v>
      </c>
      <c r="AI12">
        <v>6.5</v>
      </c>
      <c r="AJ12">
        <v>5.5</v>
      </c>
      <c r="AK12">
        <v>5.5</v>
      </c>
      <c r="AL12">
        <v>6</v>
      </c>
      <c r="AM12">
        <v>5</v>
      </c>
      <c r="AN12">
        <v>5</v>
      </c>
      <c r="AO12">
        <v>5</v>
      </c>
      <c r="AP12">
        <v>5.5</v>
      </c>
      <c r="AQ12">
        <v>5.5</v>
      </c>
      <c r="AR12">
        <v>6</v>
      </c>
      <c r="AS12">
        <v>5</v>
      </c>
      <c r="AT12">
        <v>5.5</v>
      </c>
      <c r="AV12">
        <v>4.5</v>
      </c>
      <c r="AX12">
        <v>6</v>
      </c>
      <c r="AY12">
        <v>5.5</v>
      </c>
      <c r="AZ12">
        <v>6.5</v>
      </c>
      <c r="BA12">
        <v>5</v>
      </c>
      <c r="BB12">
        <v>5</v>
      </c>
      <c r="BC12">
        <v>9.5</v>
      </c>
      <c r="BD12">
        <v>5.5</v>
      </c>
      <c r="BE12">
        <v>6.5</v>
      </c>
      <c r="BF12">
        <v>4.5</v>
      </c>
      <c r="BG12">
        <v>6</v>
      </c>
      <c r="BH12">
        <v>5.5</v>
      </c>
      <c r="BI12">
        <v>7</v>
      </c>
      <c r="BJ12">
        <v>5.5</v>
      </c>
      <c r="BK12">
        <v>6.5</v>
      </c>
      <c r="BL12">
        <v>5.5</v>
      </c>
      <c r="BM12">
        <v>5.5</v>
      </c>
      <c r="BN12">
        <v>5</v>
      </c>
      <c r="BP12">
        <v>5.5</v>
      </c>
      <c r="BQ12">
        <v>5</v>
      </c>
      <c r="BR12">
        <v>5</v>
      </c>
      <c r="BS12">
        <v>5.5</v>
      </c>
      <c r="BU12">
        <v>5.5</v>
      </c>
      <c r="BV12">
        <v>6</v>
      </c>
      <c r="BX12">
        <f t="shared" si="0"/>
        <v>49</v>
      </c>
      <c r="BY12" s="18">
        <f t="shared" si="1"/>
        <v>5.9795918367346941</v>
      </c>
      <c r="BZ12">
        <f t="shared" si="2"/>
        <v>0.9626308551388254</v>
      </c>
      <c r="CA12">
        <v>1</v>
      </c>
    </row>
    <row r="13" spans="1:79" x14ac:dyDescent="0.35">
      <c r="A13" t="s">
        <v>25</v>
      </c>
      <c r="B13" t="s">
        <v>26</v>
      </c>
      <c r="C13" t="s">
        <v>26</v>
      </c>
      <c r="D13" t="s">
        <v>26</v>
      </c>
      <c r="E13">
        <v>4.5</v>
      </c>
      <c r="F13">
        <v>6</v>
      </c>
      <c r="G13">
        <v>4</v>
      </c>
      <c r="H13" t="s">
        <v>26</v>
      </c>
      <c r="I13" t="s">
        <v>26</v>
      </c>
      <c r="J13">
        <v>4.5</v>
      </c>
      <c r="K13" t="s">
        <v>26</v>
      </c>
      <c r="L13">
        <v>2.5</v>
      </c>
      <c r="M13">
        <v>4.5</v>
      </c>
      <c r="N13">
        <v>5.5</v>
      </c>
      <c r="O13">
        <v>6</v>
      </c>
      <c r="P13">
        <v>4.5</v>
      </c>
      <c r="Q13" t="s">
        <v>26</v>
      </c>
      <c r="R13" t="s">
        <v>26</v>
      </c>
      <c r="S13">
        <v>4</v>
      </c>
      <c r="T13">
        <v>6</v>
      </c>
      <c r="U13">
        <v>2.5</v>
      </c>
      <c r="V13">
        <v>5.5</v>
      </c>
      <c r="W13">
        <v>6</v>
      </c>
      <c r="X13">
        <v>6</v>
      </c>
      <c r="Y13" t="s">
        <v>26</v>
      </c>
      <c r="Z13">
        <v>5.5</v>
      </c>
      <c r="AA13" t="s">
        <v>26</v>
      </c>
      <c r="AB13" t="s">
        <v>26</v>
      </c>
      <c r="AC13">
        <v>4</v>
      </c>
      <c r="AD13">
        <v>4.5</v>
      </c>
      <c r="AE13">
        <v>4</v>
      </c>
      <c r="AF13">
        <v>2.5</v>
      </c>
      <c r="AG13">
        <v>3</v>
      </c>
      <c r="AH13">
        <v>5</v>
      </c>
      <c r="AK13">
        <v>5</v>
      </c>
      <c r="AL13">
        <v>2.5</v>
      </c>
      <c r="AM13">
        <v>4</v>
      </c>
      <c r="AO13">
        <v>5.5</v>
      </c>
      <c r="AP13">
        <v>5.5</v>
      </c>
      <c r="AQ13">
        <v>4</v>
      </c>
      <c r="AR13">
        <v>3.5</v>
      </c>
      <c r="AT13">
        <v>5</v>
      </c>
      <c r="AU13">
        <v>4</v>
      </c>
      <c r="AX13">
        <v>5.5</v>
      </c>
      <c r="AY13">
        <v>4.5</v>
      </c>
      <c r="AZ13">
        <v>4.5</v>
      </c>
      <c r="BA13">
        <v>5</v>
      </c>
      <c r="BC13">
        <v>4</v>
      </c>
      <c r="BE13">
        <v>4.5</v>
      </c>
      <c r="BK13">
        <v>4.5</v>
      </c>
      <c r="BL13">
        <v>4</v>
      </c>
      <c r="BM13">
        <v>5</v>
      </c>
      <c r="BO13">
        <v>4.5</v>
      </c>
      <c r="BR13">
        <v>4.5</v>
      </c>
      <c r="BT13">
        <v>5</v>
      </c>
      <c r="BX13">
        <f t="shared" si="0"/>
        <v>43</v>
      </c>
      <c r="BY13" s="18">
        <f t="shared" si="1"/>
        <v>4.5348837209302326</v>
      </c>
      <c r="BZ13">
        <f t="shared" si="2"/>
        <v>0.97830848210431687</v>
      </c>
      <c r="CA13">
        <v>1</v>
      </c>
    </row>
    <row r="14" spans="1:79" x14ac:dyDescent="0.35">
      <c r="A14" t="s">
        <v>19</v>
      </c>
      <c r="B14">
        <v>10</v>
      </c>
      <c r="C14" t="s">
        <v>26</v>
      </c>
      <c r="D14">
        <v>7</v>
      </c>
      <c r="E14">
        <v>7</v>
      </c>
      <c r="F14">
        <v>6</v>
      </c>
      <c r="G14" t="s">
        <v>26</v>
      </c>
      <c r="H14" t="s">
        <v>26</v>
      </c>
      <c r="I14" t="s">
        <v>26</v>
      </c>
      <c r="J14" t="s">
        <v>26</v>
      </c>
      <c r="K14" t="s">
        <v>26</v>
      </c>
      <c r="L14" t="s">
        <v>26</v>
      </c>
      <c r="M14">
        <v>6</v>
      </c>
      <c r="N14">
        <v>6</v>
      </c>
      <c r="O14">
        <v>6</v>
      </c>
      <c r="P14">
        <v>6</v>
      </c>
      <c r="Q14">
        <v>7</v>
      </c>
      <c r="R14" t="s">
        <v>26</v>
      </c>
      <c r="S14" t="s">
        <v>26</v>
      </c>
      <c r="T14">
        <v>6</v>
      </c>
      <c r="U14">
        <v>6</v>
      </c>
      <c r="V14">
        <v>7</v>
      </c>
      <c r="W14">
        <v>6</v>
      </c>
      <c r="X14" t="s">
        <v>26</v>
      </c>
      <c r="Y14">
        <v>8.5</v>
      </c>
      <c r="Z14">
        <v>6</v>
      </c>
      <c r="AA14">
        <v>6</v>
      </c>
      <c r="AB14">
        <v>5.5</v>
      </c>
      <c r="AC14" t="s">
        <v>26</v>
      </c>
      <c r="AD14" t="s">
        <v>26</v>
      </c>
      <c r="AE14">
        <v>6</v>
      </c>
      <c r="AF14">
        <v>6.5</v>
      </c>
      <c r="AG14">
        <v>6.5</v>
      </c>
      <c r="AL14">
        <v>4.5</v>
      </c>
      <c r="AM14">
        <v>5.5</v>
      </c>
      <c r="AQ14">
        <v>5</v>
      </c>
      <c r="AT14">
        <v>5.5</v>
      </c>
      <c r="AU14">
        <v>5.5</v>
      </c>
      <c r="AV14">
        <v>5</v>
      </c>
      <c r="AW14">
        <v>5</v>
      </c>
      <c r="AX14">
        <v>5.5</v>
      </c>
      <c r="AZ14">
        <v>5.5</v>
      </c>
      <c r="BA14">
        <v>5</v>
      </c>
      <c r="BC14">
        <v>7</v>
      </c>
      <c r="BE14">
        <v>4.5</v>
      </c>
      <c r="BF14">
        <v>7.5</v>
      </c>
      <c r="BG14">
        <v>5</v>
      </c>
      <c r="BH14">
        <v>6</v>
      </c>
      <c r="BI14">
        <v>5</v>
      </c>
      <c r="BK14">
        <v>5.5</v>
      </c>
      <c r="BL14">
        <v>5.5</v>
      </c>
      <c r="BM14">
        <v>5</v>
      </c>
      <c r="BO14">
        <v>5</v>
      </c>
      <c r="BP14">
        <v>5.5</v>
      </c>
      <c r="BS14">
        <v>5.5</v>
      </c>
      <c r="BV14">
        <v>5.5</v>
      </c>
      <c r="BX14">
        <f t="shared" si="0"/>
        <v>43</v>
      </c>
      <c r="BY14" s="18">
        <f t="shared" si="1"/>
        <v>5.941860465116279</v>
      </c>
      <c r="BZ14">
        <f t="shared" si="2"/>
        <v>1.0363012427767966</v>
      </c>
      <c r="CA14">
        <v>1</v>
      </c>
    </row>
    <row r="15" spans="1:79" x14ac:dyDescent="0.35">
      <c r="A15" t="s">
        <v>55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>
        <v>6</v>
      </c>
      <c r="P15" t="s">
        <v>26</v>
      </c>
      <c r="Q15">
        <v>4.5</v>
      </c>
      <c r="R15" t="s">
        <v>26</v>
      </c>
      <c r="S15" t="s">
        <v>26</v>
      </c>
      <c r="T15">
        <v>7</v>
      </c>
      <c r="U15">
        <v>7</v>
      </c>
      <c r="V15">
        <v>6</v>
      </c>
      <c r="W15">
        <v>6</v>
      </c>
      <c r="X15">
        <v>6</v>
      </c>
      <c r="Y15">
        <v>7.5</v>
      </c>
      <c r="Z15">
        <v>6</v>
      </c>
      <c r="AA15">
        <v>6</v>
      </c>
      <c r="AB15" t="s">
        <v>26</v>
      </c>
      <c r="AC15">
        <v>6</v>
      </c>
      <c r="AD15">
        <v>7</v>
      </c>
      <c r="AF15">
        <v>7</v>
      </c>
      <c r="AG15">
        <v>7</v>
      </c>
      <c r="AQ15">
        <v>7</v>
      </c>
      <c r="AR15">
        <v>6.5</v>
      </c>
      <c r="AS15">
        <v>5</v>
      </c>
      <c r="AT15">
        <v>5</v>
      </c>
      <c r="AU15">
        <v>5</v>
      </c>
      <c r="AV15">
        <v>5</v>
      </c>
      <c r="AW15">
        <v>5</v>
      </c>
      <c r="AZ15">
        <v>5.5</v>
      </c>
      <c r="BC15">
        <v>4.5</v>
      </c>
      <c r="BE15">
        <v>5.5</v>
      </c>
      <c r="BF15">
        <v>5.5</v>
      </c>
      <c r="BH15">
        <v>5.5</v>
      </c>
      <c r="BJ15">
        <v>5</v>
      </c>
      <c r="BM15">
        <v>5</v>
      </c>
      <c r="BN15">
        <v>4.5</v>
      </c>
      <c r="BO15">
        <v>5.5</v>
      </c>
      <c r="BQ15">
        <v>5</v>
      </c>
      <c r="BR15">
        <v>6</v>
      </c>
      <c r="BS15">
        <v>5.5</v>
      </c>
      <c r="BT15">
        <v>5.5</v>
      </c>
      <c r="BU15">
        <v>5</v>
      </c>
      <c r="BX15">
        <f t="shared" si="0"/>
        <v>35</v>
      </c>
      <c r="BY15" s="18">
        <f t="shared" si="1"/>
        <v>5.7428571428571429</v>
      </c>
      <c r="BZ15">
        <f t="shared" si="2"/>
        <v>0.8346488216382898</v>
      </c>
      <c r="CA15">
        <v>1</v>
      </c>
    </row>
    <row r="16" spans="1:79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5.5</v>
      </c>
      <c r="G16">
        <v>4.5</v>
      </c>
      <c r="H16">
        <v>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6</v>
      </c>
      <c r="R16" t="s">
        <v>26</v>
      </c>
      <c r="S16">
        <v>6</v>
      </c>
      <c r="T16">
        <v>6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G16">
        <v>6.5</v>
      </c>
      <c r="AI16">
        <v>4</v>
      </c>
      <c r="AJ16">
        <v>3.5</v>
      </c>
      <c r="AK16">
        <v>3</v>
      </c>
      <c r="AL16">
        <v>5</v>
      </c>
      <c r="AN16">
        <v>5</v>
      </c>
      <c r="AO16">
        <v>5</v>
      </c>
      <c r="AW16">
        <v>4.5</v>
      </c>
      <c r="AX16">
        <v>4.5</v>
      </c>
      <c r="AY16">
        <v>4.5</v>
      </c>
      <c r="AZ16">
        <v>4.5</v>
      </c>
      <c r="BB16">
        <v>5.5</v>
      </c>
      <c r="BC16">
        <v>2.5</v>
      </c>
      <c r="BE16">
        <v>4</v>
      </c>
      <c r="BF16">
        <v>5</v>
      </c>
      <c r="BG16">
        <v>3.5</v>
      </c>
      <c r="BH16">
        <v>4</v>
      </c>
      <c r="BI16">
        <v>5</v>
      </c>
      <c r="BJ16">
        <v>4.5</v>
      </c>
      <c r="BK16">
        <v>5</v>
      </c>
      <c r="BL16">
        <v>4.5</v>
      </c>
      <c r="BO16">
        <v>4</v>
      </c>
      <c r="BP16">
        <v>5</v>
      </c>
      <c r="BQ16">
        <v>4.5</v>
      </c>
      <c r="BS16">
        <v>4.5</v>
      </c>
      <c r="BT16">
        <v>4.5</v>
      </c>
      <c r="BV16">
        <v>4</v>
      </c>
      <c r="BX16">
        <f t="shared" si="0"/>
        <v>33</v>
      </c>
      <c r="BY16" s="18">
        <f t="shared" si="1"/>
        <v>4.666666666666667</v>
      </c>
      <c r="BZ16">
        <f t="shared" si="2"/>
        <v>0.88975652100260993</v>
      </c>
      <c r="CA16">
        <v>1</v>
      </c>
    </row>
    <row r="17" spans="1:79" x14ac:dyDescent="0.35">
      <c r="A17" t="s">
        <v>15</v>
      </c>
      <c r="B17">
        <v>7</v>
      </c>
      <c r="C17">
        <v>5.5</v>
      </c>
      <c r="D17" t="s">
        <v>26</v>
      </c>
      <c r="E17" t="s">
        <v>26</v>
      </c>
      <c r="F17" t="s">
        <v>26</v>
      </c>
      <c r="G17">
        <v>6</v>
      </c>
      <c r="H17">
        <v>4.5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>
        <v>6</v>
      </c>
      <c r="Q17">
        <v>5.5</v>
      </c>
      <c r="R17">
        <v>7</v>
      </c>
      <c r="S17">
        <v>6</v>
      </c>
      <c r="T17">
        <v>6</v>
      </c>
      <c r="U17">
        <v>7</v>
      </c>
      <c r="V17">
        <v>5.5</v>
      </c>
      <c r="W17">
        <v>6</v>
      </c>
      <c r="X17">
        <v>5.5</v>
      </c>
      <c r="Y17">
        <v>7</v>
      </c>
      <c r="Z17" t="s">
        <v>26</v>
      </c>
      <c r="AA17">
        <v>7</v>
      </c>
      <c r="AB17">
        <v>6</v>
      </c>
      <c r="AC17" t="s">
        <v>26</v>
      </c>
      <c r="AD17">
        <v>6</v>
      </c>
      <c r="BB17">
        <v>3.5</v>
      </c>
      <c r="BC17">
        <v>4</v>
      </c>
      <c r="BD17">
        <v>5</v>
      </c>
      <c r="BE17">
        <v>7</v>
      </c>
      <c r="BH17">
        <v>5</v>
      </c>
      <c r="BJ17">
        <v>4.5</v>
      </c>
      <c r="BK17">
        <v>5.5</v>
      </c>
      <c r="BL17">
        <v>5</v>
      </c>
      <c r="BM17">
        <v>5</v>
      </c>
      <c r="BN17">
        <v>5.5</v>
      </c>
      <c r="BR17">
        <v>5</v>
      </c>
      <c r="BS17">
        <v>5</v>
      </c>
      <c r="BX17">
        <f t="shared" si="0"/>
        <v>29</v>
      </c>
      <c r="BY17" s="18">
        <f t="shared" si="1"/>
        <v>5.6379310344827589</v>
      </c>
      <c r="BZ17">
        <f t="shared" si="2"/>
        <v>0.9344264066043968</v>
      </c>
      <c r="CA17">
        <v>1</v>
      </c>
    </row>
    <row r="18" spans="1:79" x14ac:dyDescent="0.35">
      <c r="A18" t="s">
        <v>56</v>
      </c>
      <c r="B18" t="s">
        <v>26</v>
      </c>
      <c r="C18" t="s">
        <v>26</v>
      </c>
      <c r="D18" t="s">
        <v>26</v>
      </c>
      <c r="E18" t="s">
        <v>26</v>
      </c>
      <c r="F18" t="s">
        <v>26</v>
      </c>
      <c r="G18" t="s">
        <v>26</v>
      </c>
      <c r="H18" t="s">
        <v>26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7</v>
      </c>
      <c r="T18" t="s">
        <v>26</v>
      </c>
      <c r="U18" t="s">
        <v>26</v>
      </c>
      <c r="V18">
        <v>7</v>
      </c>
      <c r="W18" t="s">
        <v>26</v>
      </c>
      <c r="X18">
        <v>6</v>
      </c>
      <c r="Y18">
        <v>7</v>
      </c>
      <c r="Z18">
        <v>7</v>
      </c>
      <c r="AA18" t="s">
        <v>26</v>
      </c>
      <c r="AB18">
        <v>7</v>
      </c>
      <c r="AC18">
        <v>4.5</v>
      </c>
      <c r="AD18">
        <v>7</v>
      </c>
      <c r="AE18">
        <v>6</v>
      </c>
      <c r="AF18">
        <v>5</v>
      </c>
      <c r="AG18">
        <v>6.5</v>
      </c>
      <c r="AH18">
        <v>6.5</v>
      </c>
      <c r="AI18">
        <v>6.5</v>
      </c>
      <c r="AJ18">
        <v>5</v>
      </c>
      <c r="AK18">
        <v>5</v>
      </c>
      <c r="AL18">
        <v>6</v>
      </c>
      <c r="AM18">
        <v>5</v>
      </c>
      <c r="AO18">
        <v>5</v>
      </c>
      <c r="AP18">
        <v>5.5</v>
      </c>
      <c r="AQ18">
        <v>4.5</v>
      </c>
      <c r="AR18">
        <v>5</v>
      </c>
      <c r="AS18">
        <v>5</v>
      </c>
      <c r="AT18">
        <v>5</v>
      </c>
      <c r="AU18">
        <v>6</v>
      </c>
      <c r="AV18">
        <v>4.5</v>
      </c>
      <c r="AW18">
        <v>5</v>
      </c>
      <c r="BP18">
        <v>5</v>
      </c>
      <c r="BQ18">
        <v>5</v>
      </c>
      <c r="BR18">
        <v>5.5</v>
      </c>
      <c r="BS18">
        <v>5.5</v>
      </c>
      <c r="BV18">
        <v>5</v>
      </c>
      <c r="BX18">
        <f t="shared" si="0"/>
        <v>32</v>
      </c>
      <c r="BY18" s="18">
        <f t="shared" si="1"/>
        <v>5.65625</v>
      </c>
      <c r="BZ18">
        <f t="shared" si="2"/>
        <v>0.85607412250681103</v>
      </c>
      <c r="CA18">
        <v>1</v>
      </c>
    </row>
    <row r="19" spans="1:79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6</v>
      </c>
      <c r="I19">
        <v>5.5</v>
      </c>
      <c r="J19">
        <v>5.5</v>
      </c>
      <c r="K19">
        <v>4</v>
      </c>
      <c r="L19" t="s">
        <v>26</v>
      </c>
      <c r="M19">
        <v>4</v>
      </c>
      <c r="N19">
        <v>4.5</v>
      </c>
      <c r="O19">
        <v>7.5</v>
      </c>
      <c r="P19">
        <v>7</v>
      </c>
      <c r="Q19">
        <v>4.5</v>
      </c>
      <c r="R19" t="s">
        <v>26</v>
      </c>
      <c r="S19" t="s">
        <v>26</v>
      </c>
      <c r="T19" t="s">
        <v>26</v>
      </c>
      <c r="U19">
        <v>5.5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H19">
        <v>5</v>
      </c>
      <c r="AI19">
        <v>5.5</v>
      </c>
      <c r="AJ19">
        <v>3.5</v>
      </c>
      <c r="BF19">
        <v>3.5</v>
      </c>
      <c r="BG19">
        <v>4.5</v>
      </c>
      <c r="BH19">
        <v>4</v>
      </c>
      <c r="BI19">
        <v>5</v>
      </c>
      <c r="BJ19">
        <v>3.5</v>
      </c>
      <c r="BK19">
        <v>4</v>
      </c>
      <c r="BL19">
        <v>5</v>
      </c>
      <c r="BO19">
        <v>5</v>
      </c>
      <c r="BQ19">
        <v>7</v>
      </c>
      <c r="BR19">
        <v>4.5</v>
      </c>
      <c r="BT19">
        <v>5</v>
      </c>
      <c r="BU19">
        <v>5.5</v>
      </c>
      <c r="BV19">
        <v>4.5</v>
      </c>
      <c r="BX19">
        <f t="shared" si="0"/>
        <v>26</v>
      </c>
      <c r="BY19" s="18">
        <f t="shared" si="1"/>
        <v>4.9615384615384617</v>
      </c>
      <c r="BZ19">
        <f t="shared" si="2"/>
        <v>1.0669871313476738</v>
      </c>
      <c r="CA19">
        <v>1</v>
      </c>
    </row>
    <row r="20" spans="1:79" x14ac:dyDescent="0.35">
      <c r="A20" t="s">
        <v>14</v>
      </c>
      <c r="B20">
        <v>7</v>
      </c>
      <c r="C20" t="s">
        <v>26</v>
      </c>
      <c r="D20">
        <v>7.5</v>
      </c>
      <c r="E20" t="s">
        <v>26</v>
      </c>
      <c r="F20">
        <v>6</v>
      </c>
      <c r="G20">
        <v>7</v>
      </c>
      <c r="H20">
        <v>4.5</v>
      </c>
      <c r="I20">
        <v>5.5</v>
      </c>
      <c r="J20" t="s">
        <v>26</v>
      </c>
      <c r="K20">
        <v>6</v>
      </c>
      <c r="L20">
        <v>6</v>
      </c>
      <c r="M20">
        <v>6</v>
      </c>
      <c r="N20" t="s">
        <v>26</v>
      </c>
      <c r="O20">
        <v>6</v>
      </c>
      <c r="P20">
        <v>5.5</v>
      </c>
      <c r="Q20">
        <v>5.5</v>
      </c>
      <c r="R20">
        <v>6</v>
      </c>
      <c r="S20">
        <v>4.5</v>
      </c>
      <c r="T20">
        <v>7</v>
      </c>
      <c r="U20" t="s">
        <v>26</v>
      </c>
      <c r="V20">
        <v>6</v>
      </c>
      <c r="W20" t="s">
        <v>26</v>
      </c>
      <c r="X20">
        <v>7</v>
      </c>
      <c r="Y20">
        <v>6</v>
      </c>
      <c r="Z20" t="s">
        <v>26</v>
      </c>
      <c r="AA20">
        <v>6</v>
      </c>
      <c r="AB20">
        <v>5.5</v>
      </c>
      <c r="AC20">
        <v>6</v>
      </c>
      <c r="AD20">
        <v>5.5</v>
      </c>
      <c r="AI20">
        <v>5</v>
      </c>
      <c r="AL20">
        <v>5.5</v>
      </c>
      <c r="AM20">
        <v>5</v>
      </c>
      <c r="AN20">
        <v>5</v>
      </c>
      <c r="AO20">
        <v>5</v>
      </c>
      <c r="AP20">
        <v>5</v>
      </c>
      <c r="AQ20">
        <v>5</v>
      </c>
      <c r="AR20">
        <v>4.5</v>
      </c>
      <c r="AS20">
        <v>5.5</v>
      </c>
      <c r="AT20">
        <v>5.5</v>
      </c>
      <c r="AV20">
        <v>5</v>
      </c>
      <c r="AY20">
        <v>4.5</v>
      </c>
      <c r="AZ20">
        <v>5</v>
      </c>
      <c r="BB20">
        <v>5</v>
      </c>
      <c r="BC20">
        <v>6</v>
      </c>
      <c r="BD20">
        <v>6</v>
      </c>
      <c r="BE20">
        <v>6</v>
      </c>
      <c r="BF20">
        <v>5</v>
      </c>
      <c r="BG20">
        <v>5.5</v>
      </c>
      <c r="BH20">
        <v>5</v>
      </c>
      <c r="BI20">
        <v>5</v>
      </c>
      <c r="BK20">
        <v>5.5</v>
      </c>
      <c r="BL20">
        <v>5</v>
      </c>
      <c r="BM20">
        <v>5</v>
      </c>
      <c r="BN20">
        <v>5.5</v>
      </c>
      <c r="BO20">
        <v>4.5</v>
      </c>
      <c r="BP20">
        <v>4.5</v>
      </c>
      <c r="BQ20">
        <v>5</v>
      </c>
      <c r="BR20">
        <v>4.5</v>
      </c>
      <c r="BX20">
        <f t="shared" si="0"/>
        <v>51</v>
      </c>
      <c r="BY20" s="18">
        <f t="shared" si="1"/>
        <v>5.5</v>
      </c>
      <c r="BZ20">
        <f t="shared" si="2"/>
        <v>0.73484692283495345</v>
      </c>
      <c r="CA20">
        <v>0</v>
      </c>
    </row>
    <row r="21" spans="1:79" x14ac:dyDescent="0.35">
      <c r="A21" t="s">
        <v>2</v>
      </c>
      <c r="B21">
        <v>7</v>
      </c>
      <c r="C21" t="s">
        <v>26</v>
      </c>
      <c r="D21">
        <v>4.5</v>
      </c>
      <c r="E21">
        <v>4.5</v>
      </c>
      <c r="F21">
        <v>5.5</v>
      </c>
      <c r="G21">
        <v>5.5</v>
      </c>
      <c r="H21">
        <v>7</v>
      </c>
      <c r="I21" t="s">
        <v>26</v>
      </c>
      <c r="J21">
        <v>6</v>
      </c>
      <c r="K21">
        <v>6</v>
      </c>
      <c r="L21">
        <v>5.5</v>
      </c>
      <c r="M21">
        <v>6</v>
      </c>
      <c r="N21" t="s">
        <v>26</v>
      </c>
      <c r="O21">
        <v>5.5</v>
      </c>
      <c r="P21">
        <v>6</v>
      </c>
      <c r="Q21">
        <v>4.5</v>
      </c>
      <c r="R21">
        <v>6</v>
      </c>
      <c r="S21">
        <v>7</v>
      </c>
      <c r="T21">
        <v>5.5</v>
      </c>
      <c r="U21">
        <v>5.5</v>
      </c>
      <c r="V21">
        <v>5.5</v>
      </c>
      <c r="W21">
        <v>5.5</v>
      </c>
      <c r="X21">
        <v>6</v>
      </c>
      <c r="Y21">
        <v>5.5</v>
      </c>
      <c r="Z21" t="s">
        <v>26</v>
      </c>
      <c r="AA21">
        <v>7</v>
      </c>
      <c r="AB21">
        <v>6</v>
      </c>
      <c r="AC21">
        <v>6</v>
      </c>
      <c r="AD21" t="s">
        <v>26</v>
      </c>
      <c r="AE21">
        <v>7</v>
      </c>
      <c r="AH21">
        <v>6.5</v>
      </c>
      <c r="AI21">
        <v>4.5</v>
      </c>
      <c r="AK21">
        <v>5</v>
      </c>
      <c r="AL21">
        <v>5</v>
      </c>
      <c r="AM21">
        <v>5.5</v>
      </c>
      <c r="AN21">
        <v>4</v>
      </c>
      <c r="AT21">
        <v>4.5</v>
      </c>
      <c r="AZ21">
        <v>4.5</v>
      </c>
      <c r="BC21">
        <v>4</v>
      </c>
      <c r="BG21">
        <v>4.5</v>
      </c>
      <c r="BH21">
        <v>5.5</v>
      </c>
      <c r="BI21">
        <v>5</v>
      </c>
      <c r="BJ21">
        <v>4.5</v>
      </c>
      <c r="BK21">
        <v>4.5</v>
      </c>
      <c r="BL21">
        <v>4.5</v>
      </c>
      <c r="BM21">
        <v>5</v>
      </c>
      <c r="BN21">
        <v>5.5</v>
      </c>
      <c r="BQ21">
        <v>5</v>
      </c>
      <c r="BX21">
        <f t="shared" si="0"/>
        <v>43</v>
      </c>
      <c r="BY21" s="18">
        <f t="shared" si="1"/>
        <v>5.4302325581395348</v>
      </c>
      <c r="BZ21">
        <f t="shared" si="2"/>
        <v>0.84220088196427134</v>
      </c>
      <c r="CA21">
        <v>0</v>
      </c>
    </row>
    <row r="22" spans="1:79" x14ac:dyDescent="0.35">
      <c r="A22" t="s">
        <v>84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 t="s">
        <v>26</v>
      </c>
      <c r="Q22" t="s">
        <v>26</v>
      </c>
      <c r="R22" t="s">
        <v>26</v>
      </c>
      <c r="S22" t="s">
        <v>26</v>
      </c>
      <c r="T22" t="s">
        <v>26</v>
      </c>
      <c r="U22" t="s">
        <v>26</v>
      </c>
      <c r="V22" t="s">
        <v>26</v>
      </c>
      <c r="W22" t="s">
        <v>26</v>
      </c>
      <c r="X22" t="s">
        <v>26</v>
      </c>
      <c r="Y22" t="s">
        <v>26</v>
      </c>
      <c r="Z22" t="s">
        <v>26</v>
      </c>
      <c r="AA22" t="s">
        <v>26</v>
      </c>
      <c r="AB22">
        <v>4.5</v>
      </c>
      <c r="AC22">
        <v>6</v>
      </c>
      <c r="AD22" t="s">
        <v>26</v>
      </c>
      <c r="AE22">
        <v>6.5</v>
      </c>
      <c r="AF22">
        <v>6</v>
      </c>
      <c r="AG22">
        <v>6.5</v>
      </c>
      <c r="AH22">
        <v>5</v>
      </c>
      <c r="AI22">
        <v>5.5</v>
      </c>
      <c r="AL22">
        <v>5</v>
      </c>
      <c r="AO22">
        <v>5.5</v>
      </c>
      <c r="AP22">
        <v>6</v>
      </c>
      <c r="AQ22">
        <v>5.5</v>
      </c>
      <c r="AT22">
        <v>4.5</v>
      </c>
      <c r="AU22">
        <v>5</v>
      </c>
      <c r="AV22">
        <v>5</v>
      </c>
      <c r="AW22">
        <v>4.5</v>
      </c>
      <c r="AX22">
        <v>5</v>
      </c>
      <c r="AZ22">
        <v>5</v>
      </c>
      <c r="BA22">
        <v>5.5</v>
      </c>
      <c r="BB22">
        <v>5.5</v>
      </c>
      <c r="BC22">
        <v>4</v>
      </c>
      <c r="BD22">
        <v>4.5</v>
      </c>
      <c r="BE22">
        <v>4.5</v>
      </c>
      <c r="BF22">
        <v>4.5</v>
      </c>
      <c r="BG22">
        <v>5</v>
      </c>
      <c r="BI22">
        <v>4.5</v>
      </c>
      <c r="BL22">
        <v>5</v>
      </c>
      <c r="BM22">
        <v>5</v>
      </c>
      <c r="BN22">
        <v>5.5</v>
      </c>
      <c r="BO22">
        <v>5</v>
      </c>
      <c r="BQ22">
        <v>5</v>
      </c>
      <c r="BR22">
        <v>4.5</v>
      </c>
      <c r="BX22">
        <f t="shared" si="0"/>
        <v>31</v>
      </c>
      <c r="BY22" s="18">
        <f t="shared" si="1"/>
        <v>5.129032258064516</v>
      </c>
      <c r="BZ22">
        <f t="shared" si="2"/>
        <v>0.61870485607010695</v>
      </c>
      <c r="CA22">
        <v>0</v>
      </c>
    </row>
    <row r="23" spans="1:79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X23">
        <f t="shared" si="0"/>
        <v>22</v>
      </c>
      <c r="BY23" s="18">
        <f t="shared" si="1"/>
        <v>5.1363636363636367</v>
      </c>
      <c r="BZ23">
        <f t="shared" si="2"/>
        <v>0.74293206415395308</v>
      </c>
      <c r="CA23">
        <v>0</v>
      </c>
    </row>
    <row r="24" spans="1:79" x14ac:dyDescent="0.35">
      <c r="A24" t="s">
        <v>3</v>
      </c>
      <c r="B24">
        <v>7.5</v>
      </c>
      <c r="C24">
        <v>6</v>
      </c>
      <c r="D24">
        <v>7.5</v>
      </c>
      <c r="E24">
        <v>4</v>
      </c>
      <c r="F24">
        <v>6</v>
      </c>
      <c r="G24">
        <v>5.5</v>
      </c>
      <c r="H24">
        <v>4.5</v>
      </c>
      <c r="I24">
        <v>5.5</v>
      </c>
      <c r="J24">
        <v>5.5</v>
      </c>
      <c r="K24" t="s">
        <v>26</v>
      </c>
      <c r="L24" t="s">
        <v>26</v>
      </c>
      <c r="M24" t="s">
        <v>26</v>
      </c>
      <c r="N24" t="s">
        <v>26</v>
      </c>
      <c r="O24">
        <v>7</v>
      </c>
      <c r="P24">
        <v>6</v>
      </c>
      <c r="Q24">
        <v>6</v>
      </c>
      <c r="R24">
        <v>7</v>
      </c>
      <c r="S24" t="s">
        <v>26</v>
      </c>
      <c r="T24" t="s">
        <v>26</v>
      </c>
      <c r="U24" t="s">
        <v>26</v>
      </c>
      <c r="V24" t="s">
        <v>26</v>
      </c>
      <c r="W24" t="s">
        <v>26</v>
      </c>
      <c r="X24" t="s">
        <v>26</v>
      </c>
      <c r="Y24">
        <v>6</v>
      </c>
      <c r="Z24" t="s">
        <v>26</v>
      </c>
      <c r="AA24" t="s">
        <v>26</v>
      </c>
      <c r="AB24" t="s">
        <v>26</v>
      </c>
      <c r="AC24" t="s">
        <v>26</v>
      </c>
      <c r="AD24" t="s">
        <v>26</v>
      </c>
      <c r="AE24">
        <v>6.5</v>
      </c>
      <c r="AI24">
        <v>5</v>
      </c>
      <c r="AL24">
        <v>5.5</v>
      </c>
      <c r="AU24">
        <v>5</v>
      </c>
      <c r="BA24">
        <v>5</v>
      </c>
      <c r="BX24">
        <f t="shared" si="0"/>
        <v>19</v>
      </c>
      <c r="BY24" s="18">
        <f t="shared" si="1"/>
        <v>5.8421052631578947</v>
      </c>
      <c r="BZ24">
        <f t="shared" si="2"/>
        <v>0.95819030206465661</v>
      </c>
      <c r="CA24">
        <v>0</v>
      </c>
    </row>
    <row r="25" spans="1:79" x14ac:dyDescent="0.35">
      <c r="A25" t="s">
        <v>8</v>
      </c>
      <c r="B25">
        <v>6</v>
      </c>
      <c r="C25" t="s">
        <v>26</v>
      </c>
      <c r="D25">
        <v>4</v>
      </c>
      <c r="E25" t="s">
        <v>26</v>
      </c>
      <c r="F25" t="s">
        <v>26</v>
      </c>
      <c r="G25">
        <v>5.5</v>
      </c>
      <c r="H25">
        <v>4</v>
      </c>
      <c r="I25">
        <v>4.5</v>
      </c>
      <c r="J25">
        <v>7</v>
      </c>
      <c r="K25">
        <v>7</v>
      </c>
      <c r="L25" t="s">
        <v>26</v>
      </c>
      <c r="M25" t="s">
        <v>26</v>
      </c>
      <c r="N25" t="s">
        <v>26</v>
      </c>
      <c r="O25">
        <v>5.5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  <c r="U25">
        <v>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>
        <v>7</v>
      </c>
      <c r="AB25" t="s">
        <v>26</v>
      </c>
      <c r="AC25">
        <v>7</v>
      </c>
      <c r="AD25" t="s">
        <v>26</v>
      </c>
      <c r="AI25">
        <v>5</v>
      </c>
      <c r="AJ25">
        <v>5</v>
      </c>
      <c r="AN25">
        <v>5</v>
      </c>
      <c r="AP25">
        <v>5.5</v>
      </c>
      <c r="AQ25">
        <v>4</v>
      </c>
      <c r="AV25">
        <v>4.5</v>
      </c>
      <c r="BX25">
        <f t="shared" si="0"/>
        <v>17</v>
      </c>
      <c r="BY25" s="18">
        <f t="shared" si="1"/>
        <v>5.4411764705882355</v>
      </c>
      <c r="BZ25">
        <f t="shared" si="2"/>
        <v>1.0880365478290537</v>
      </c>
      <c r="CA25">
        <v>0</v>
      </c>
    </row>
    <row r="26" spans="1:79" x14ac:dyDescent="0.35">
      <c r="A26" t="s">
        <v>48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>
        <v>7</v>
      </c>
      <c r="J26" t="s">
        <v>26</v>
      </c>
      <c r="K26">
        <v>7</v>
      </c>
      <c r="L26">
        <v>7.5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>
        <v>7</v>
      </c>
      <c r="S26" t="s">
        <v>26</v>
      </c>
      <c r="T26" t="s">
        <v>26</v>
      </c>
      <c r="U26">
        <v>7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>
        <v>6</v>
      </c>
      <c r="AS26">
        <v>5</v>
      </c>
      <c r="AT26">
        <v>5</v>
      </c>
      <c r="AX26">
        <v>6</v>
      </c>
      <c r="AY26">
        <v>4.5</v>
      </c>
      <c r="BB26">
        <v>5</v>
      </c>
      <c r="BD26">
        <v>5.5</v>
      </c>
      <c r="BI26">
        <v>4.5</v>
      </c>
      <c r="BJ26">
        <v>5.5</v>
      </c>
      <c r="BN26">
        <v>5</v>
      </c>
      <c r="BT26">
        <v>5</v>
      </c>
      <c r="BU26">
        <v>6.5</v>
      </c>
      <c r="BV26">
        <v>5</v>
      </c>
      <c r="BX26">
        <f t="shared" si="0"/>
        <v>18</v>
      </c>
      <c r="BY26" s="18">
        <f t="shared" si="1"/>
        <v>5.7777777777777777</v>
      </c>
      <c r="BZ26">
        <f t="shared" si="2"/>
        <v>0.98849591956999727</v>
      </c>
      <c r="CA26">
        <v>0</v>
      </c>
    </row>
    <row r="27" spans="1:79" x14ac:dyDescent="0.35">
      <c r="A27" t="s">
        <v>68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>
        <v>6</v>
      </c>
      <c r="Y27" t="s">
        <v>26</v>
      </c>
      <c r="Z27">
        <v>5.5</v>
      </c>
      <c r="AA27">
        <v>4</v>
      </c>
      <c r="AB27">
        <v>3</v>
      </c>
      <c r="AC27" t="s">
        <v>26</v>
      </c>
      <c r="AD27" t="s">
        <v>26</v>
      </c>
      <c r="AG27">
        <v>6</v>
      </c>
      <c r="AH27">
        <v>5</v>
      </c>
      <c r="AJ27">
        <v>4.5</v>
      </c>
      <c r="AK27">
        <v>5</v>
      </c>
      <c r="AO27">
        <v>4</v>
      </c>
      <c r="AP27">
        <v>5.5</v>
      </c>
      <c r="AR27">
        <v>3.5</v>
      </c>
      <c r="AW27">
        <v>3.5</v>
      </c>
      <c r="BA27">
        <v>3</v>
      </c>
      <c r="BJ27">
        <v>5.5</v>
      </c>
      <c r="BK27">
        <v>4</v>
      </c>
      <c r="BT27">
        <v>4</v>
      </c>
      <c r="BX27">
        <f t="shared" si="0"/>
        <v>16</v>
      </c>
      <c r="BY27" s="18">
        <f t="shared" si="1"/>
        <v>4.5</v>
      </c>
      <c r="BZ27">
        <f t="shared" si="2"/>
        <v>1.0165300454651272</v>
      </c>
      <c r="CA27">
        <v>0</v>
      </c>
    </row>
    <row r="28" spans="1:79" x14ac:dyDescent="0.35">
      <c r="A28" t="s">
        <v>346</v>
      </c>
      <c r="AN28">
        <v>5.5</v>
      </c>
      <c r="AO28">
        <v>5</v>
      </c>
      <c r="AQ28">
        <v>6</v>
      </c>
      <c r="AS28">
        <v>5</v>
      </c>
      <c r="AT28">
        <v>5</v>
      </c>
      <c r="AU28">
        <v>6</v>
      </c>
      <c r="AW28">
        <v>5</v>
      </c>
      <c r="AX28">
        <v>4.5</v>
      </c>
      <c r="AY28">
        <v>6</v>
      </c>
      <c r="AZ28">
        <v>5.5</v>
      </c>
      <c r="BA28">
        <v>5</v>
      </c>
      <c r="BC28">
        <v>4.5</v>
      </c>
      <c r="BE28">
        <v>4.5</v>
      </c>
      <c r="BF28">
        <v>5.5</v>
      </c>
      <c r="BG28">
        <v>5</v>
      </c>
      <c r="BV28">
        <v>5</v>
      </c>
      <c r="BX28">
        <f t="shared" si="0"/>
        <v>16</v>
      </c>
      <c r="BY28" s="18">
        <f t="shared" si="1"/>
        <v>5.1875</v>
      </c>
      <c r="BZ28">
        <f t="shared" si="2"/>
        <v>0.51234753829797997</v>
      </c>
      <c r="CA28">
        <v>0</v>
      </c>
    </row>
    <row r="29" spans="1:79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f t="shared" si="0"/>
        <v>15</v>
      </c>
      <c r="BY29" s="18">
        <f t="shared" si="1"/>
        <v>6.1333333333333337</v>
      </c>
      <c r="BZ29">
        <f t="shared" si="2"/>
        <v>0.8755950357709138</v>
      </c>
      <c r="CA29">
        <v>0</v>
      </c>
    </row>
    <row r="30" spans="1:79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BX30">
        <f t="shared" si="0"/>
        <v>13</v>
      </c>
      <c r="BY30" s="18">
        <f t="shared" si="1"/>
        <v>4.4615384615384617</v>
      </c>
      <c r="BZ30">
        <f t="shared" si="2"/>
        <v>1.875961292039569</v>
      </c>
      <c r="CA30">
        <v>0</v>
      </c>
    </row>
    <row r="31" spans="1:79" x14ac:dyDescent="0.35">
      <c r="A31" t="s">
        <v>12</v>
      </c>
      <c r="B31">
        <v>8.5</v>
      </c>
      <c r="C31" t="s">
        <v>26</v>
      </c>
      <c r="D31">
        <v>7.5</v>
      </c>
      <c r="E31">
        <v>7.5</v>
      </c>
      <c r="F31" t="s">
        <v>26</v>
      </c>
      <c r="G31" t="s">
        <v>26</v>
      </c>
      <c r="H31">
        <v>6</v>
      </c>
      <c r="I31">
        <v>7.5</v>
      </c>
      <c r="J31" t="s">
        <v>26</v>
      </c>
      <c r="K31">
        <v>6</v>
      </c>
      <c r="L31">
        <v>7.5</v>
      </c>
      <c r="M31">
        <v>7</v>
      </c>
      <c r="N31">
        <v>6</v>
      </c>
      <c r="O31" t="s">
        <v>26</v>
      </c>
      <c r="P31" t="s">
        <v>26</v>
      </c>
      <c r="Q31" t="s">
        <v>26</v>
      </c>
      <c r="R31">
        <v>9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G31">
        <v>6.5</v>
      </c>
      <c r="AN31">
        <v>6</v>
      </c>
      <c r="BB31">
        <v>5</v>
      </c>
      <c r="BX31">
        <f t="shared" si="0"/>
        <v>13</v>
      </c>
      <c r="BY31" s="18">
        <f t="shared" si="1"/>
        <v>6.9230769230769234</v>
      </c>
      <c r="BZ31">
        <f t="shared" si="2"/>
        <v>1.1336914969498575</v>
      </c>
      <c r="CA31">
        <v>0</v>
      </c>
    </row>
    <row r="32" spans="1:79" x14ac:dyDescent="0.35">
      <c r="A32" t="s">
        <v>17</v>
      </c>
      <c r="B32" t="s">
        <v>26</v>
      </c>
      <c r="C32">
        <v>5.5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>
        <v>4.5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>
        <v>5.5</v>
      </c>
      <c r="Z32">
        <v>5.5</v>
      </c>
      <c r="AA32" t="s">
        <v>26</v>
      </c>
      <c r="AB32">
        <v>5.5</v>
      </c>
      <c r="AC32">
        <v>5.5</v>
      </c>
      <c r="AD32">
        <v>4</v>
      </c>
      <c r="AH32">
        <v>4</v>
      </c>
      <c r="BE32">
        <v>5</v>
      </c>
      <c r="BF32">
        <v>4.5</v>
      </c>
      <c r="BT32">
        <v>5</v>
      </c>
      <c r="BX32">
        <f t="shared" si="0"/>
        <v>11</v>
      </c>
      <c r="BY32" s="18">
        <f t="shared" si="1"/>
        <v>4.9545454545454541</v>
      </c>
      <c r="BZ32">
        <f t="shared" si="2"/>
        <v>0.61051394146839499</v>
      </c>
      <c r="CA32">
        <v>0</v>
      </c>
    </row>
    <row r="33" spans="1:79" x14ac:dyDescent="0.35">
      <c r="A33" t="s">
        <v>63</v>
      </c>
      <c r="B33" t="s">
        <v>26</v>
      </c>
      <c r="C33" t="s">
        <v>26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>
        <v>4.5</v>
      </c>
      <c r="T33" t="s">
        <v>26</v>
      </c>
      <c r="U33">
        <v>4.5</v>
      </c>
      <c r="V33" t="s">
        <v>26</v>
      </c>
      <c r="W33">
        <v>5.5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K33">
        <v>3.5</v>
      </c>
      <c r="AY33">
        <v>4.5</v>
      </c>
      <c r="BI33">
        <v>4.5</v>
      </c>
      <c r="BJ33">
        <v>5.5</v>
      </c>
      <c r="BL33">
        <v>4.5</v>
      </c>
      <c r="BN33">
        <v>4.5</v>
      </c>
      <c r="BP33">
        <v>4.5</v>
      </c>
      <c r="BV33">
        <v>5</v>
      </c>
      <c r="BX33">
        <f t="shared" si="0"/>
        <v>11</v>
      </c>
      <c r="BY33" s="18">
        <f t="shared" si="1"/>
        <v>4.6363636363636367</v>
      </c>
      <c r="BZ33">
        <f t="shared" si="2"/>
        <v>0.55185637130095111</v>
      </c>
      <c r="CA33">
        <v>0</v>
      </c>
    </row>
    <row r="34" spans="1:79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BX34">
        <f t="shared" ref="BX34:BX65" si="3">COUNT(B34:BW34)</f>
        <v>9</v>
      </c>
      <c r="BY34" s="18">
        <f t="shared" ref="BY34:BY65" si="4">AVERAGE(B34:BW34)</f>
        <v>8</v>
      </c>
      <c r="BZ34">
        <f t="shared" ref="BZ34:BZ65" si="5">IF(BX34&gt;1,_xlfn.STDEV.S(B34:BW34),"")</f>
        <v>0.61237243569579447</v>
      </c>
      <c r="CA34">
        <v>0</v>
      </c>
    </row>
    <row r="35" spans="1:79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BX35">
        <f t="shared" si="3"/>
        <v>8</v>
      </c>
      <c r="BY35" s="18">
        <f t="shared" si="4"/>
        <v>4.1875</v>
      </c>
      <c r="BZ35">
        <f t="shared" si="5"/>
        <v>1.0669549461635468</v>
      </c>
      <c r="CA35">
        <v>0</v>
      </c>
    </row>
    <row r="36" spans="1:79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BX36">
        <f t="shared" si="3"/>
        <v>7</v>
      </c>
      <c r="BY36" s="18">
        <f t="shared" si="4"/>
        <v>5.0714285714285712</v>
      </c>
      <c r="BZ36">
        <f t="shared" si="5"/>
        <v>0.34503277967117707</v>
      </c>
      <c r="CA36">
        <v>0</v>
      </c>
    </row>
    <row r="37" spans="1:79" x14ac:dyDescent="0.35">
      <c r="A37" t="s">
        <v>24</v>
      </c>
      <c r="B37" t="s">
        <v>26</v>
      </c>
      <c r="C37" t="s">
        <v>26</v>
      </c>
      <c r="D37" t="s">
        <v>26</v>
      </c>
      <c r="E37">
        <v>7.5</v>
      </c>
      <c r="F37" t="s">
        <v>26</v>
      </c>
      <c r="G37" t="s">
        <v>26</v>
      </c>
      <c r="H37" t="s">
        <v>26</v>
      </c>
      <c r="I37" t="s">
        <v>26</v>
      </c>
      <c r="J37">
        <v>8.5</v>
      </c>
      <c r="K37" t="s">
        <v>26</v>
      </c>
      <c r="L37">
        <v>7.5</v>
      </c>
      <c r="M37" t="s">
        <v>26</v>
      </c>
      <c r="N37">
        <v>7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BX37">
        <f t="shared" si="3"/>
        <v>4</v>
      </c>
      <c r="BY37" s="18">
        <f t="shared" si="4"/>
        <v>7.625</v>
      </c>
      <c r="BZ37">
        <f t="shared" si="5"/>
        <v>0.62915286960589578</v>
      </c>
      <c r="CA37">
        <v>0</v>
      </c>
    </row>
    <row r="38" spans="1:79" x14ac:dyDescent="0.35">
      <c r="A38" t="s">
        <v>61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>
        <v>7</v>
      </c>
      <c r="S38">
        <v>5.5</v>
      </c>
      <c r="T38">
        <v>5.5</v>
      </c>
      <c r="U38" t="s">
        <v>26</v>
      </c>
      <c r="V38" t="s">
        <v>26</v>
      </c>
      <c r="W38">
        <v>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BX38">
        <f t="shared" si="3"/>
        <v>4</v>
      </c>
      <c r="BY38" s="18">
        <f t="shared" si="4"/>
        <v>6</v>
      </c>
      <c r="BZ38">
        <f t="shared" si="5"/>
        <v>0.70710678118654757</v>
      </c>
      <c r="CA38">
        <v>0</v>
      </c>
    </row>
    <row r="39" spans="1:79" x14ac:dyDescent="0.35">
      <c r="A39" t="s">
        <v>54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>
        <v>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>
        <v>7</v>
      </c>
      <c r="W39">
        <v>7.5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O39">
        <v>5.5</v>
      </c>
      <c r="BX39">
        <f t="shared" si="3"/>
        <v>4</v>
      </c>
      <c r="BY39" s="18">
        <f t="shared" si="4"/>
        <v>6.5</v>
      </c>
      <c r="BZ39">
        <f t="shared" si="5"/>
        <v>0.9128709291752769</v>
      </c>
      <c r="CA39">
        <v>0</v>
      </c>
    </row>
    <row r="40" spans="1:79" x14ac:dyDescent="0.35">
      <c r="A40" t="s">
        <v>21</v>
      </c>
      <c r="B40" t="s">
        <v>26</v>
      </c>
      <c r="C40" t="s">
        <v>26</v>
      </c>
      <c r="D40">
        <v>3</v>
      </c>
      <c r="E40" t="s">
        <v>26</v>
      </c>
      <c r="F40" t="s">
        <v>26</v>
      </c>
      <c r="G40">
        <v>1</v>
      </c>
      <c r="H40" t="s">
        <v>26</v>
      </c>
      <c r="I40" t="s">
        <v>26</v>
      </c>
      <c r="J40" t="s">
        <v>26</v>
      </c>
      <c r="K40" t="s">
        <v>26</v>
      </c>
      <c r="L40" t="s">
        <v>26</v>
      </c>
      <c r="M40" t="s">
        <v>26</v>
      </c>
      <c r="N40" t="s">
        <v>26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>
        <v>1.5</v>
      </c>
      <c r="AU40">
        <v>4</v>
      </c>
      <c r="BX40">
        <f t="shared" si="3"/>
        <v>4</v>
      </c>
      <c r="BY40" s="18">
        <f t="shared" si="4"/>
        <v>2.375</v>
      </c>
      <c r="BZ40">
        <f t="shared" si="5"/>
        <v>1.3768926368215255</v>
      </c>
      <c r="CA40">
        <v>0</v>
      </c>
    </row>
    <row r="41" spans="1:79" x14ac:dyDescent="0.35">
      <c r="A41" t="s">
        <v>344</v>
      </c>
      <c r="AJ41">
        <v>4.5</v>
      </c>
      <c r="AQ41">
        <v>3.5</v>
      </c>
      <c r="AR41">
        <v>3.5</v>
      </c>
      <c r="AY41">
        <v>5.5</v>
      </c>
      <c r="BX41">
        <f t="shared" si="3"/>
        <v>4</v>
      </c>
      <c r="BY41" s="18">
        <f t="shared" si="4"/>
        <v>4.25</v>
      </c>
      <c r="BZ41">
        <f t="shared" si="5"/>
        <v>0.9574271077563381</v>
      </c>
      <c r="CA41">
        <v>0</v>
      </c>
    </row>
    <row r="42" spans="1:79" x14ac:dyDescent="0.35">
      <c r="A42" t="s">
        <v>361</v>
      </c>
      <c r="AW42">
        <v>5</v>
      </c>
      <c r="BF42">
        <v>5</v>
      </c>
      <c r="BN42">
        <v>6</v>
      </c>
      <c r="BX42">
        <f t="shared" si="3"/>
        <v>3</v>
      </c>
      <c r="BY42" s="18">
        <f t="shared" si="4"/>
        <v>5.333333333333333</v>
      </c>
      <c r="BZ42">
        <f t="shared" si="5"/>
        <v>0.57735026918962584</v>
      </c>
      <c r="CA42">
        <v>0</v>
      </c>
    </row>
    <row r="43" spans="1:79" x14ac:dyDescent="0.35">
      <c r="A43" t="s">
        <v>43</v>
      </c>
      <c r="B43" t="s">
        <v>26</v>
      </c>
      <c r="C43">
        <v>1.5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>
        <v>2.5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BJ43">
        <v>5</v>
      </c>
      <c r="BT43">
        <v>4.5</v>
      </c>
      <c r="BX43">
        <f t="shared" si="3"/>
        <v>4</v>
      </c>
      <c r="BY43" s="18">
        <f t="shared" si="4"/>
        <v>3.375</v>
      </c>
      <c r="BZ43">
        <f t="shared" si="5"/>
        <v>1.6520189667999174</v>
      </c>
      <c r="CA43">
        <v>0</v>
      </c>
    </row>
    <row r="44" spans="1:79" x14ac:dyDescent="0.35">
      <c r="A44" t="s">
        <v>18</v>
      </c>
      <c r="B44" t="s">
        <v>26</v>
      </c>
      <c r="C44">
        <v>4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>
        <v>6</v>
      </c>
      <c r="R44">
        <v>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BX44">
        <f t="shared" si="3"/>
        <v>3</v>
      </c>
      <c r="BY44" s="18">
        <f t="shared" si="4"/>
        <v>5.333333333333333</v>
      </c>
      <c r="BZ44">
        <f t="shared" si="5"/>
        <v>1.1547005383792526</v>
      </c>
      <c r="CA44">
        <v>0</v>
      </c>
    </row>
    <row r="45" spans="1:79" x14ac:dyDescent="0.35">
      <c r="A45" t="s">
        <v>60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>
        <v>4.5</v>
      </c>
      <c r="S45" t="s">
        <v>26</v>
      </c>
      <c r="T45">
        <v>4</v>
      </c>
      <c r="U45">
        <v>4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BX45">
        <f t="shared" si="3"/>
        <v>3</v>
      </c>
      <c r="BY45" s="18">
        <f t="shared" si="4"/>
        <v>4.166666666666667</v>
      </c>
      <c r="BZ45">
        <f t="shared" si="5"/>
        <v>0.28867513459481287</v>
      </c>
      <c r="CA45">
        <v>0</v>
      </c>
    </row>
    <row r="46" spans="1:79" x14ac:dyDescent="0.35">
      <c r="A46" t="s">
        <v>85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>
        <v>7</v>
      </c>
      <c r="AE46">
        <v>7</v>
      </c>
      <c r="AF46">
        <v>9</v>
      </c>
      <c r="BX46">
        <f t="shared" si="3"/>
        <v>3</v>
      </c>
      <c r="BY46" s="18">
        <f t="shared" si="4"/>
        <v>7.666666666666667</v>
      </c>
      <c r="BZ46">
        <f t="shared" si="5"/>
        <v>1.1547005383792495</v>
      </c>
      <c r="CA46">
        <v>0</v>
      </c>
    </row>
    <row r="47" spans="1:79" x14ac:dyDescent="0.35">
      <c r="A47" t="s">
        <v>49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>
        <v>5.5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 t="s">
        <v>26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>
        <v>5.5</v>
      </c>
      <c r="AA47" t="s">
        <v>26</v>
      </c>
      <c r="AB47" t="s">
        <v>26</v>
      </c>
      <c r="AC47" t="s">
        <v>26</v>
      </c>
      <c r="AD47" t="s">
        <v>26</v>
      </c>
      <c r="AG47">
        <v>2.5</v>
      </c>
      <c r="BX47">
        <f t="shared" si="3"/>
        <v>3</v>
      </c>
      <c r="BY47" s="18">
        <f t="shared" si="4"/>
        <v>4.5</v>
      </c>
      <c r="BZ47">
        <f t="shared" si="5"/>
        <v>1.7320508075688772</v>
      </c>
      <c r="CA47">
        <v>0</v>
      </c>
    </row>
    <row r="48" spans="1:79" x14ac:dyDescent="0.35">
      <c r="A48" t="s">
        <v>81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>
        <v>7</v>
      </c>
      <c r="AA48" t="s">
        <v>26</v>
      </c>
      <c r="AB48" t="s">
        <v>26</v>
      </c>
      <c r="AC48" t="s">
        <v>26</v>
      </c>
      <c r="AD48">
        <v>7.5</v>
      </c>
      <c r="AS48">
        <v>5</v>
      </c>
      <c r="BX48">
        <f t="shared" si="3"/>
        <v>3</v>
      </c>
      <c r="BY48" s="18">
        <f t="shared" si="4"/>
        <v>6.5</v>
      </c>
      <c r="BZ48">
        <f t="shared" si="5"/>
        <v>1.3228756555322954</v>
      </c>
      <c r="CA48">
        <v>0</v>
      </c>
    </row>
    <row r="49" spans="1:79" x14ac:dyDescent="0.35">
      <c r="A49" t="s">
        <v>376</v>
      </c>
      <c r="BN49">
        <v>5.5</v>
      </c>
      <c r="BO49">
        <v>5</v>
      </c>
      <c r="BP49">
        <v>5</v>
      </c>
      <c r="BQ49">
        <v>5</v>
      </c>
      <c r="BS49">
        <v>5</v>
      </c>
      <c r="BV49">
        <v>5.5</v>
      </c>
      <c r="BX49">
        <f t="shared" si="3"/>
        <v>6</v>
      </c>
      <c r="BY49" s="18">
        <f t="shared" si="4"/>
        <v>5.166666666666667</v>
      </c>
      <c r="BZ49">
        <f t="shared" si="5"/>
        <v>0.2581988897471611</v>
      </c>
      <c r="CA49">
        <v>0</v>
      </c>
    </row>
    <row r="50" spans="1:79" x14ac:dyDescent="0.35">
      <c r="A50" t="s">
        <v>364</v>
      </c>
      <c r="BA50">
        <v>5.5</v>
      </c>
      <c r="BJ50">
        <v>5.5</v>
      </c>
      <c r="BX50">
        <f t="shared" si="3"/>
        <v>2</v>
      </c>
      <c r="BY50" s="18">
        <f t="shared" si="4"/>
        <v>5.5</v>
      </c>
      <c r="BZ50">
        <f t="shared" si="5"/>
        <v>0</v>
      </c>
      <c r="CA50">
        <v>0</v>
      </c>
    </row>
    <row r="51" spans="1:79" x14ac:dyDescent="0.35">
      <c r="A51" t="s">
        <v>53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>
        <v>5.5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G51">
        <v>5</v>
      </c>
      <c r="BX51">
        <f t="shared" si="3"/>
        <v>2</v>
      </c>
      <c r="BY51" s="18">
        <f t="shared" si="4"/>
        <v>5.25</v>
      </c>
      <c r="BZ51">
        <f t="shared" si="5"/>
        <v>0.35355339059327379</v>
      </c>
      <c r="CA51">
        <v>0</v>
      </c>
    </row>
    <row r="52" spans="1:79" x14ac:dyDescent="0.35">
      <c r="A52" t="s">
        <v>339</v>
      </c>
      <c r="AJ52">
        <v>7</v>
      </c>
      <c r="AW52">
        <v>4.5</v>
      </c>
      <c r="BX52">
        <f t="shared" si="3"/>
        <v>2</v>
      </c>
      <c r="BY52" s="18">
        <f t="shared" si="4"/>
        <v>5.75</v>
      </c>
      <c r="BZ52">
        <f t="shared" si="5"/>
        <v>1.7677669529663689</v>
      </c>
      <c r="CA52">
        <v>0</v>
      </c>
    </row>
    <row r="53" spans="1:79" x14ac:dyDescent="0.35">
      <c r="A53" t="s">
        <v>342</v>
      </c>
      <c r="AM53">
        <v>6</v>
      </c>
      <c r="BA53">
        <v>4</v>
      </c>
      <c r="BX53">
        <f t="shared" si="3"/>
        <v>2</v>
      </c>
      <c r="BY53" s="18">
        <f t="shared" si="4"/>
        <v>5</v>
      </c>
      <c r="BZ53">
        <f t="shared" si="5"/>
        <v>1.4142135623730951</v>
      </c>
      <c r="CA53">
        <v>0</v>
      </c>
    </row>
    <row r="54" spans="1:79" x14ac:dyDescent="0.35">
      <c r="A54" t="s">
        <v>369</v>
      </c>
      <c r="BG54">
        <v>5.5</v>
      </c>
      <c r="BH54">
        <v>4.5</v>
      </c>
      <c r="BX54">
        <f t="shared" si="3"/>
        <v>2</v>
      </c>
      <c r="BY54" s="18">
        <f t="shared" si="4"/>
        <v>5</v>
      </c>
      <c r="BZ54">
        <f t="shared" si="5"/>
        <v>0.70710678118654757</v>
      </c>
      <c r="CA54">
        <v>0</v>
      </c>
    </row>
    <row r="55" spans="1:79" x14ac:dyDescent="0.35">
      <c r="A55" t="s">
        <v>86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>
        <v>9</v>
      </c>
      <c r="BX55">
        <f t="shared" si="3"/>
        <v>1</v>
      </c>
      <c r="BY55" s="18">
        <f t="shared" si="4"/>
        <v>9</v>
      </c>
      <c r="BZ55" t="str">
        <f t="shared" si="5"/>
        <v/>
      </c>
      <c r="CA55">
        <v>0</v>
      </c>
    </row>
    <row r="56" spans="1:79" x14ac:dyDescent="0.35">
      <c r="A56" t="s">
        <v>77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>
        <v>7</v>
      </c>
      <c r="AA56" t="s">
        <v>26</v>
      </c>
      <c r="AB56" t="s">
        <v>26</v>
      </c>
      <c r="AC56" t="s">
        <v>26</v>
      </c>
      <c r="AD56" t="s">
        <v>26</v>
      </c>
      <c r="BX56">
        <f t="shared" si="3"/>
        <v>1</v>
      </c>
      <c r="BY56" s="18">
        <f t="shared" si="4"/>
        <v>7</v>
      </c>
      <c r="BZ56" t="str">
        <f t="shared" si="5"/>
        <v/>
      </c>
      <c r="CA56">
        <v>0</v>
      </c>
    </row>
    <row r="57" spans="1:79" x14ac:dyDescent="0.35">
      <c r="A57" t="s">
        <v>353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>
        <v>7</v>
      </c>
      <c r="AA57" t="s">
        <v>26</v>
      </c>
      <c r="AB57" t="s">
        <v>26</v>
      </c>
      <c r="AC57" t="s">
        <v>26</v>
      </c>
      <c r="AD57" t="s">
        <v>26</v>
      </c>
      <c r="BX57">
        <f t="shared" si="3"/>
        <v>1</v>
      </c>
      <c r="BY57" s="18">
        <f t="shared" si="4"/>
        <v>7</v>
      </c>
      <c r="BZ57" t="str">
        <f t="shared" si="5"/>
        <v/>
      </c>
      <c r="CA57">
        <v>0</v>
      </c>
    </row>
    <row r="58" spans="1:79" x14ac:dyDescent="0.35">
      <c r="A58" t="s">
        <v>80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>
        <v>7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BX58">
        <f t="shared" si="3"/>
        <v>1</v>
      </c>
      <c r="BY58" s="18">
        <f t="shared" si="4"/>
        <v>7</v>
      </c>
      <c r="BZ58" t="str">
        <f t="shared" si="5"/>
        <v/>
      </c>
      <c r="CA58">
        <v>0</v>
      </c>
    </row>
    <row r="59" spans="1:79" x14ac:dyDescent="0.35">
      <c r="A59" t="s">
        <v>52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>
        <v>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BU59">
        <v>5</v>
      </c>
      <c r="BX59">
        <f t="shared" si="3"/>
        <v>2</v>
      </c>
      <c r="BY59" s="18">
        <f t="shared" si="4"/>
        <v>5.5</v>
      </c>
      <c r="BZ59">
        <f t="shared" si="5"/>
        <v>0.70710678118654757</v>
      </c>
      <c r="CA59">
        <v>0</v>
      </c>
    </row>
    <row r="60" spans="1:79" x14ac:dyDescent="0.35">
      <c r="A60" t="s">
        <v>47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>
        <v>4.5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BX60">
        <f t="shared" si="3"/>
        <v>1</v>
      </c>
      <c r="BY60" s="18">
        <f t="shared" si="4"/>
        <v>4.5</v>
      </c>
      <c r="BZ60" t="str">
        <f t="shared" si="5"/>
        <v/>
      </c>
      <c r="CA60">
        <v>0</v>
      </c>
    </row>
    <row r="61" spans="1:79" x14ac:dyDescent="0.35">
      <c r="A61" t="s">
        <v>78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4.5</v>
      </c>
      <c r="AA61" t="s">
        <v>26</v>
      </c>
      <c r="AB61" t="s">
        <v>26</v>
      </c>
      <c r="AC61" t="s">
        <v>26</v>
      </c>
      <c r="AD61" t="s">
        <v>26</v>
      </c>
      <c r="BX61">
        <f t="shared" si="3"/>
        <v>1</v>
      </c>
      <c r="BY61" s="18">
        <f t="shared" si="4"/>
        <v>4.5</v>
      </c>
      <c r="BZ61" t="str">
        <f t="shared" si="5"/>
        <v/>
      </c>
      <c r="CA61">
        <v>0</v>
      </c>
    </row>
    <row r="62" spans="1:79" x14ac:dyDescent="0.35">
      <c r="A62" t="s">
        <v>83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>
        <v>4</v>
      </c>
      <c r="AC62" t="s">
        <v>26</v>
      </c>
      <c r="AD62" t="s">
        <v>26</v>
      </c>
      <c r="BX62">
        <f t="shared" si="3"/>
        <v>1</v>
      </c>
      <c r="BY62" s="18">
        <f t="shared" si="4"/>
        <v>4</v>
      </c>
      <c r="BZ62" t="str">
        <f t="shared" si="5"/>
        <v/>
      </c>
      <c r="CA62">
        <v>0</v>
      </c>
    </row>
    <row r="63" spans="1:79" x14ac:dyDescent="0.35">
      <c r="A63" t="s">
        <v>345</v>
      </c>
      <c r="AN63">
        <v>3</v>
      </c>
      <c r="BX63">
        <f t="shared" si="3"/>
        <v>1</v>
      </c>
      <c r="BY63" s="18">
        <f t="shared" si="4"/>
        <v>3</v>
      </c>
      <c r="BZ63" t="str">
        <f t="shared" si="5"/>
        <v/>
      </c>
      <c r="CA63">
        <v>0</v>
      </c>
    </row>
    <row r="64" spans="1:79" x14ac:dyDescent="0.35">
      <c r="A64" t="s">
        <v>347</v>
      </c>
      <c r="AP64">
        <v>5.5</v>
      </c>
      <c r="BX64">
        <f t="shared" si="3"/>
        <v>1</v>
      </c>
      <c r="BY64" s="18">
        <f t="shared" si="4"/>
        <v>5.5</v>
      </c>
      <c r="BZ64" t="str">
        <f t="shared" si="5"/>
        <v/>
      </c>
      <c r="CA64">
        <v>0</v>
      </c>
    </row>
    <row r="65" spans="1:79" x14ac:dyDescent="0.35">
      <c r="A65" t="s">
        <v>350</v>
      </c>
      <c r="AR65">
        <v>4</v>
      </c>
      <c r="BX65">
        <f t="shared" si="3"/>
        <v>1</v>
      </c>
      <c r="BY65" s="18">
        <f t="shared" si="4"/>
        <v>4</v>
      </c>
      <c r="BZ65" t="str">
        <f t="shared" si="5"/>
        <v/>
      </c>
      <c r="CA65">
        <v>0</v>
      </c>
    </row>
    <row r="66" spans="1:79" x14ac:dyDescent="0.35">
      <c r="A66" t="s">
        <v>351</v>
      </c>
      <c r="AS66">
        <v>5.5</v>
      </c>
      <c r="BX66">
        <f t="shared" ref="BX66:BX75" si="6">COUNT(B66:BW66)</f>
        <v>1</v>
      </c>
      <c r="BY66" s="18">
        <f t="shared" ref="BY66:BY75" si="7">AVERAGE(B66:BW66)</f>
        <v>5.5</v>
      </c>
      <c r="BZ66" t="str">
        <f t="shared" ref="BZ66:BZ75" si="8">IF(BX66&gt;1,_xlfn.STDEV.S(B66:BW66),"")</f>
        <v/>
      </c>
      <c r="CA66">
        <v>0</v>
      </c>
    </row>
    <row r="67" spans="1:79" x14ac:dyDescent="0.35">
      <c r="A67" t="s">
        <v>352</v>
      </c>
      <c r="AS67">
        <v>4.5</v>
      </c>
      <c r="BX67">
        <f t="shared" si="6"/>
        <v>1</v>
      </c>
      <c r="BY67" s="18">
        <f t="shared" si="7"/>
        <v>4.5</v>
      </c>
      <c r="BZ67" t="str">
        <f t="shared" si="8"/>
        <v/>
      </c>
      <c r="CA67">
        <v>0</v>
      </c>
    </row>
    <row r="68" spans="1:79" x14ac:dyDescent="0.35">
      <c r="A68" t="s">
        <v>354</v>
      </c>
      <c r="AU68">
        <v>5</v>
      </c>
      <c r="BX68">
        <f t="shared" si="6"/>
        <v>1</v>
      </c>
      <c r="BY68" s="18">
        <f t="shared" si="7"/>
        <v>5</v>
      </c>
      <c r="BZ68" t="str">
        <f t="shared" si="8"/>
        <v/>
      </c>
      <c r="CA68">
        <v>0</v>
      </c>
    </row>
    <row r="69" spans="1:79" x14ac:dyDescent="0.35">
      <c r="A69" t="s">
        <v>362</v>
      </c>
      <c r="AW69">
        <v>4.5</v>
      </c>
      <c r="BX69">
        <f t="shared" si="6"/>
        <v>1</v>
      </c>
      <c r="BY69" s="18">
        <f t="shared" si="7"/>
        <v>4.5</v>
      </c>
      <c r="BZ69" t="str">
        <f t="shared" si="8"/>
        <v/>
      </c>
      <c r="CA69">
        <v>0</v>
      </c>
    </row>
    <row r="70" spans="1:79" x14ac:dyDescent="0.35">
      <c r="A70" t="s">
        <v>365</v>
      </c>
      <c r="AZ70">
        <v>2.5</v>
      </c>
      <c r="BX70">
        <f t="shared" si="6"/>
        <v>1</v>
      </c>
      <c r="BY70" s="18">
        <f t="shared" si="7"/>
        <v>2.5</v>
      </c>
      <c r="BZ70" t="str">
        <f t="shared" si="8"/>
        <v/>
      </c>
      <c r="CA70">
        <v>0</v>
      </c>
    </row>
    <row r="71" spans="1:79" x14ac:dyDescent="0.35">
      <c r="A71" t="s">
        <v>366</v>
      </c>
      <c r="BB71">
        <v>3</v>
      </c>
      <c r="BX71">
        <f t="shared" si="6"/>
        <v>1</v>
      </c>
      <c r="BY71" s="18">
        <f t="shared" si="7"/>
        <v>3</v>
      </c>
      <c r="BZ71" t="str">
        <f t="shared" si="8"/>
        <v/>
      </c>
      <c r="CA71">
        <v>0</v>
      </c>
    </row>
    <row r="72" spans="1:79" x14ac:dyDescent="0.35">
      <c r="A72" t="s">
        <v>368</v>
      </c>
      <c r="BF72">
        <v>7.5</v>
      </c>
      <c r="BU72">
        <v>9.5</v>
      </c>
      <c r="BX72">
        <f t="shared" si="6"/>
        <v>2</v>
      </c>
      <c r="BY72" s="18">
        <f t="shared" si="7"/>
        <v>8.5</v>
      </c>
      <c r="BZ72">
        <f t="shared" si="8"/>
        <v>1.4142135623730951</v>
      </c>
      <c r="CA72">
        <v>0</v>
      </c>
    </row>
    <row r="73" spans="1:79" x14ac:dyDescent="0.35">
      <c r="A73" t="s">
        <v>374</v>
      </c>
      <c r="BP73">
        <v>6</v>
      </c>
      <c r="BX73">
        <f t="shared" si="6"/>
        <v>1</v>
      </c>
      <c r="BY73" s="18">
        <f t="shared" si="7"/>
        <v>6</v>
      </c>
      <c r="BZ73" t="str">
        <f t="shared" si="8"/>
        <v/>
      </c>
      <c r="CA73">
        <v>0</v>
      </c>
    </row>
    <row r="74" spans="1:79" x14ac:dyDescent="0.35">
      <c r="A74" t="s">
        <v>375</v>
      </c>
      <c r="BP74">
        <v>5</v>
      </c>
      <c r="BX74">
        <f t="shared" si="6"/>
        <v>1</v>
      </c>
      <c r="BY74" s="18">
        <f t="shared" si="7"/>
        <v>5</v>
      </c>
      <c r="BZ74" t="str">
        <f t="shared" si="8"/>
        <v/>
      </c>
      <c r="CA74">
        <v>0</v>
      </c>
    </row>
    <row r="75" spans="1:79" x14ac:dyDescent="0.35">
      <c r="A75" t="s">
        <v>377</v>
      </c>
      <c r="BS75">
        <v>4.5</v>
      </c>
      <c r="BX75">
        <f t="shared" si="6"/>
        <v>1</v>
      </c>
      <c r="BY75" s="18">
        <f t="shared" si="7"/>
        <v>4.5</v>
      </c>
      <c r="BZ75" t="str">
        <f t="shared" si="8"/>
        <v/>
      </c>
      <c r="CA75">
        <v>0</v>
      </c>
    </row>
  </sheetData>
  <autoFilter ref="A1:CA74" xr:uid="{7217F6E2-94B9-43BA-8347-6F8651201F03}">
    <sortState ref="A2:CA75">
      <sortCondition descending="1" ref="CA1:CA74"/>
    </sortState>
  </autoFilter>
  <conditionalFormatting sqref="BX2:BX75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75"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X2:BX7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75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7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7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7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BW67 AA2:BW38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BW67 AA2:BW47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BW67 AA2:BW42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J39"/>
  <sheetViews>
    <sheetView workbookViewId="0">
      <selection activeCell="F31" sqref="F31"/>
    </sheetView>
  </sheetViews>
  <sheetFormatPr defaultRowHeight="14.5" x14ac:dyDescent="0.35"/>
  <cols>
    <col min="5" max="5" width="0" hidden="1" customWidth="1"/>
    <col min="9" max="9" width="8.90625" hidden="1" customWidth="1"/>
  </cols>
  <sheetData>
    <row r="1" spans="1:10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</row>
    <row r="2" spans="1:10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</row>
    <row r="3" spans="1:10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</row>
    <row r="4" spans="1:10" x14ac:dyDescent="0.35">
      <c r="D4">
        <f t="shared" ref="D4:D39" si="3">D3+0.1</f>
        <v>2.7</v>
      </c>
      <c r="E4">
        <f t="shared" si="0"/>
        <v>1.0503333333333331</v>
      </c>
      <c r="F4">
        <f t="shared" si="1"/>
        <v>1</v>
      </c>
      <c r="H4">
        <f t="shared" ref="H4:H39" si="4">H3+0.1</f>
        <v>6.499999999999992</v>
      </c>
      <c r="I4">
        <f t="shared" ref="I4:I39" si="5">$B$5*H4+$B$6</f>
        <v>6.7566666666666553</v>
      </c>
      <c r="J4">
        <f t="shared" si="2"/>
        <v>7</v>
      </c>
    </row>
    <row r="5" spans="1:10" x14ac:dyDescent="0.35">
      <c r="A5" t="s">
        <v>332</v>
      </c>
      <c r="B5">
        <f>(B2-B3)/(A2-A3)</f>
        <v>1.5016666666666667</v>
      </c>
      <c r="D5">
        <f t="shared" si="3"/>
        <v>2.8000000000000003</v>
      </c>
      <c r="E5">
        <f t="shared" si="0"/>
        <v>1.2005000000000003</v>
      </c>
      <c r="F5">
        <f t="shared" si="1"/>
        <v>1</v>
      </c>
      <c r="H5">
        <f t="shared" si="4"/>
        <v>6.5999999999999917</v>
      </c>
      <c r="I5">
        <f t="shared" si="5"/>
        <v>6.9068333333333207</v>
      </c>
      <c r="J5">
        <f t="shared" si="2"/>
        <v>7</v>
      </c>
    </row>
    <row r="6" spans="1:10" x14ac:dyDescent="0.35">
      <c r="A6" t="s">
        <v>333</v>
      </c>
      <c r="B6">
        <f>B3-A3*B5</f>
        <v>-3.0041666666666669</v>
      </c>
      <c r="D6">
        <f t="shared" si="3"/>
        <v>2.9000000000000004</v>
      </c>
      <c r="E6">
        <f t="shared" si="0"/>
        <v>1.3506666666666667</v>
      </c>
      <c r="F6">
        <f t="shared" si="1"/>
        <v>1.5</v>
      </c>
      <c r="H6">
        <f t="shared" si="4"/>
        <v>6.6999999999999913</v>
      </c>
      <c r="I6">
        <f t="shared" si="5"/>
        <v>7.0569999999999879</v>
      </c>
      <c r="J6">
        <f t="shared" si="2"/>
        <v>7</v>
      </c>
    </row>
    <row r="7" spans="1:10" x14ac:dyDescent="0.35">
      <c r="D7">
        <f t="shared" si="3"/>
        <v>3.0000000000000004</v>
      </c>
      <c r="E7">
        <f t="shared" si="0"/>
        <v>1.5008333333333339</v>
      </c>
      <c r="F7">
        <f t="shared" si="1"/>
        <v>1.5</v>
      </c>
      <c r="H7">
        <f t="shared" si="4"/>
        <v>6.7999999999999909</v>
      </c>
      <c r="I7">
        <f t="shared" si="5"/>
        <v>7.2071666666666534</v>
      </c>
      <c r="J7">
        <f t="shared" si="2"/>
        <v>7</v>
      </c>
    </row>
    <row r="8" spans="1:10" x14ac:dyDescent="0.35">
      <c r="D8">
        <f t="shared" si="3"/>
        <v>3.1000000000000005</v>
      </c>
      <c r="E8">
        <f t="shared" si="0"/>
        <v>1.6510000000000011</v>
      </c>
      <c r="F8">
        <f t="shared" si="1"/>
        <v>1.5</v>
      </c>
      <c r="H8">
        <f t="shared" si="4"/>
        <v>6.8999999999999906</v>
      </c>
      <c r="I8">
        <f t="shared" si="5"/>
        <v>7.3573333333333188</v>
      </c>
      <c r="J8">
        <f t="shared" si="2"/>
        <v>7.5</v>
      </c>
    </row>
    <row r="9" spans="1:10" x14ac:dyDescent="0.35">
      <c r="D9">
        <f t="shared" si="3"/>
        <v>3.2000000000000006</v>
      </c>
      <c r="E9">
        <f t="shared" si="0"/>
        <v>1.8011666666666675</v>
      </c>
      <c r="F9">
        <f t="shared" si="1"/>
        <v>2</v>
      </c>
      <c r="H9">
        <f t="shared" si="4"/>
        <v>6.9999999999999902</v>
      </c>
      <c r="I9">
        <f t="shared" si="5"/>
        <v>7.5074999999999861</v>
      </c>
      <c r="J9">
        <f t="shared" si="2"/>
        <v>7.5</v>
      </c>
    </row>
    <row r="10" spans="1:10" x14ac:dyDescent="0.35">
      <c r="B10">
        <f>6.5*B5+B6</f>
        <v>6.7566666666666677</v>
      </c>
      <c r="D10">
        <f t="shared" si="3"/>
        <v>3.3000000000000007</v>
      </c>
      <c r="E10">
        <f t="shared" si="0"/>
        <v>1.9513333333333347</v>
      </c>
      <c r="F10">
        <f t="shared" si="1"/>
        <v>2</v>
      </c>
      <c r="H10">
        <f t="shared" si="4"/>
        <v>7.0999999999999899</v>
      </c>
      <c r="I10">
        <f t="shared" si="5"/>
        <v>7.6576666666666515</v>
      </c>
      <c r="J10">
        <f t="shared" si="2"/>
        <v>7.5</v>
      </c>
    </row>
    <row r="11" spans="1:10" x14ac:dyDescent="0.35">
      <c r="D11">
        <f t="shared" si="3"/>
        <v>3.4000000000000008</v>
      </c>
      <c r="E11">
        <f t="shared" si="0"/>
        <v>2.101500000000001</v>
      </c>
      <c r="F11">
        <f t="shared" si="1"/>
        <v>2</v>
      </c>
      <c r="H11">
        <f t="shared" si="4"/>
        <v>7.1999999999999895</v>
      </c>
      <c r="I11">
        <f t="shared" si="5"/>
        <v>7.8078333333333187</v>
      </c>
      <c r="J11">
        <f t="shared" si="2"/>
        <v>8</v>
      </c>
    </row>
    <row r="12" spans="1:10" x14ac:dyDescent="0.35">
      <c r="D12">
        <f t="shared" si="3"/>
        <v>3.5000000000000009</v>
      </c>
      <c r="E12">
        <f t="shared" si="0"/>
        <v>2.2516666666666683</v>
      </c>
      <c r="F12">
        <f t="shared" si="1"/>
        <v>2.5</v>
      </c>
      <c r="H12">
        <f t="shared" si="4"/>
        <v>7.2999999999999892</v>
      </c>
      <c r="I12">
        <f t="shared" si="5"/>
        <v>7.9579999999999842</v>
      </c>
      <c r="J12">
        <f t="shared" si="2"/>
        <v>8</v>
      </c>
    </row>
    <row r="13" spans="1:10" x14ac:dyDescent="0.35">
      <c r="D13">
        <f t="shared" si="3"/>
        <v>3.600000000000001</v>
      </c>
      <c r="E13">
        <f t="shared" si="0"/>
        <v>2.4018333333333346</v>
      </c>
      <c r="F13">
        <f t="shared" si="1"/>
        <v>2.5</v>
      </c>
      <c r="H13">
        <f t="shared" si="4"/>
        <v>7.3999999999999888</v>
      </c>
      <c r="I13">
        <f t="shared" si="5"/>
        <v>8.1081666666666496</v>
      </c>
      <c r="J13">
        <f t="shared" si="2"/>
        <v>8</v>
      </c>
    </row>
    <row r="14" spans="1:10" x14ac:dyDescent="0.35">
      <c r="D14">
        <f t="shared" si="3"/>
        <v>3.7000000000000011</v>
      </c>
      <c r="E14">
        <f t="shared" si="0"/>
        <v>2.5520000000000018</v>
      </c>
      <c r="F14">
        <f t="shared" si="1"/>
        <v>2.5</v>
      </c>
      <c r="H14">
        <f t="shared" si="4"/>
        <v>7.4999999999999885</v>
      </c>
      <c r="I14">
        <f t="shared" si="5"/>
        <v>8.2583333333333169</v>
      </c>
      <c r="J14">
        <f t="shared" si="2"/>
        <v>8.5</v>
      </c>
    </row>
    <row r="15" spans="1:10" x14ac:dyDescent="0.35">
      <c r="D15">
        <f t="shared" si="3"/>
        <v>3.8000000000000012</v>
      </c>
      <c r="E15">
        <f t="shared" si="0"/>
        <v>2.7021666666666682</v>
      </c>
      <c r="F15">
        <f t="shared" si="1"/>
        <v>2.5</v>
      </c>
      <c r="H15">
        <f t="shared" si="4"/>
        <v>7.5999999999999881</v>
      </c>
      <c r="I15">
        <f t="shared" si="5"/>
        <v>8.4084999999999823</v>
      </c>
      <c r="J15">
        <f t="shared" si="2"/>
        <v>8.5</v>
      </c>
    </row>
    <row r="16" spans="1:10" x14ac:dyDescent="0.35">
      <c r="D16">
        <f t="shared" si="3"/>
        <v>3.9000000000000012</v>
      </c>
      <c r="E16">
        <f t="shared" si="0"/>
        <v>2.8523333333333354</v>
      </c>
      <c r="F16">
        <f t="shared" si="1"/>
        <v>3</v>
      </c>
      <c r="H16">
        <f t="shared" si="4"/>
        <v>7.6999999999999877</v>
      </c>
      <c r="I16">
        <f t="shared" si="5"/>
        <v>8.5586666666666495</v>
      </c>
      <c r="J16">
        <f t="shared" si="2"/>
        <v>8.5</v>
      </c>
    </row>
    <row r="17" spans="4:10" x14ac:dyDescent="0.35">
      <c r="D17">
        <f t="shared" si="3"/>
        <v>4.0000000000000009</v>
      </c>
      <c r="E17">
        <f t="shared" si="0"/>
        <v>3.0025000000000017</v>
      </c>
      <c r="F17">
        <f t="shared" si="1"/>
        <v>3</v>
      </c>
      <c r="H17">
        <f t="shared" si="4"/>
        <v>7.7999999999999874</v>
      </c>
      <c r="I17">
        <f t="shared" si="5"/>
        <v>8.708833333333315</v>
      </c>
      <c r="J17">
        <f t="shared" si="2"/>
        <v>8.5</v>
      </c>
    </row>
    <row r="18" spans="4:10" x14ac:dyDescent="0.35">
      <c r="D18">
        <f t="shared" si="3"/>
        <v>4.1000000000000005</v>
      </c>
      <c r="E18">
        <f t="shared" si="0"/>
        <v>3.1526666666666672</v>
      </c>
      <c r="F18">
        <f t="shared" si="1"/>
        <v>3</v>
      </c>
      <c r="H18">
        <f t="shared" si="4"/>
        <v>7.899999999999987</v>
      </c>
      <c r="I18">
        <f t="shared" si="5"/>
        <v>8.8589999999999804</v>
      </c>
      <c r="J18">
        <f t="shared" si="2"/>
        <v>9</v>
      </c>
    </row>
    <row r="19" spans="4:10" x14ac:dyDescent="0.35">
      <c r="D19">
        <f t="shared" si="3"/>
        <v>4.2</v>
      </c>
      <c r="E19">
        <f t="shared" si="0"/>
        <v>3.3028333333333335</v>
      </c>
      <c r="F19">
        <f t="shared" si="1"/>
        <v>3.5</v>
      </c>
      <c r="H19">
        <f t="shared" si="4"/>
        <v>7.9999999999999867</v>
      </c>
      <c r="I19">
        <f t="shared" si="5"/>
        <v>9.0091666666666477</v>
      </c>
      <c r="J19">
        <f t="shared" si="2"/>
        <v>9</v>
      </c>
    </row>
    <row r="20" spans="4:10" x14ac:dyDescent="0.35">
      <c r="D20">
        <f t="shared" si="3"/>
        <v>4.3</v>
      </c>
      <c r="E20">
        <f t="shared" si="0"/>
        <v>3.4529999999999998</v>
      </c>
      <c r="F20">
        <f t="shared" si="1"/>
        <v>3.5</v>
      </c>
      <c r="H20">
        <f t="shared" si="4"/>
        <v>8.0999999999999872</v>
      </c>
      <c r="I20">
        <f t="shared" si="5"/>
        <v>9.1593333333333149</v>
      </c>
      <c r="J20">
        <f t="shared" si="2"/>
        <v>9</v>
      </c>
    </row>
    <row r="21" spans="4:10" x14ac:dyDescent="0.35">
      <c r="D21">
        <f t="shared" si="3"/>
        <v>4.3999999999999995</v>
      </c>
      <c r="E21">
        <f t="shared" si="0"/>
        <v>3.6031666666666662</v>
      </c>
      <c r="F21">
        <f t="shared" si="1"/>
        <v>3.5</v>
      </c>
      <c r="H21">
        <f t="shared" si="4"/>
        <v>8.1999999999999869</v>
      </c>
      <c r="I21">
        <f t="shared" si="5"/>
        <v>9.3094999999999803</v>
      </c>
      <c r="J21">
        <f t="shared" si="2"/>
        <v>9.5</v>
      </c>
    </row>
    <row r="22" spans="4:10" x14ac:dyDescent="0.35">
      <c r="D22">
        <f t="shared" si="3"/>
        <v>4.4999999999999991</v>
      </c>
      <c r="E22">
        <f t="shared" si="0"/>
        <v>3.7533333333333316</v>
      </c>
      <c r="F22">
        <f t="shared" si="1"/>
        <v>4</v>
      </c>
      <c r="H22">
        <f t="shared" si="4"/>
        <v>8.2999999999999865</v>
      </c>
      <c r="I22">
        <f t="shared" si="5"/>
        <v>9.4596666666666476</v>
      </c>
      <c r="J22">
        <f t="shared" si="2"/>
        <v>9.5</v>
      </c>
    </row>
    <row r="23" spans="4:10" x14ac:dyDescent="0.35">
      <c r="D23">
        <f t="shared" si="3"/>
        <v>4.5999999999999988</v>
      </c>
      <c r="E23">
        <f t="shared" si="0"/>
        <v>3.903499999999998</v>
      </c>
      <c r="F23">
        <f t="shared" si="1"/>
        <v>4</v>
      </c>
      <c r="H23">
        <f t="shared" si="4"/>
        <v>8.3999999999999861</v>
      </c>
      <c r="I23">
        <f t="shared" si="5"/>
        <v>9.609833333333313</v>
      </c>
      <c r="J23">
        <f t="shared" si="2"/>
        <v>9.5</v>
      </c>
    </row>
    <row r="24" spans="4:10" x14ac:dyDescent="0.35">
      <c r="D24">
        <f t="shared" si="3"/>
        <v>4.6999999999999984</v>
      </c>
      <c r="E24">
        <f t="shared" si="0"/>
        <v>4.0536666666666648</v>
      </c>
      <c r="F24">
        <f t="shared" si="1"/>
        <v>4</v>
      </c>
      <c r="H24">
        <f t="shared" si="4"/>
        <v>8.4999999999999858</v>
      </c>
      <c r="I24" s="18">
        <f t="shared" si="5"/>
        <v>9.7599999999999785</v>
      </c>
      <c r="J24">
        <f>MROUND(I24,0.5)</f>
        <v>10</v>
      </c>
    </row>
    <row r="25" spans="4:10" x14ac:dyDescent="0.35">
      <c r="D25">
        <f t="shared" si="3"/>
        <v>4.799999999999998</v>
      </c>
      <c r="E25">
        <f t="shared" si="0"/>
        <v>4.2038333333333302</v>
      </c>
      <c r="F25">
        <f t="shared" si="1"/>
        <v>4</v>
      </c>
      <c r="H25">
        <f t="shared" si="4"/>
        <v>8.5999999999999854</v>
      </c>
      <c r="I25">
        <f t="shared" si="5"/>
        <v>9.9101666666666457</v>
      </c>
      <c r="J25">
        <f t="shared" si="2"/>
        <v>10</v>
      </c>
    </row>
    <row r="26" spans="4:10" x14ac:dyDescent="0.35">
      <c r="D26">
        <f t="shared" si="3"/>
        <v>4.8999999999999977</v>
      </c>
      <c r="E26">
        <f t="shared" si="0"/>
        <v>4.3539999999999957</v>
      </c>
      <c r="F26">
        <f t="shared" si="1"/>
        <v>4.5</v>
      </c>
      <c r="H26">
        <f t="shared" si="4"/>
        <v>8.6999999999999851</v>
      </c>
      <c r="I26">
        <f t="shared" si="5"/>
        <v>10.060333333333311</v>
      </c>
      <c r="J26">
        <f t="shared" si="2"/>
        <v>10</v>
      </c>
    </row>
    <row r="27" spans="4:10" x14ac:dyDescent="0.35">
      <c r="D27">
        <f t="shared" si="3"/>
        <v>4.9999999999999973</v>
      </c>
      <c r="E27">
        <f t="shared" si="0"/>
        <v>4.5041666666666629</v>
      </c>
      <c r="F27">
        <f t="shared" si="1"/>
        <v>4.5</v>
      </c>
      <c r="H27">
        <f t="shared" si="4"/>
        <v>8.7999999999999847</v>
      </c>
      <c r="I27">
        <f t="shared" si="5"/>
        <v>10.210499999999978</v>
      </c>
      <c r="J27">
        <f t="shared" si="2"/>
        <v>10</v>
      </c>
    </row>
    <row r="28" spans="4:10" x14ac:dyDescent="0.35">
      <c r="D28">
        <f t="shared" si="3"/>
        <v>5.099999999999997</v>
      </c>
      <c r="E28">
        <f t="shared" si="0"/>
        <v>4.6543333333333283</v>
      </c>
      <c r="F28">
        <f t="shared" si="1"/>
        <v>4.5</v>
      </c>
      <c r="H28">
        <f t="shared" si="4"/>
        <v>8.8999999999999844</v>
      </c>
      <c r="I28">
        <f t="shared" si="5"/>
        <v>10.360666666666644</v>
      </c>
      <c r="J28">
        <f t="shared" si="2"/>
        <v>10.5</v>
      </c>
    </row>
    <row r="29" spans="4:10" x14ac:dyDescent="0.35">
      <c r="D29">
        <f t="shared" si="3"/>
        <v>5.1999999999999966</v>
      </c>
      <c r="E29">
        <f t="shared" si="0"/>
        <v>4.8044999999999956</v>
      </c>
      <c r="F29">
        <f t="shared" si="1"/>
        <v>5</v>
      </c>
      <c r="H29">
        <f t="shared" si="4"/>
        <v>8.999999999999984</v>
      </c>
      <c r="I29">
        <f t="shared" si="5"/>
        <v>10.510833333333309</v>
      </c>
      <c r="J29">
        <f t="shared" si="2"/>
        <v>10.5</v>
      </c>
    </row>
    <row r="30" spans="4:10" x14ac:dyDescent="0.35">
      <c r="D30">
        <f t="shared" si="3"/>
        <v>5.2999999999999963</v>
      </c>
      <c r="E30">
        <f t="shared" si="0"/>
        <v>4.954666666666661</v>
      </c>
      <c r="F30">
        <f t="shared" si="1"/>
        <v>5</v>
      </c>
      <c r="H30">
        <f t="shared" si="4"/>
        <v>9.0999999999999837</v>
      </c>
      <c r="I30">
        <f t="shared" si="5"/>
        <v>10.660999999999976</v>
      </c>
      <c r="J30">
        <f t="shared" si="2"/>
        <v>10.5</v>
      </c>
    </row>
    <row r="31" spans="4:10" x14ac:dyDescent="0.35">
      <c r="D31">
        <f t="shared" si="3"/>
        <v>5.3999999999999959</v>
      </c>
      <c r="E31">
        <f t="shared" si="0"/>
        <v>5.1048333333333282</v>
      </c>
      <c r="F31">
        <f t="shared" si="1"/>
        <v>5</v>
      </c>
      <c r="H31">
        <f t="shared" si="4"/>
        <v>9.1999999999999833</v>
      </c>
      <c r="I31">
        <f t="shared" si="5"/>
        <v>10.811166666666642</v>
      </c>
      <c r="J31">
        <f t="shared" si="2"/>
        <v>11</v>
      </c>
    </row>
    <row r="32" spans="4:10" x14ac:dyDescent="0.35">
      <c r="D32">
        <f t="shared" si="3"/>
        <v>5.4999999999999956</v>
      </c>
      <c r="E32">
        <f t="shared" si="0"/>
        <v>5.2549999999999937</v>
      </c>
      <c r="F32">
        <f t="shared" si="1"/>
        <v>5.5</v>
      </c>
      <c r="H32">
        <f t="shared" si="4"/>
        <v>9.2999999999999829</v>
      </c>
      <c r="I32">
        <f t="shared" si="5"/>
        <v>10.961333333333309</v>
      </c>
      <c r="J32">
        <f t="shared" si="2"/>
        <v>11</v>
      </c>
    </row>
    <row r="33" spans="4:10" x14ac:dyDescent="0.35">
      <c r="D33">
        <f t="shared" si="3"/>
        <v>5.5999999999999952</v>
      </c>
      <c r="E33">
        <f t="shared" si="0"/>
        <v>5.4051666666666591</v>
      </c>
      <c r="F33">
        <f t="shared" si="1"/>
        <v>5.5</v>
      </c>
      <c r="H33">
        <f t="shared" si="4"/>
        <v>9.3999999999999826</v>
      </c>
      <c r="I33">
        <f t="shared" si="5"/>
        <v>11.111499999999975</v>
      </c>
      <c r="J33">
        <f t="shared" si="2"/>
        <v>11</v>
      </c>
    </row>
    <row r="34" spans="4:10" x14ac:dyDescent="0.35">
      <c r="D34">
        <f t="shared" si="3"/>
        <v>5.6999999999999948</v>
      </c>
      <c r="E34">
        <f t="shared" si="0"/>
        <v>5.5553333333333264</v>
      </c>
      <c r="F34">
        <f t="shared" si="1"/>
        <v>5.5</v>
      </c>
      <c r="H34">
        <f t="shared" si="4"/>
        <v>9.4999999999999822</v>
      </c>
      <c r="I34">
        <f t="shared" si="5"/>
        <v>11.26166666666664</v>
      </c>
      <c r="J34">
        <f t="shared" si="2"/>
        <v>11.5</v>
      </c>
    </row>
    <row r="35" spans="4:10" x14ac:dyDescent="0.35">
      <c r="D35">
        <f t="shared" si="3"/>
        <v>5.7999999999999945</v>
      </c>
      <c r="E35">
        <f t="shared" si="0"/>
        <v>5.7054999999999918</v>
      </c>
      <c r="F35">
        <f t="shared" si="1"/>
        <v>5.5</v>
      </c>
      <c r="H35">
        <f t="shared" si="4"/>
        <v>9.5999999999999819</v>
      </c>
      <c r="I35">
        <f t="shared" si="5"/>
        <v>11.411833333333307</v>
      </c>
      <c r="J35">
        <f t="shared" si="2"/>
        <v>11.5</v>
      </c>
    </row>
    <row r="36" spans="4:10" x14ac:dyDescent="0.35">
      <c r="D36">
        <f t="shared" si="3"/>
        <v>5.8999999999999941</v>
      </c>
      <c r="E36">
        <f t="shared" si="0"/>
        <v>5.855666666666659</v>
      </c>
      <c r="F36">
        <f t="shared" si="1"/>
        <v>6</v>
      </c>
      <c r="H36">
        <f t="shared" si="4"/>
        <v>9.6999999999999815</v>
      </c>
      <c r="I36">
        <f t="shared" si="5"/>
        <v>11.561999999999973</v>
      </c>
      <c r="J36">
        <f t="shared" si="2"/>
        <v>11.5</v>
      </c>
    </row>
    <row r="37" spans="4:10" x14ac:dyDescent="0.35">
      <c r="D37">
        <f t="shared" si="3"/>
        <v>5.9999999999999938</v>
      </c>
      <c r="E37">
        <f t="shared" si="0"/>
        <v>6.0058333333333245</v>
      </c>
      <c r="F37">
        <f t="shared" si="1"/>
        <v>6</v>
      </c>
      <c r="H37">
        <f t="shared" si="4"/>
        <v>9.7999999999999812</v>
      </c>
      <c r="I37">
        <f t="shared" si="5"/>
        <v>11.712166666666638</v>
      </c>
      <c r="J37">
        <f t="shared" si="2"/>
        <v>11.5</v>
      </c>
    </row>
    <row r="38" spans="4:10" x14ac:dyDescent="0.35">
      <c r="D38">
        <f t="shared" si="3"/>
        <v>6.0999999999999934</v>
      </c>
      <c r="E38">
        <f t="shared" si="0"/>
        <v>6.1559999999999899</v>
      </c>
      <c r="F38">
        <f t="shared" si="1"/>
        <v>6</v>
      </c>
      <c r="H38">
        <f t="shared" si="4"/>
        <v>9.8999999999999808</v>
      </c>
      <c r="I38">
        <f t="shared" si="5"/>
        <v>11.862333333333305</v>
      </c>
      <c r="J38">
        <f t="shared" si="2"/>
        <v>12</v>
      </c>
    </row>
    <row r="39" spans="4:10" x14ac:dyDescent="0.35">
      <c r="D39">
        <f t="shared" si="3"/>
        <v>6.1999999999999931</v>
      </c>
      <c r="E39">
        <f t="shared" si="0"/>
        <v>6.3061666666666572</v>
      </c>
      <c r="F39">
        <f t="shared" si="1"/>
        <v>6.5</v>
      </c>
      <c r="H39">
        <f t="shared" si="4"/>
        <v>9.9999999999999805</v>
      </c>
      <c r="I39">
        <f t="shared" si="5"/>
        <v>12.012499999999971</v>
      </c>
      <c r="J39">
        <f t="shared" si="2"/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U80"/>
  <sheetViews>
    <sheetView workbookViewId="0">
      <pane xSplit="1" topLeftCell="D1" activePane="topRight" state="frozen"/>
      <selection activeCell="A31" sqref="A31"/>
      <selection pane="topRight" activeCell="F39" sqref="F39"/>
    </sheetView>
  </sheetViews>
  <sheetFormatPr defaultRowHeight="14.5" x14ac:dyDescent="0.35"/>
  <cols>
    <col min="2" max="2" width="11.90625" bestFit="1" customWidth="1"/>
    <col min="3" max="3" width="15.90625" bestFit="1" customWidth="1"/>
    <col min="4" max="6" width="15.90625" customWidth="1"/>
    <col min="7" max="9" width="15.90625" style="22" customWidth="1"/>
    <col min="10" max="11" width="11.90625" bestFit="1" customWidth="1"/>
    <col min="12" max="12" width="11.90625" style="22" customWidth="1"/>
    <col min="13" max="14" width="11.90625" bestFit="1" customWidth="1"/>
    <col min="15" max="17" width="11.90625" style="22" customWidth="1"/>
    <col min="18" max="18" width="11.6328125" bestFit="1" customWidth="1"/>
    <col min="21" max="21" width="16.6328125" bestFit="1" customWidth="1"/>
  </cols>
  <sheetData>
    <row r="1" spans="1:21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U1" t="s">
        <v>349</v>
      </c>
    </row>
    <row r="2" spans="1:21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U2" s="1">
        <v>45960</v>
      </c>
    </row>
    <row r="3" spans="1:21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21">
        <v>27</v>
      </c>
    </row>
    <row r="4" spans="1:21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1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T5" t="s">
        <v>370</v>
      </c>
      <c r="U5">
        <v>18</v>
      </c>
    </row>
    <row r="6" spans="1:21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21">
        <v>81.34</v>
      </c>
      <c r="T6" t="s">
        <v>371</v>
      </c>
      <c r="U6">
        <f>27*U5</f>
        <v>486</v>
      </c>
    </row>
    <row r="7" spans="1:21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21">
        <v>81.34</v>
      </c>
      <c r="T7" t="s">
        <v>372</v>
      </c>
      <c r="U7">
        <f>1950-U6</f>
        <v>1464</v>
      </c>
    </row>
    <row r="8" spans="1:21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t="s">
        <v>373</v>
      </c>
      <c r="U8">
        <f>U7/18</f>
        <v>81.333333333333329</v>
      </c>
    </row>
    <row r="9" spans="1:21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1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</row>
    <row r="11" spans="1:21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21">
        <v>81.34</v>
      </c>
    </row>
    <row r="12" spans="1:21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</row>
    <row r="13" spans="1:21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21">
        <v>81.34</v>
      </c>
    </row>
    <row r="14" spans="1:21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21">
        <v>81.34</v>
      </c>
    </row>
    <row r="15" spans="1:21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21">
        <v>81.34</v>
      </c>
    </row>
    <row r="16" spans="1:21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</row>
    <row r="17" spans="1:19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</row>
    <row r="18" spans="1:19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21">
        <v>81.34</v>
      </c>
    </row>
    <row r="19" spans="1:19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21">
        <v>81.34</v>
      </c>
    </row>
    <row r="20" spans="1:19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21">
        <v>81.34</v>
      </c>
    </row>
    <row r="21" spans="1:19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21">
        <v>27</v>
      </c>
    </row>
    <row r="22" spans="1:19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19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21">
        <v>27</v>
      </c>
    </row>
    <row r="24" spans="1:19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</row>
    <row r="25" spans="1:19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19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21">
        <v>27</v>
      </c>
      <c r="Q26" s="21">
        <v>27</v>
      </c>
      <c r="R26" s="21">
        <f>27*2</f>
        <v>54</v>
      </c>
      <c r="S26">
        <v>24.45</v>
      </c>
    </row>
    <row r="27" spans="1:19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19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19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</row>
    <row r="30" spans="1:19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21">
        <v>81.34</v>
      </c>
    </row>
    <row r="31" spans="1:19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19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21">
        <v>27</v>
      </c>
      <c r="R32" s="21">
        <f>27*2</f>
        <v>54</v>
      </c>
    </row>
    <row r="33" spans="1:19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19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19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</row>
    <row r="36" spans="1:19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19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</row>
    <row r="38" spans="1:19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19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21">
        <v>27</v>
      </c>
      <c r="R39" s="21">
        <v>81.34</v>
      </c>
      <c r="S39">
        <v>24.45</v>
      </c>
    </row>
    <row r="40" spans="1:19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</row>
    <row r="41" spans="1:19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19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</row>
    <row r="43" spans="1:19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</row>
    <row r="44" spans="1:19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21">
        <v>29</v>
      </c>
    </row>
    <row r="45" spans="1:19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19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19" x14ac:dyDescent="0.35">
      <c r="A47" t="s">
        <v>81</v>
      </c>
      <c r="C47" s="19"/>
      <c r="D47" s="19"/>
      <c r="E47" s="19"/>
      <c r="F47" s="19"/>
      <c r="G47" s="19">
        <v>25</v>
      </c>
      <c r="H47" s="19"/>
      <c r="I47" s="19"/>
      <c r="L47" s="19">
        <v>25</v>
      </c>
    </row>
    <row r="48" spans="1:19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18" x14ac:dyDescent="0.35">
      <c r="A49" t="s">
        <v>80</v>
      </c>
      <c r="G49" s="19">
        <v>25</v>
      </c>
      <c r="H49" s="19"/>
      <c r="I49" s="19"/>
    </row>
    <row r="50" spans="1:18" x14ac:dyDescent="0.35">
      <c r="A50" t="s">
        <v>83</v>
      </c>
      <c r="G50" s="19"/>
      <c r="H50" s="19">
        <v>25</v>
      </c>
      <c r="I50" s="19"/>
    </row>
    <row r="51" spans="1:18" x14ac:dyDescent="0.35">
      <c r="A51" t="s">
        <v>86</v>
      </c>
      <c r="G51" s="19"/>
      <c r="H51" s="19">
        <v>25</v>
      </c>
      <c r="I51" s="19"/>
    </row>
    <row r="52" spans="1:18" x14ac:dyDescent="0.35">
      <c r="A52" t="s">
        <v>85</v>
      </c>
      <c r="G52" s="19"/>
      <c r="H52" s="19">
        <v>25</v>
      </c>
      <c r="I52" s="19">
        <v>50</v>
      </c>
    </row>
    <row r="53" spans="1:18" x14ac:dyDescent="0.35">
      <c r="A53" t="s">
        <v>81</v>
      </c>
      <c r="G53" s="19"/>
      <c r="H53" s="19">
        <v>25</v>
      </c>
      <c r="I53" s="19"/>
    </row>
    <row r="54" spans="1:18" x14ac:dyDescent="0.35">
      <c r="A54" t="s">
        <v>84</v>
      </c>
      <c r="G54" s="19"/>
      <c r="H54" s="19">
        <v>50</v>
      </c>
      <c r="I54" s="19">
        <v>77.78</v>
      </c>
      <c r="J54" s="19">
        <v>86.12</v>
      </c>
      <c r="K54" s="19">
        <f>(1800-12*25)/18</f>
        <v>83.333333333333329</v>
      </c>
      <c r="L54" s="19">
        <v>79.17</v>
      </c>
      <c r="M54" s="19">
        <v>76.39</v>
      </c>
      <c r="N54" s="19">
        <v>88.84</v>
      </c>
      <c r="O54" s="19">
        <v>84.34</v>
      </c>
      <c r="P54" s="19">
        <v>54</v>
      </c>
      <c r="Q54" s="19">
        <v>83</v>
      </c>
      <c r="R54" s="19">
        <f>27*2</f>
        <v>54</v>
      </c>
    </row>
    <row r="55" spans="1:18" x14ac:dyDescent="0.35">
      <c r="A55" t="s">
        <v>340</v>
      </c>
      <c r="G55" s="19"/>
      <c r="H55" s="19"/>
      <c r="I55" s="19"/>
      <c r="J55" s="19">
        <v>25</v>
      </c>
      <c r="K55" s="19">
        <v>62.5</v>
      </c>
      <c r="L55" s="19">
        <v>79.17</v>
      </c>
    </row>
    <row r="56" spans="1:18" x14ac:dyDescent="0.35">
      <c r="A56" t="s">
        <v>339</v>
      </c>
      <c r="G56" s="19"/>
      <c r="H56" s="19"/>
      <c r="I56" s="19"/>
      <c r="J56" s="19">
        <v>25</v>
      </c>
      <c r="M56" s="19">
        <v>25</v>
      </c>
    </row>
    <row r="57" spans="1:18" x14ac:dyDescent="0.35">
      <c r="A57" t="s">
        <v>344</v>
      </c>
      <c r="G57" s="19"/>
      <c r="H57" s="19"/>
      <c r="I57" s="19"/>
      <c r="J57" s="19">
        <v>25</v>
      </c>
      <c r="L57" s="19">
        <v>50</v>
      </c>
      <c r="M57" s="19">
        <v>25</v>
      </c>
    </row>
    <row r="58" spans="1:18" x14ac:dyDescent="0.35">
      <c r="A58" t="s">
        <v>342</v>
      </c>
      <c r="G58"/>
      <c r="H58"/>
      <c r="I58"/>
      <c r="K58" s="19">
        <v>25</v>
      </c>
      <c r="L58" s="19"/>
      <c r="N58" s="19">
        <v>27</v>
      </c>
      <c r="O58" s="19"/>
      <c r="P58" s="19"/>
      <c r="Q58" s="19"/>
    </row>
    <row r="59" spans="1:18" x14ac:dyDescent="0.35">
      <c r="A59" t="s">
        <v>345</v>
      </c>
      <c r="G59"/>
      <c r="H59"/>
      <c r="I59"/>
      <c r="K59" s="19">
        <v>25</v>
      </c>
      <c r="L59" s="19"/>
    </row>
    <row r="60" spans="1:18" x14ac:dyDescent="0.35">
      <c r="A60" t="s">
        <v>346</v>
      </c>
      <c r="G60"/>
      <c r="H60"/>
      <c r="I60"/>
      <c r="K60" s="19">
        <v>50</v>
      </c>
      <c r="L60" s="19">
        <v>79.17</v>
      </c>
      <c r="M60" s="19">
        <v>75</v>
      </c>
      <c r="N60" s="19">
        <v>88.84</v>
      </c>
      <c r="O60" s="19">
        <f>27*3</f>
        <v>81</v>
      </c>
      <c r="P60" s="19"/>
      <c r="Q60" s="19"/>
    </row>
    <row r="61" spans="1:18" x14ac:dyDescent="0.35">
      <c r="A61" t="s">
        <v>347</v>
      </c>
      <c r="G61"/>
      <c r="H61"/>
      <c r="I61"/>
      <c r="K61" s="19">
        <v>25</v>
      </c>
      <c r="L61" s="19"/>
    </row>
    <row r="62" spans="1:18" x14ac:dyDescent="0.35">
      <c r="A62" t="s">
        <v>354</v>
      </c>
      <c r="G62"/>
      <c r="H62"/>
      <c r="I62"/>
      <c r="K62" s="19"/>
      <c r="L62" s="19">
        <v>25</v>
      </c>
    </row>
    <row r="63" spans="1:18" x14ac:dyDescent="0.35">
      <c r="A63" t="s">
        <v>356</v>
      </c>
      <c r="L63" s="19">
        <v>25</v>
      </c>
    </row>
    <row r="64" spans="1:18" x14ac:dyDescent="0.35">
      <c r="A64" t="s">
        <v>352</v>
      </c>
      <c r="L64" s="19">
        <v>25</v>
      </c>
    </row>
    <row r="65" spans="1:18" x14ac:dyDescent="0.35">
      <c r="A65" t="s">
        <v>350</v>
      </c>
      <c r="L65" s="19">
        <v>25</v>
      </c>
    </row>
    <row r="66" spans="1:18" x14ac:dyDescent="0.35">
      <c r="A66" t="s">
        <v>363</v>
      </c>
      <c r="L66" s="19"/>
      <c r="M66" s="19">
        <v>25</v>
      </c>
    </row>
    <row r="67" spans="1:18" x14ac:dyDescent="0.35">
      <c r="A67" t="s">
        <v>361</v>
      </c>
      <c r="L67" s="19"/>
      <c r="M67" s="19">
        <v>25</v>
      </c>
      <c r="O67" s="19">
        <v>27</v>
      </c>
      <c r="P67" s="19"/>
      <c r="Q67" s="19">
        <v>27</v>
      </c>
    </row>
    <row r="68" spans="1:18" x14ac:dyDescent="0.35">
      <c r="A68" t="s">
        <v>364</v>
      </c>
      <c r="L68" s="19"/>
      <c r="M68" s="19"/>
      <c r="N68" s="19">
        <v>27</v>
      </c>
      <c r="O68" s="19"/>
      <c r="P68" s="19">
        <v>27</v>
      </c>
      <c r="Q68" s="19"/>
    </row>
    <row r="69" spans="1:18" x14ac:dyDescent="0.35">
      <c r="A69" t="s">
        <v>365</v>
      </c>
      <c r="L69" s="19"/>
      <c r="M69" s="19"/>
      <c r="N69" s="19">
        <v>27</v>
      </c>
      <c r="O69" s="19"/>
      <c r="P69" s="19"/>
      <c r="Q69" s="19"/>
    </row>
    <row r="70" spans="1:18" x14ac:dyDescent="0.35">
      <c r="A70" t="s">
        <v>366</v>
      </c>
      <c r="L70" s="19"/>
      <c r="M70" s="19"/>
      <c r="N70" s="19">
        <v>27</v>
      </c>
      <c r="O70" s="19"/>
      <c r="P70" s="19"/>
      <c r="Q70" s="19"/>
    </row>
    <row r="71" spans="1:18" x14ac:dyDescent="0.35">
      <c r="A71" t="s">
        <v>368</v>
      </c>
      <c r="O71" s="19">
        <v>27</v>
      </c>
      <c r="P71" s="19"/>
      <c r="Q71" s="19"/>
      <c r="R71" s="19">
        <v>27</v>
      </c>
    </row>
    <row r="72" spans="1:18" x14ac:dyDescent="0.35">
      <c r="A72" t="s">
        <v>369</v>
      </c>
      <c r="O72" s="19">
        <v>54</v>
      </c>
      <c r="P72" s="19"/>
      <c r="Q72" s="19"/>
    </row>
    <row r="73" spans="1:18" x14ac:dyDescent="0.35">
      <c r="A73" t="s">
        <v>376</v>
      </c>
      <c r="O73" s="19"/>
      <c r="P73" s="19"/>
      <c r="Q73" s="19">
        <v>81</v>
      </c>
      <c r="R73" s="19">
        <f>27*2</f>
        <v>54</v>
      </c>
    </row>
    <row r="74" spans="1:18" x14ac:dyDescent="0.35">
      <c r="A74" t="s">
        <v>374</v>
      </c>
      <c r="O74" s="19"/>
      <c r="P74" s="19"/>
      <c r="Q74" s="19">
        <v>27</v>
      </c>
    </row>
    <row r="75" spans="1:18" x14ac:dyDescent="0.35">
      <c r="A75" t="s">
        <v>375</v>
      </c>
      <c r="O75" s="19"/>
      <c r="P75" s="19"/>
      <c r="Q75" s="19">
        <v>27</v>
      </c>
    </row>
    <row r="76" spans="1:18" x14ac:dyDescent="0.35">
      <c r="A76" t="s">
        <v>377</v>
      </c>
      <c r="O76" s="19"/>
      <c r="P76" s="19"/>
      <c r="Q76" s="19"/>
      <c r="R76" s="19">
        <v>27</v>
      </c>
    </row>
    <row r="78" spans="1:18" x14ac:dyDescent="0.35">
      <c r="A78" t="s">
        <v>74</v>
      </c>
      <c r="B78" s="20">
        <f>SUM(B3:B28)</f>
        <v>1716.6666666666665</v>
      </c>
      <c r="C78" s="20">
        <f>SUM(C3:C35)</f>
        <v>1729.2800000000002</v>
      </c>
      <c r="D78" s="20">
        <f>SUM(D3:D38)</f>
        <v>1754.2800000000002</v>
      </c>
      <c r="E78" s="20">
        <f>SUM(E3:E41)</f>
        <v>1697.26</v>
      </c>
      <c r="F78" s="20">
        <f>SUM(F3:F44)</f>
        <v>1772.26</v>
      </c>
      <c r="G78" s="20">
        <f>SUM(G3:G49)</f>
        <v>1722.2599999999998</v>
      </c>
      <c r="H78" s="20">
        <f>SUM(H3:H54)</f>
        <v>1715.41</v>
      </c>
      <c r="I78" s="20">
        <f>SUM(I3:I54)</f>
        <v>1722.2599999999998</v>
      </c>
      <c r="J78" s="20">
        <f>SUM(J3:J57)</f>
        <v>1714.0399999999995</v>
      </c>
      <c r="K78" s="20">
        <f>SUM(K3:K60)</f>
        <v>1716.6733333333332</v>
      </c>
      <c r="L78" s="20">
        <f>SUM(L3:L60)</f>
        <v>1620.8900000000003</v>
      </c>
      <c r="M78" s="20">
        <f>SUM(M3:M70)</f>
        <v>1723.6300000000003</v>
      </c>
      <c r="N78" s="20">
        <f>SUM(N3:N70)</f>
        <v>1861.2799999999997</v>
      </c>
      <c r="O78" s="20">
        <f>SUM(O3:O72)</f>
        <v>1865.7799999999997</v>
      </c>
      <c r="P78" s="20">
        <f>SUM(P3:P72)</f>
        <v>1864.2799999999997</v>
      </c>
      <c r="Q78" s="20">
        <f>SUM(Q3:Q75)</f>
        <v>1869.11</v>
      </c>
      <c r="R78" s="20">
        <f>SUM(R3:R76)</f>
        <v>1870.7799999999997</v>
      </c>
    </row>
    <row r="79" spans="1:18" x14ac:dyDescent="0.35">
      <c r="A79" t="s">
        <v>75</v>
      </c>
      <c r="B79" s="20">
        <f>25*12+83.34*17</f>
        <v>1716.78</v>
      </c>
      <c r="C79" s="20">
        <f>22*25+70.84*17</f>
        <v>1754.28</v>
      </c>
      <c r="D79" s="20">
        <f>20*25+70.84*17</f>
        <v>1704.28</v>
      </c>
      <c r="E79" s="20">
        <f>15*25+77.78*17</f>
        <v>1697.26</v>
      </c>
      <c r="F79" s="20">
        <f>18*25+77.78*17</f>
        <v>1772.26</v>
      </c>
      <c r="G79" s="23">
        <f>17*77.78+25*16</f>
        <v>1722.26</v>
      </c>
      <c r="H79" s="23">
        <f>11*25+84.73*17</f>
        <v>1715.41</v>
      </c>
      <c r="I79" s="23">
        <f>17*25+77.78*17</f>
        <v>1747.26</v>
      </c>
      <c r="J79" s="23">
        <f>10*25+86.12*17</f>
        <v>1714.04</v>
      </c>
      <c r="K79" s="23">
        <f>13*25+83.33*17</f>
        <v>1741.61</v>
      </c>
      <c r="L79" s="23">
        <f>15*25+79.17*17</f>
        <v>1720.89</v>
      </c>
      <c r="M79" s="23">
        <f>17*25+76.39*17</f>
        <v>1723.63</v>
      </c>
      <c r="N79" s="23">
        <f>13*27+88.84*17</f>
        <v>1861.28</v>
      </c>
      <c r="O79" s="23">
        <f>16*27+84.34*17</f>
        <v>1865.78</v>
      </c>
      <c r="P79" s="23">
        <f>14*27+85.84*17</f>
        <v>1837.28</v>
      </c>
      <c r="Q79" s="23">
        <f>13*27+82.83*17</f>
        <v>1759.11</v>
      </c>
      <c r="R79" s="23">
        <f>10*27+82.83*6</f>
        <v>766.98</v>
      </c>
    </row>
    <row r="80" spans="1:18" x14ac:dyDescent="0.35">
      <c r="B80" s="24">
        <f t="shared" ref="B80:G80" si="1">B79/B78</f>
        <v>1.0000660194174757</v>
      </c>
      <c r="C80" s="24">
        <f t="shared" si="1"/>
        <v>1.0144568837897852</v>
      </c>
      <c r="D80" s="24">
        <f t="shared" si="1"/>
        <v>0.97149827849602099</v>
      </c>
      <c r="E80" s="24">
        <f t="shared" si="1"/>
        <v>1</v>
      </c>
      <c r="F80" s="24">
        <f t="shared" si="1"/>
        <v>1</v>
      </c>
      <c r="G80" s="24">
        <f t="shared" si="1"/>
        <v>1.0000000000000002</v>
      </c>
      <c r="H80" s="24">
        <f t="shared" ref="H80:I80" si="2">H79/H78</f>
        <v>1</v>
      </c>
      <c r="I80" s="24">
        <f t="shared" si="2"/>
        <v>1.0145158106209284</v>
      </c>
      <c r="J80" s="24">
        <f t="shared" ref="J80:K80" si="3">J79/J78</f>
        <v>1.0000000000000002</v>
      </c>
      <c r="K80" s="24">
        <f t="shared" si="3"/>
        <v>1.0145261571799722</v>
      </c>
      <c r="L80" s="24">
        <f t="shared" ref="L80:M80" si="4">L79/L78</f>
        <v>1.0616945011691106</v>
      </c>
      <c r="M80" s="24">
        <f t="shared" si="4"/>
        <v>0.99999999999999989</v>
      </c>
      <c r="N80" s="24">
        <f t="shared" ref="N80:O80" si="5">N79/N78</f>
        <v>1.0000000000000002</v>
      </c>
      <c r="O80" s="24">
        <f t="shared" si="5"/>
        <v>1.0000000000000002</v>
      </c>
      <c r="P80" s="24">
        <f t="shared" ref="P80" si="6">P79/P78</f>
        <v>0.98551719698757712</v>
      </c>
      <c r="Q80" s="24">
        <f>Q79/Q78</f>
        <v>0.94114846103225602</v>
      </c>
      <c r="R80" s="24">
        <f>R79/R78</f>
        <v>0.40997872545141606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16"/>
  <sheetViews>
    <sheetView tabSelected="1" topLeftCell="A183" workbookViewId="0">
      <selection activeCell="Q209" sqref="Q209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C75"/>
  <sheetViews>
    <sheetView topLeftCell="A9" zoomScaleNormal="100" workbookViewId="0">
      <pane xSplit="1" topLeftCell="AO1" activePane="topRight" state="frozen"/>
      <selection pane="topRight" activeCell="BC72" sqref="BC72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55" width="10.453125" bestFit="1" customWidth="1"/>
  </cols>
  <sheetData>
    <row r="1" spans="1:55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</row>
    <row r="2" spans="1:55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</row>
    <row r="3" spans="1:55" hidden="1" x14ac:dyDescent="0.35">
      <c r="A3" t="s">
        <v>24</v>
      </c>
    </row>
    <row r="4" spans="1:55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</row>
    <row r="5" spans="1:55" hidden="1" x14ac:dyDescent="0.35">
      <c r="A5" t="s">
        <v>365</v>
      </c>
    </row>
    <row r="6" spans="1:55" x14ac:dyDescent="0.35">
      <c r="A6" t="s">
        <v>77</v>
      </c>
      <c r="G6">
        <v>3</v>
      </c>
    </row>
    <row r="7" spans="1:55" x14ac:dyDescent="0.35">
      <c r="A7" t="s">
        <v>364</v>
      </c>
      <c r="AH7">
        <v>3</v>
      </c>
      <c r="AQ7">
        <v>2</v>
      </c>
    </row>
    <row r="8" spans="1:55" x14ac:dyDescent="0.35">
      <c r="A8" t="s">
        <v>7</v>
      </c>
      <c r="K8">
        <v>1</v>
      </c>
    </row>
    <row r="9" spans="1:55" x14ac:dyDescent="0.35">
      <c r="A9" t="s">
        <v>353</v>
      </c>
      <c r="G9">
        <v>1</v>
      </c>
    </row>
    <row r="10" spans="1:55" hidden="1" x14ac:dyDescent="0.35">
      <c r="A10" t="s">
        <v>347</v>
      </c>
    </row>
    <row r="11" spans="1:55" x14ac:dyDescent="0.35">
      <c r="A11" t="s">
        <v>48</v>
      </c>
    </row>
    <row r="12" spans="1:55" x14ac:dyDescent="0.35">
      <c r="A12" t="s">
        <v>362</v>
      </c>
    </row>
    <row r="13" spans="1:55" hidden="1" x14ac:dyDescent="0.35">
      <c r="A13" t="s">
        <v>18</v>
      </c>
    </row>
    <row r="14" spans="1:55" x14ac:dyDescent="0.35">
      <c r="A14" t="s">
        <v>25</v>
      </c>
      <c r="C14">
        <v>1</v>
      </c>
      <c r="E14">
        <v>1</v>
      </c>
      <c r="G14">
        <v>1</v>
      </c>
      <c r="J14">
        <v>3</v>
      </c>
      <c r="K14">
        <v>3</v>
      </c>
      <c r="M14">
        <v>1</v>
      </c>
      <c r="R14">
        <v>1</v>
      </c>
      <c r="V14">
        <v>1</v>
      </c>
      <c r="AE14">
        <v>1</v>
      </c>
      <c r="AF14">
        <v>1</v>
      </c>
      <c r="AH14">
        <v>2</v>
      </c>
      <c r="AT14">
        <v>1</v>
      </c>
      <c r="BA14">
        <v>1</v>
      </c>
    </row>
    <row r="15" spans="1:55" x14ac:dyDescent="0.35">
      <c r="A15" t="s">
        <v>14</v>
      </c>
      <c r="E15">
        <v>1</v>
      </c>
      <c r="F15">
        <v>1</v>
      </c>
      <c r="J15">
        <v>1</v>
      </c>
      <c r="P15">
        <v>1</v>
      </c>
      <c r="S15">
        <v>1</v>
      </c>
      <c r="W15">
        <v>1</v>
      </c>
      <c r="Z15">
        <v>2</v>
      </c>
      <c r="AA15">
        <v>0.5</v>
      </c>
      <c r="AK15">
        <v>1</v>
      </c>
      <c r="AR15">
        <v>2</v>
      </c>
      <c r="AX15">
        <v>1</v>
      </c>
    </row>
    <row r="16" spans="1:55" x14ac:dyDescent="0.35">
      <c r="A16" t="s">
        <v>54</v>
      </c>
      <c r="C16">
        <v>2</v>
      </c>
      <c r="D16">
        <v>3</v>
      </c>
      <c r="V16">
        <v>2</v>
      </c>
    </row>
    <row r="17" spans="1:55" x14ac:dyDescent="0.35">
      <c r="A17" t="s">
        <v>66</v>
      </c>
      <c r="D17">
        <v>2</v>
      </c>
      <c r="I17">
        <v>3</v>
      </c>
      <c r="J17">
        <v>1</v>
      </c>
      <c r="T17">
        <v>1</v>
      </c>
      <c r="W17">
        <v>1</v>
      </c>
      <c r="X17">
        <v>1</v>
      </c>
      <c r="Y17">
        <v>1</v>
      </c>
      <c r="Z17">
        <v>1</v>
      </c>
      <c r="AA17">
        <v>1</v>
      </c>
      <c r="AC17">
        <v>1</v>
      </c>
      <c r="AD17">
        <v>1</v>
      </c>
      <c r="AH17">
        <v>1</v>
      </c>
      <c r="AI17">
        <v>1</v>
      </c>
      <c r="BA17">
        <v>3</v>
      </c>
    </row>
    <row r="18" spans="1:55" x14ac:dyDescent="0.35">
      <c r="A18" t="s">
        <v>84</v>
      </c>
      <c r="I18">
        <v>2</v>
      </c>
      <c r="J18">
        <v>1</v>
      </c>
      <c r="L18">
        <v>3</v>
      </c>
      <c r="N18">
        <v>2</v>
      </c>
      <c r="O18">
        <v>2</v>
      </c>
      <c r="P18">
        <v>1</v>
      </c>
      <c r="S18">
        <v>2</v>
      </c>
      <c r="V18">
        <v>4</v>
      </c>
      <c r="W18">
        <v>6</v>
      </c>
      <c r="X18">
        <v>3</v>
      </c>
      <c r="AB18">
        <v>1</v>
      </c>
      <c r="AC18">
        <v>2</v>
      </c>
      <c r="AD18">
        <v>3</v>
      </c>
      <c r="AE18">
        <v>1</v>
      </c>
      <c r="AH18">
        <v>4</v>
      </c>
      <c r="AI18">
        <v>5</v>
      </c>
      <c r="AK18">
        <v>1</v>
      </c>
      <c r="AL18">
        <v>1</v>
      </c>
      <c r="AN18">
        <v>2</v>
      </c>
      <c r="AU18">
        <v>4</v>
      </c>
      <c r="AV18">
        <v>1</v>
      </c>
      <c r="AX18">
        <v>1</v>
      </c>
    </row>
    <row r="19" spans="1:55" x14ac:dyDescent="0.35">
      <c r="A19" t="s">
        <v>15</v>
      </c>
      <c r="F19">
        <v>1</v>
      </c>
      <c r="H19">
        <v>2</v>
      </c>
      <c r="I19">
        <v>1</v>
      </c>
      <c r="AK19">
        <v>1</v>
      </c>
      <c r="AL19">
        <v>4</v>
      </c>
      <c r="AO19">
        <v>2</v>
      </c>
      <c r="AR19">
        <v>3</v>
      </c>
      <c r="AS19">
        <v>2</v>
      </c>
      <c r="AT19">
        <v>1</v>
      </c>
      <c r="AY19">
        <v>1</v>
      </c>
    </row>
    <row r="20" spans="1:55" x14ac:dyDescent="0.35">
      <c r="A20" t="s">
        <v>375</v>
      </c>
      <c r="AW20">
        <v>1</v>
      </c>
    </row>
    <row r="21" spans="1:55" x14ac:dyDescent="0.35">
      <c r="A21" t="s">
        <v>6</v>
      </c>
      <c r="B21">
        <v>3</v>
      </c>
      <c r="E21">
        <v>2</v>
      </c>
      <c r="H21">
        <v>1</v>
      </c>
      <c r="L21">
        <v>2</v>
      </c>
      <c r="M21">
        <v>2</v>
      </c>
      <c r="N21">
        <v>6</v>
      </c>
      <c r="O21">
        <v>1</v>
      </c>
      <c r="Q21">
        <v>3</v>
      </c>
      <c r="R21">
        <v>1</v>
      </c>
      <c r="S21">
        <v>1</v>
      </c>
      <c r="T21">
        <v>3</v>
      </c>
      <c r="U21">
        <v>3</v>
      </c>
      <c r="V21">
        <v>6</v>
      </c>
      <c r="W21">
        <v>2</v>
      </c>
      <c r="X21">
        <v>3</v>
      </c>
      <c r="Y21">
        <v>1</v>
      </c>
      <c r="Z21">
        <v>3.5</v>
      </c>
      <c r="AA21">
        <v>3.5</v>
      </c>
      <c r="AB21">
        <v>3</v>
      </c>
      <c r="AC21">
        <v>1</v>
      </c>
      <c r="AE21">
        <v>10</v>
      </c>
      <c r="AF21">
        <v>3</v>
      </c>
      <c r="AG21">
        <v>3</v>
      </c>
      <c r="AH21">
        <v>2</v>
      </c>
      <c r="AJ21">
        <v>3</v>
      </c>
      <c r="AK21">
        <v>3</v>
      </c>
      <c r="AL21">
        <v>5</v>
      </c>
      <c r="AN21">
        <v>1</v>
      </c>
      <c r="AO21">
        <v>6</v>
      </c>
      <c r="AP21">
        <v>4</v>
      </c>
      <c r="AQ21">
        <v>3</v>
      </c>
      <c r="AR21">
        <v>4</v>
      </c>
      <c r="AS21">
        <v>2</v>
      </c>
      <c r="AT21">
        <v>4</v>
      </c>
      <c r="AU21">
        <v>4</v>
      </c>
      <c r="AV21">
        <v>6</v>
      </c>
      <c r="AW21">
        <v>1</v>
      </c>
      <c r="AY21">
        <v>4</v>
      </c>
      <c r="AZ21">
        <v>1</v>
      </c>
      <c r="BA21">
        <v>3</v>
      </c>
      <c r="BC21">
        <v>5</v>
      </c>
    </row>
    <row r="22" spans="1:55" x14ac:dyDescent="0.35">
      <c r="A22" t="s">
        <v>342</v>
      </c>
      <c r="T22">
        <v>4</v>
      </c>
      <c r="AH22">
        <v>1</v>
      </c>
      <c r="AK22">
        <v>1</v>
      </c>
    </row>
    <row r="23" spans="1:55" hidden="1" x14ac:dyDescent="0.35">
      <c r="A23" t="s">
        <v>52</v>
      </c>
    </row>
    <row r="24" spans="1:55" x14ac:dyDescent="0.35">
      <c r="A24" t="s">
        <v>78</v>
      </c>
    </row>
    <row r="25" spans="1:55" x14ac:dyDescent="0.35">
      <c r="A25" t="s">
        <v>12</v>
      </c>
      <c r="N25">
        <v>2</v>
      </c>
      <c r="U25">
        <v>1</v>
      </c>
      <c r="AI25">
        <v>1</v>
      </c>
    </row>
    <row r="26" spans="1:55" x14ac:dyDescent="0.35">
      <c r="A26" t="s">
        <v>4</v>
      </c>
      <c r="E26">
        <v>1</v>
      </c>
      <c r="F26">
        <v>3</v>
      </c>
      <c r="H26">
        <v>1</v>
      </c>
      <c r="J26">
        <v>1</v>
      </c>
      <c r="K26">
        <v>3</v>
      </c>
      <c r="P26">
        <v>3</v>
      </c>
      <c r="U26">
        <v>3</v>
      </c>
      <c r="W26">
        <v>1</v>
      </c>
      <c r="AD26">
        <v>1</v>
      </c>
      <c r="AF26">
        <v>1</v>
      </c>
      <c r="AH26">
        <v>1</v>
      </c>
      <c r="AI26">
        <v>1</v>
      </c>
      <c r="AJ26">
        <v>2</v>
      </c>
      <c r="AO26">
        <v>2</v>
      </c>
      <c r="AP26">
        <v>2</v>
      </c>
      <c r="AQ26">
        <v>4</v>
      </c>
      <c r="AR26">
        <v>2</v>
      </c>
      <c r="AT26">
        <v>1</v>
      </c>
      <c r="AU26">
        <v>2</v>
      </c>
      <c r="AV26">
        <v>1</v>
      </c>
      <c r="AW26">
        <v>1</v>
      </c>
      <c r="AX26">
        <v>1</v>
      </c>
      <c r="AZ26">
        <v>2</v>
      </c>
      <c r="BA26">
        <v>2</v>
      </c>
      <c r="BB26">
        <v>1</v>
      </c>
    </row>
    <row r="27" spans="1:55" x14ac:dyDescent="0.35">
      <c r="A27" t="s">
        <v>361</v>
      </c>
      <c r="AD27">
        <v>2</v>
      </c>
      <c r="AM27">
        <v>1</v>
      </c>
      <c r="AU27">
        <v>1</v>
      </c>
    </row>
    <row r="28" spans="1:55" x14ac:dyDescent="0.35">
      <c r="A28" t="s">
        <v>1</v>
      </c>
      <c r="B28">
        <v>1</v>
      </c>
      <c r="C28">
        <v>1</v>
      </c>
      <c r="D28">
        <v>1</v>
      </c>
      <c r="E28">
        <v>1</v>
      </c>
      <c r="F28">
        <v>2</v>
      </c>
      <c r="I28">
        <v>2</v>
      </c>
      <c r="J28">
        <v>1</v>
      </c>
      <c r="K28">
        <v>2</v>
      </c>
      <c r="L28">
        <v>1</v>
      </c>
      <c r="M28">
        <v>2</v>
      </c>
      <c r="N28">
        <v>1</v>
      </c>
      <c r="O28">
        <v>1</v>
      </c>
      <c r="P28">
        <v>2</v>
      </c>
      <c r="R28">
        <v>1</v>
      </c>
      <c r="T28">
        <v>1</v>
      </c>
      <c r="U28">
        <v>2</v>
      </c>
      <c r="Y28">
        <v>2</v>
      </c>
      <c r="AB28">
        <v>2</v>
      </c>
      <c r="AD28">
        <v>1</v>
      </c>
      <c r="AH28">
        <v>1</v>
      </c>
      <c r="AJ28">
        <v>1</v>
      </c>
      <c r="AN28">
        <v>2</v>
      </c>
      <c r="AO28">
        <v>1</v>
      </c>
      <c r="AP28">
        <v>2</v>
      </c>
      <c r="AQ28">
        <v>1</v>
      </c>
      <c r="AS28">
        <v>2</v>
      </c>
      <c r="AW28">
        <v>1</v>
      </c>
      <c r="AX28">
        <v>1</v>
      </c>
      <c r="AY28">
        <v>2</v>
      </c>
      <c r="AZ28">
        <v>2</v>
      </c>
      <c r="BA28">
        <v>1</v>
      </c>
      <c r="BB28">
        <v>2</v>
      </c>
      <c r="BC28">
        <v>4</v>
      </c>
    </row>
    <row r="29" spans="1:55" hidden="1" x14ac:dyDescent="0.35">
      <c r="A29" t="s">
        <v>351</v>
      </c>
      <c r="Z29">
        <v>1</v>
      </c>
    </row>
    <row r="30" spans="1:55" x14ac:dyDescent="0.35">
      <c r="A30" t="s">
        <v>9</v>
      </c>
      <c r="C30">
        <v>1</v>
      </c>
      <c r="D30">
        <v>1</v>
      </c>
      <c r="G30">
        <v>2</v>
      </c>
      <c r="H30">
        <v>2</v>
      </c>
      <c r="I30">
        <v>1</v>
      </c>
      <c r="J30">
        <v>1</v>
      </c>
      <c r="K30">
        <v>2</v>
      </c>
      <c r="L30">
        <v>5</v>
      </c>
      <c r="M30">
        <v>1</v>
      </c>
      <c r="O30">
        <v>4</v>
      </c>
      <c r="P30">
        <v>1</v>
      </c>
      <c r="Q30">
        <v>2</v>
      </c>
      <c r="T30">
        <v>6</v>
      </c>
      <c r="X30">
        <v>2</v>
      </c>
      <c r="Y30">
        <v>2</v>
      </c>
      <c r="Z30">
        <v>1</v>
      </c>
      <c r="AA30">
        <v>1</v>
      </c>
      <c r="AB30">
        <v>1</v>
      </c>
      <c r="AC30">
        <v>3</v>
      </c>
      <c r="AF30">
        <v>4</v>
      </c>
      <c r="AI30">
        <v>1</v>
      </c>
      <c r="AL30">
        <v>1</v>
      </c>
      <c r="AN30">
        <v>1</v>
      </c>
      <c r="AR30">
        <v>2</v>
      </c>
      <c r="AS30">
        <v>3</v>
      </c>
      <c r="AT30">
        <v>1</v>
      </c>
      <c r="AW30">
        <v>2</v>
      </c>
      <c r="AX30">
        <v>5</v>
      </c>
      <c r="AY30">
        <v>3</v>
      </c>
      <c r="AZ30">
        <v>1</v>
      </c>
      <c r="BA30">
        <v>3</v>
      </c>
      <c r="BB30">
        <v>2</v>
      </c>
    </row>
    <row r="31" spans="1:55" x14ac:dyDescent="0.35">
      <c r="A31" t="s">
        <v>20</v>
      </c>
      <c r="B31">
        <v>1</v>
      </c>
      <c r="D31">
        <v>1</v>
      </c>
      <c r="F31">
        <v>2</v>
      </c>
      <c r="G31">
        <v>2</v>
      </c>
      <c r="H31">
        <v>4</v>
      </c>
      <c r="J31">
        <v>2</v>
      </c>
      <c r="K31">
        <v>2</v>
      </c>
      <c r="L31">
        <v>1</v>
      </c>
      <c r="M31">
        <v>1</v>
      </c>
      <c r="P31">
        <v>1</v>
      </c>
      <c r="Q31">
        <v>1</v>
      </c>
      <c r="R31">
        <v>3</v>
      </c>
      <c r="S31">
        <v>2</v>
      </c>
      <c r="T31">
        <v>2</v>
      </c>
      <c r="U31">
        <v>2</v>
      </c>
      <c r="W31">
        <v>3</v>
      </c>
      <c r="X31">
        <v>3</v>
      </c>
      <c r="Y31">
        <v>2</v>
      </c>
      <c r="AA31">
        <v>2</v>
      </c>
      <c r="AB31">
        <v>2</v>
      </c>
      <c r="AC31">
        <v>2</v>
      </c>
      <c r="AE31">
        <v>2</v>
      </c>
      <c r="AF31">
        <v>1</v>
      </c>
      <c r="AG31">
        <v>2</v>
      </c>
      <c r="AJ31">
        <v>4</v>
      </c>
      <c r="AK31">
        <v>2</v>
      </c>
      <c r="AM31">
        <v>1</v>
      </c>
      <c r="AN31">
        <v>1</v>
      </c>
      <c r="AO31">
        <v>1</v>
      </c>
      <c r="AP31">
        <v>1</v>
      </c>
      <c r="AU31">
        <v>1</v>
      </c>
      <c r="AV31">
        <v>1</v>
      </c>
      <c r="AW31">
        <v>2</v>
      </c>
      <c r="BA31">
        <v>1</v>
      </c>
    </row>
    <row r="32" spans="1:55" x14ac:dyDescent="0.35">
      <c r="A32" t="s">
        <v>80</v>
      </c>
      <c r="F32">
        <v>1</v>
      </c>
    </row>
    <row r="33" spans="1:55" hidden="1" x14ac:dyDescent="0.35">
      <c r="A33" t="s">
        <v>61</v>
      </c>
      <c r="D33">
        <v>1</v>
      </c>
    </row>
    <row r="34" spans="1:55" x14ac:dyDescent="0.35">
      <c r="A34" t="s">
        <v>374</v>
      </c>
      <c r="AW34">
        <v>2</v>
      </c>
    </row>
    <row r="35" spans="1:55" x14ac:dyDescent="0.35">
      <c r="A35" t="s">
        <v>19</v>
      </c>
      <c r="B35">
        <v>2</v>
      </c>
      <c r="C35">
        <v>1</v>
      </c>
      <c r="D35">
        <v>1</v>
      </c>
      <c r="F35">
        <v>4</v>
      </c>
      <c r="G35">
        <v>3</v>
      </c>
      <c r="H35">
        <v>1</v>
      </c>
      <c r="I35">
        <v>1</v>
      </c>
      <c r="M35">
        <v>2</v>
      </c>
      <c r="N35">
        <v>3</v>
      </c>
      <c r="T35">
        <v>1</v>
      </c>
      <c r="X35">
        <v>1</v>
      </c>
      <c r="AA35">
        <v>2</v>
      </c>
      <c r="AB35">
        <v>2</v>
      </c>
      <c r="AC35">
        <v>1</v>
      </c>
      <c r="AD35">
        <v>2</v>
      </c>
      <c r="AE35">
        <v>1</v>
      </c>
      <c r="AG35">
        <v>1</v>
      </c>
      <c r="AH35">
        <v>2</v>
      </c>
      <c r="AJ35">
        <v>1</v>
      </c>
      <c r="AM35">
        <v>4</v>
      </c>
      <c r="AN35">
        <v>1</v>
      </c>
      <c r="AP35">
        <v>1</v>
      </c>
      <c r="AR35">
        <v>1</v>
      </c>
      <c r="AS35">
        <v>1</v>
      </c>
      <c r="AT35">
        <v>1</v>
      </c>
      <c r="AV35">
        <v>1</v>
      </c>
      <c r="AZ35">
        <v>2</v>
      </c>
      <c r="BA35">
        <v>1</v>
      </c>
      <c r="BC35">
        <v>3</v>
      </c>
    </row>
    <row r="36" spans="1:55" x14ac:dyDescent="0.35">
      <c r="A36" t="s">
        <v>43</v>
      </c>
      <c r="AQ36">
        <v>2</v>
      </c>
    </row>
    <row r="37" spans="1:55" x14ac:dyDescent="0.35">
      <c r="A37" t="s">
        <v>68</v>
      </c>
      <c r="E37">
        <v>1</v>
      </c>
      <c r="I37">
        <v>1</v>
      </c>
      <c r="N37">
        <v>1</v>
      </c>
      <c r="W37">
        <v>2</v>
      </c>
      <c r="AQ37">
        <v>1</v>
      </c>
    </row>
    <row r="38" spans="1:55" hidden="1" x14ac:dyDescent="0.35">
      <c r="A38" t="s">
        <v>53</v>
      </c>
      <c r="N38">
        <v>1</v>
      </c>
    </row>
    <row r="39" spans="1:55" x14ac:dyDescent="0.35">
      <c r="A39" t="s">
        <v>368</v>
      </c>
      <c r="AM39">
        <v>5</v>
      </c>
      <c r="BB39">
        <v>9</v>
      </c>
    </row>
    <row r="40" spans="1:55" x14ac:dyDescent="0.35">
      <c r="A40" t="s">
        <v>345</v>
      </c>
      <c r="U40">
        <v>1</v>
      </c>
    </row>
    <row r="41" spans="1:55" x14ac:dyDescent="0.35">
      <c r="A41" t="s">
        <v>343</v>
      </c>
      <c r="AN41">
        <v>1</v>
      </c>
    </row>
    <row r="42" spans="1:55" x14ac:dyDescent="0.35">
      <c r="A42" t="s">
        <v>344</v>
      </c>
      <c r="X42">
        <v>1</v>
      </c>
      <c r="Y42">
        <v>2</v>
      </c>
      <c r="AF42">
        <v>2</v>
      </c>
    </row>
    <row r="43" spans="1:55" x14ac:dyDescent="0.35">
      <c r="A43" t="s">
        <v>10</v>
      </c>
      <c r="B43">
        <v>2</v>
      </c>
      <c r="C43">
        <v>3</v>
      </c>
      <c r="F43">
        <v>2</v>
      </c>
      <c r="I43">
        <v>2</v>
      </c>
      <c r="J43">
        <v>2</v>
      </c>
      <c r="K43">
        <v>1</v>
      </c>
      <c r="L43">
        <v>1</v>
      </c>
      <c r="M43">
        <v>1</v>
      </c>
      <c r="O43">
        <v>2</v>
      </c>
      <c r="R43">
        <v>3</v>
      </c>
      <c r="S43">
        <v>1</v>
      </c>
      <c r="T43">
        <v>1</v>
      </c>
      <c r="V43">
        <v>1</v>
      </c>
      <c r="W43">
        <v>3</v>
      </c>
      <c r="X43">
        <v>1</v>
      </c>
      <c r="Y43">
        <v>1</v>
      </c>
      <c r="Z43">
        <v>1.5</v>
      </c>
      <c r="AC43">
        <v>1</v>
      </c>
      <c r="AD43">
        <v>2</v>
      </c>
      <c r="AE43">
        <v>1</v>
      </c>
      <c r="AF43">
        <v>2</v>
      </c>
      <c r="AH43">
        <v>2</v>
      </c>
      <c r="AL43">
        <v>3</v>
      </c>
      <c r="AP43">
        <v>2</v>
      </c>
      <c r="AQ43">
        <v>4</v>
      </c>
      <c r="AR43">
        <v>3</v>
      </c>
      <c r="AS43">
        <v>0.5</v>
      </c>
      <c r="AU43">
        <v>2</v>
      </c>
      <c r="AV43">
        <v>1</v>
      </c>
      <c r="BC43">
        <v>1</v>
      </c>
    </row>
    <row r="44" spans="1:55" x14ac:dyDescent="0.35">
      <c r="A44" t="s">
        <v>46</v>
      </c>
      <c r="B44">
        <v>1</v>
      </c>
      <c r="O44">
        <v>3</v>
      </c>
      <c r="P44">
        <v>1</v>
      </c>
      <c r="Q44">
        <v>2</v>
      </c>
      <c r="AM44">
        <v>1</v>
      </c>
      <c r="AN44">
        <v>1</v>
      </c>
      <c r="AP44">
        <v>1</v>
      </c>
      <c r="AS44">
        <v>1</v>
      </c>
      <c r="AV44">
        <v>1</v>
      </c>
      <c r="AX44">
        <v>5</v>
      </c>
      <c r="AY44">
        <v>1</v>
      </c>
      <c r="BA44">
        <v>2</v>
      </c>
      <c r="BB44">
        <v>4</v>
      </c>
    </row>
    <row r="45" spans="1:55" x14ac:dyDescent="0.35">
      <c r="A45" t="s">
        <v>377</v>
      </c>
    </row>
    <row r="46" spans="1:55" x14ac:dyDescent="0.35">
      <c r="A46" t="s">
        <v>3</v>
      </c>
      <c r="F46">
        <v>3</v>
      </c>
      <c r="L46">
        <v>1</v>
      </c>
      <c r="S46">
        <v>3</v>
      </c>
      <c r="AH46">
        <v>1</v>
      </c>
    </row>
    <row r="47" spans="1:55" hidden="1" x14ac:dyDescent="0.35">
      <c r="A47" t="s">
        <v>350</v>
      </c>
    </row>
    <row r="48" spans="1:55" x14ac:dyDescent="0.35">
      <c r="A48" t="s">
        <v>56</v>
      </c>
      <c r="C48">
        <v>3</v>
      </c>
      <c r="E48">
        <v>2</v>
      </c>
      <c r="F48">
        <v>1</v>
      </c>
      <c r="G48">
        <v>2</v>
      </c>
      <c r="I48">
        <v>1</v>
      </c>
      <c r="J48">
        <v>1</v>
      </c>
      <c r="K48">
        <v>1</v>
      </c>
      <c r="L48">
        <v>1</v>
      </c>
      <c r="M48">
        <v>1</v>
      </c>
      <c r="P48">
        <v>1</v>
      </c>
      <c r="R48">
        <v>1</v>
      </c>
      <c r="S48">
        <v>4</v>
      </c>
      <c r="T48">
        <v>1</v>
      </c>
      <c r="V48">
        <v>1</v>
      </c>
      <c r="W48">
        <v>2</v>
      </c>
      <c r="Z48">
        <v>2</v>
      </c>
      <c r="AA48">
        <v>1</v>
      </c>
      <c r="AB48">
        <v>4</v>
      </c>
      <c r="AC48">
        <v>1</v>
      </c>
      <c r="AD48">
        <v>1</v>
      </c>
      <c r="AX48">
        <v>1</v>
      </c>
      <c r="AY48">
        <v>1</v>
      </c>
      <c r="AZ48">
        <v>2</v>
      </c>
    </row>
    <row r="49" spans="1:55" x14ac:dyDescent="0.35">
      <c r="A49" t="s">
        <v>369</v>
      </c>
      <c r="AN49">
        <v>3</v>
      </c>
    </row>
    <row r="50" spans="1:55" x14ac:dyDescent="0.35">
      <c r="A50" t="s">
        <v>60</v>
      </c>
      <c r="B50">
        <v>2</v>
      </c>
    </row>
    <row r="51" spans="1:55" x14ac:dyDescent="0.35">
      <c r="A51" t="s">
        <v>340</v>
      </c>
      <c r="Q51">
        <v>1</v>
      </c>
      <c r="U51">
        <v>1</v>
      </c>
      <c r="W51">
        <v>1</v>
      </c>
      <c r="X51">
        <v>3</v>
      </c>
      <c r="Y51">
        <v>1</v>
      </c>
      <c r="Z51">
        <v>1</v>
      </c>
    </row>
    <row r="52" spans="1:55" x14ac:dyDescent="0.35">
      <c r="A52" t="s">
        <v>339</v>
      </c>
    </row>
    <row r="53" spans="1:55" x14ac:dyDescent="0.35">
      <c r="A53" t="s">
        <v>11</v>
      </c>
    </row>
    <row r="54" spans="1:55" x14ac:dyDescent="0.35">
      <c r="A54" t="s">
        <v>55</v>
      </c>
      <c r="B54">
        <v>2</v>
      </c>
      <c r="C54">
        <v>1</v>
      </c>
      <c r="D54">
        <v>1</v>
      </c>
      <c r="E54">
        <v>1</v>
      </c>
      <c r="F54">
        <v>3</v>
      </c>
      <c r="G54">
        <v>2</v>
      </c>
      <c r="H54">
        <v>3</v>
      </c>
      <c r="J54">
        <v>1</v>
      </c>
      <c r="K54">
        <v>1</v>
      </c>
      <c r="M54">
        <v>3</v>
      </c>
      <c r="N54">
        <v>4</v>
      </c>
      <c r="X54">
        <v>6</v>
      </c>
      <c r="Y54">
        <v>5</v>
      </c>
      <c r="Z54">
        <v>1</v>
      </c>
      <c r="AD54">
        <v>2</v>
      </c>
      <c r="AG54">
        <v>3</v>
      </c>
      <c r="AJ54">
        <v>2</v>
      </c>
      <c r="AM54">
        <v>2</v>
      </c>
      <c r="AO54">
        <v>3</v>
      </c>
      <c r="AQ54">
        <v>2</v>
      </c>
      <c r="AT54">
        <v>1</v>
      </c>
      <c r="AU54">
        <v>4</v>
      </c>
      <c r="AV54">
        <v>2</v>
      </c>
      <c r="AX54">
        <v>1</v>
      </c>
      <c r="AY54">
        <v>2</v>
      </c>
      <c r="AZ54">
        <v>1</v>
      </c>
      <c r="BA54">
        <v>4</v>
      </c>
      <c r="BB54">
        <v>2</v>
      </c>
    </row>
    <row r="55" spans="1:55" x14ac:dyDescent="0.35">
      <c r="A55" t="s">
        <v>21</v>
      </c>
    </row>
    <row r="56" spans="1:55" x14ac:dyDescent="0.35">
      <c r="A56" t="s">
        <v>81</v>
      </c>
      <c r="G56">
        <v>3</v>
      </c>
      <c r="K56">
        <v>1</v>
      </c>
    </row>
    <row r="57" spans="1:55" x14ac:dyDescent="0.35">
      <c r="A57" t="s">
        <v>63</v>
      </c>
      <c r="B57">
        <v>2</v>
      </c>
      <c r="D57">
        <v>1</v>
      </c>
      <c r="AF57">
        <v>2</v>
      </c>
      <c r="AQ57">
        <v>3</v>
      </c>
    </row>
    <row r="58" spans="1:55" hidden="1" x14ac:dyDescent="0.35">
      <c r="A58" t="s">
        <v>83</v>
      </c>
    </row>
    <row r="59" spans="1:55" x14ac:dyDescent="0.35">
      <c r="A59" t="s">
        <v>22</v>
      </c>
      <c r="Y59">
        <v>1</v>
      </c>
      <c r="AB59">
        <v>2</v>
      </c>
      <c r="AD59">
        <v>3</v>
      </c>
      <c r="AI59">
        <v>1</v>
      </c>
      <c r="AR59">
        <v>4</v>
      </c>
      <c r="AV59">
        <v>3</v>
      </c>
      <c r="BA59">
        <v>2</v>
      </c>
      <c r="BB59">
        <v>5</v>
      </c>
    </row>
    <row r="60" spans="1:55" x14ac:dyDescent="0.35">
      <c r="A60" t="s">
        <v>376</v>
      </c>
      <c r="AU60">
        <v>1</v>
      </c>
      <c r="AV60">
        <v>1</v>
      </c>
      <c r="AW60">
        <v>3</v>
      </c>
      <c r="AX60">
        <v>1</v>
      </c>
      <c r="AZ60">
        <v>1</v>
      </c>
      <c r="BC60">
        <v>2</v>
      </c>
    </row>
    <row r="61" spans="1:55" x14ac:dyDescent="0.35">
      <c r="A61" t="s">
        <v>44</v>
      </c>
      <c r="N61">
        <v>3</v>
      </c>
      <c r="S61">
        <v>2</v>
      </c>
      <c r="AG61">
        <v>2</v>
      </c>
      <c r="AI61">
        <v>1</v>
      </c>
      <c r="AP61">
        <v>2</v>
      </c>
      <c r="AQ61">
        <v>1</v>
      </c>
      <c r="AR61">
        <v>3</v>
      </c>
      <c r="AW61">
        <v>1</v>
      </c>
      <c r="BA61">
        <v>1</v>
      </c>
    </row>
    <row r="62" spans="1:55" x14ac:dyDescent="0.35">
      <c r="A62" t="s">
        <v>8</v>
      </c>
      <c r="B62">
        <v>1</v>
      </c>
      <c r="H62">
        <v>1</v>
      </c>
      <c r="J62">
        <v>2</v>
      </c>
      <c r="Q62">
        <v>2</v>
      </c>
    </row>
    <row r="63" spans="1:55" hidden="1" x14ac:dyDescent="0.35">
      <c r="A63" t="s">
        <v>354</v>
      </c>
    </row>
    <row r="64" spans="1:55" x14ac:dyDescent="0.35">
      <c r="A64" t="s">
        <v>82</v>
      </c>
      <c r="B64">
        <v>2</v>
      </c>
      <c r="C64">
        <v>2</v>
      </c>
      <c r="D64">
        <v>1</v>
      </c>
      <c r="E64">
        <v>2</v>
      </c>
      <c r="F64">
        <v>1</v>
      </c>
      <c r="G64">
        <v>2</v>
      </c>
      <c r="H64">
        <v>2</v>
      </c>
      <c r="I64">
        <v>3</v>
      </c>
      <c r="J64">
        <v>4</v>
      </c>
      <c r="L64">
        <v>4</v>
      </c>
      <c r="M64">
        <v>1</v>
      </c>
      <c r="N64">
        <v>2</v>
      </c>
      <c r="O64">
        <v>1</v>
      </c>
      <c r="P64">
        <v>1</v>
      </c>
      <c r="Q64">
        <v>1</v>
      </c>
      <c r="R64">
        <v>3</v>
      </c>
      <c r="S64">
        <v>3</v>
      </c>
      <c r="U64">
        <v>3</v>
      </c>
      <c r="V64">
        <v>1</v>
      </c>
      <c r="W64">
        <v>3</v>
      </c>
      <c r="AC64">
        <v>1</v>
      </c>
      <c r="AF64">
        <v>1</v>
      </c>
      <c r="AH64">
        <v>2</v>
      </c>
      <c r="AI64">
        <v>3</v>
      </c>
      <c r="AJ64">
        <v>1</v>
      </c>
      <c r="AK64">
        <v>4</v>
      </c>
      <c r="AL64">
        <v>3</v>
      </c>
      <c r="AN64">
        <v>1</v>
      </c>
      <c r="AP64">
        <v>2</v>
      </c>
      <c r="AT64">
        <v>2</v>
      </c>
      <c r="AU64">
        <v>3</v>
      </c>
      <c r="AV64">
        <v>1</v>
      </c>
      <c r="AW64">
        <v>1</v>
      </c>
      <c r="AX64">
        <v>1</v>
      </c>
      <c r="AY64">
        <v>1</v>
      </c>
      <c r="AZ64">
        <v>2</v>
      </c>
      <c r="BC64">
        <v>2</v>
      </c>
    </row>
    <row r="65" spans="1:55" x14ac:dyDescent="0.35">
      <c r="A65" t="s">
        <v>49</v>
      </c>
      <c r="G65">
        <v>2</v>
      </c>
    </row>
    <row r="66" spans="1:55" x14ac:dyDescent="0.35">
      <c r="A66" t="s">
        <v>85</v>
      </c>
      <c r="K66">
        <v>4</v>
      </c>
      <c r="L66">
        <v>2</v>
      </c>
      <c r="M66">
        <v>5</v>
      </c>
    </row>
    <row r="67" spans="1:55" x14ac:dyDescent="0.35">
      <c r="A67" t="s">
        <v>5</v>
      </c>
      <c r="B67">
        <v>1</v>
      </c>
      <c r="C67">
        <v>2</v>
      </c>
      <c r="D67">
        <v>2</v>
      </c>
      <c r="E67">
        <v>3</v>
      </c>
      <c r="F67">
        <v>2</v>
      </c>
      <c r="G67">
        <v>3</v>
      </c>
      <c r="H67">
        <v>1</v>
      </c>
      <c r="M67">
        <v>4</v>
      </c>
      <c r="N67">
        <v>6</v>
      </c>
      <c r="P67">
        <v>2</v>
      </c>
      <c r="Q67">
        <v>1</v>
      </c>
      <c r="R67">
        <v>2</v>
      </c>
      <c r="S67">
        <v>3</v>
      </c>
      <c r="V67">
        <v>2</v>
      </c>
      <c r="W67">
        <v>1</v>
      </c>
      <c r="X67">
        <v>1</v>
      </c>
      <c r="Y67">
        <v>4</v>
      </c>
      <c r="Z67">
        <v>5</v>
      </c>
      <c r="AA67">
        <v>1</v>
      </c>
      <c r="AB67">
        <v>3</v>
      </c>
      <c r="AC67">
        <v>4</v>
      </c>
      <c r="AD67">
        <v>3</v>
      </c>
      <c r="AE67">
        <v>3</v>
      </c>
      <c r="AF67">
        <v>2</v>
      </c>
      <c r="AG67">
        <v>5</v>
      </c>
      <c r="AH67">
        <v>7</v>
      </c>
      <c r="AI67">
        <v>3</v>
      </c>
      <c r="AJ67">
        <v>1</v>
      </c>
      <c r="AK67">
        <v>1</v>
      </c>
      <c r="AL67">
        <v>6</v>
      </c>
      <c r="AR67">
        <v>3</v>
      </c>
      <c r="AS67">
        <v>2</v>
      </c>
      <c r="AV67">
        <v>2</v>
      </c>
      <c r="AW67">
        <v>1</v>
      </c>
      <c r="AX67">
        <v>4</v>
      </c>
      <c r="AY67">
        <v>3</v>
      </c>
      <c r="AZ67">
        <v>4</v>
      </c>
      <c r="BA67">
        <v>5</v>
      </c>
      <c r="BB67">
        <v>6</v>
      </c>
      <c r="BC67">
        <v>2</v>
      </c>
    </row>
    <row r="68" spans="1:55" x14ac:dyDescent="0.35">
      <c r="A68" t="s">
        <v>45</v>
      </c>
      <c r="K68">
        <v>1</v>
      </c>
    </row>
    <row r="69" spans="1:55" x14ac:dyDescent="0.35">
      <c r="A69" t="s">
        <v>367</v>
      </c>
      <c r="B69">
        <v>1</v>
      </c>
      <c r="D69">
        <v>1</v>
      </c>
      <c r="E69">
        <v>3</v>
      </c>
      <c r="O69">
        <v>2</v>
      </c>
      <c r="P69">
        <v>2</v>
      </c>
      <c r="Q69">
        <v>1</v>
      </c>
      <c r="R69">
        <v>1</v>
      </c>
      <c r="AD69">
        <v>1</v>
      </c>
      <c r="AE69">
        <v>1</v>
      </c>
      <c r="AG69">
        <v>1</v>
      </c>
      <c r="AH69">
        <v>2</v>
      </c>
      <c r="AL69">
        <v>3</v>
      </c>
      <c r="AM69">
        <v>2</v>
      </c>
      <c r="AN69">
        <v>1</v>
      </c>
      <c r="AO69">
        <v>1</v>
      </c>
      <c r="AR69">
        <v>1</v>
      </c>
      <c r="AS69">
        <v>1</v>
      </c>
      <c r="AT69">
        <v>1</v>
      </c>
      <c r="AV69">
        <v>1</v>
      </c>
      <c r="AW69">
        <v>2</v>
      </c>
    </row>
    <row r="70" spans="1:55" hidden="1" x14ac:dyDescent="0.35">
      <c r="A70" t="s">
        <v>352</v>
      </c>
      <c r="Z70">
        <v>1</v>
      </c>
    </row>
    <row r="71" spans="1:55" hidden="1" x14ac:dyDescent="0.35">
      <c r="A71" t="s">
        <v>366</v>
      </c>
    </row>
    <row r="72" spans="1:55" x14ac:dyDescent="0.35">
      <c r="A72" t="s">
        <v>17</v>
      </c>
      <c r="F72">
        <v>2</v>
      </c>
      <c r="J72">
        <v>1</v>
      </c>
      <c r="K72">
        <v>1</v>
      </c>
    </row>
    <row r="73" spans="1:55" hidden="1" x14ac:dyDescent="0.35">
      <c r="A73" t="s">
        <v>86</v>
      </c>
      <c r="K73">
        <v>5</v>
      </c>
    </row>
    <row r="74" spans="1:55" x14ac:dyDescent="0.35">
      <c r="A74" t="s">
        <v>16</v>
      </c>
      <c r="C74">
        <v>4</v>
      </c>
      <c r="D74">
        <v>3</v>
      </c>
      <c r="F74">
        <v>2</v>
      </c>
      <c r="G74">
        <v>5</v>
      </c>
      <c r="H74">
        <v>3</v>
      </c>
      <c r="I74">
        <v>2</v>
      </c>
      <c r="J74">
        <v>5</v>
      </c>
      <c r="K74">
        <v>3</v>
      </c>
      <c r="L74">
        <v>2</v>
      </c>
      <c r="M74">
        <v>3</v>
      </c>
      <c r="O74">
        <v>5</v>
      </c>
      <c r="P74">
        <v>5</v>
      </c>
      <c r="Q74">
        <v>3</v>
      </c>
      <c r="R74">
        <v>2</v>
      </c>
      <c r="S74">
        <v>3</v>
      </c>
      <c r="T74">
        <v>1</v>
      </c>
      <c r="U74">
        <v>1</v>
      </c>
      <c r="V74">
        <v>3</v>
      </c>
      <c r="W74">
        <v>3</v>
      </c>
      <c r="X74">
        <v>5</v>
      </c>
      <c r="Y74">
        <v>4</v>
      </c>
      <c r="Z74">
        <v>1</v>
      </c>
      <c r="AA74">
        <v>3</v>
      </c>
      <c r="AC74">
        <v>1</v>
      </c>
      <c r="AE74">
        <v>4</v>
      </c>
      <c r="AF74">
        <v>2</v>
      </c>
      <c r="AG74">
        <v>3</v>
      </c>
      <c r="AH74">
        <v>2</v>
      </c>
      <c r="AI74">
        <v>2</v>
      </c>
      <c r="AJ74">
        <v>7</v>
      </c>
      <c r="AK74">
        <v>3</v>
      </c>
      <c r="AL74">
        <v>5</v>
      </c>
      <c r="AM74">
        <v>1</v>
      </c>
      <c r="AN74">
        <v>4</v>
      </c>
      <c r="AO74">
        <v>3</v>
      </c>
      <c r="AP74">
        <v>6</v>
      </c>
      <c r="AQ74">
        <v>4</v>
      </c>
      <c r="AR74">
        <v>5</v>
      </c>
      <c r="AS74">
        <v>3</v>
      </c>
      <c r="AT74">
        <v>2</v>
      </c>
      <c r="AU74">
        <v>2</v>
      </c>
      <c r="AW74">
        <v>3</v>
      </c>
      <c r="AY74">
        <v>1</v>
      </c>
      <c r="AZ74">
        <v>3</v>
      </c>
      <c r="BB74">
        <v>4</v>
      </c>
      <c r="BC74">
        <v>4</v>
      </c>
    </row>
    <row r="75" spans="1:55" hidden="1" x14ac:dyDescent="0.35">
      <c r="A75" t="s">
        <v>47</v>
      </c>
    </row>
  </sheetData>
  <autoFilter ref="A1:AB75" xr:uid="{130C2564-D265-4C41-A3E0-02A62EDAC91D}">
    <sortState ref="A2:AB75">
      <sortCondition ref="A1:A75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2025-11-06T12:48:56Z</dcterms:modified>
</cp:coreProperties>
</file>