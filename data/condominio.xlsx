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18" documentId="14_{0C1905BB-B4B8-4F5B-9F29-FEFBC7ECF02C}" xr6:coauthVersionLast="36" xr6:coauthVersionMax="36" xr10:uidLastSave="{6CE4F743-8EB4-4866-A2D5-A7A1DD10CF79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artilharia!$A$1:$AB$88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notas!$A$1:$CX$83</definedName>
  </definedNames>
  <calcPr calcId="191029"/>
</workbook>
</file>

<file path=xl/calcChain.xml><?xml version="1.0" encoding="utf-8"?>
<calcChain xmlns="http://schemas.openxmlformats.org/spreadsheetml/2006/main">
  <c r="CS88" i="1" l="1"/>
  <c r="CT88" i="1"/>
  <c r="CU88" i="1"/>
  <c r="CW88" i="1"/>
  <c r="CX88" i="1" s="1"/>
  <c r="CS32" i="1"/>
  <c r="CT32" i="1"/>
  <c r="CS12" i="1"/>
  <c r="CT12" i="1"/>
  <c r="CS2" i="1"/>
  <c r="CT2" i="1"/>
  <c r="CS87" i="1" l="1"/>
  <c r="CT87" i="1"/>
  <c r="CU87" i="1"/>
  <c r="CW87" i="1"/>
  <c r="CX87" i="1"/>
  <c r="CS85" i="1"/>
  <c r="CT85" i="1"/>
  <c r="CU85" i="1"/>
  <c r="CW85" i="1"/>
  <c r="CX85" i="1"/>
  <c r="CS86" i="1"/>
  <c r="CU86" i="1" s="1"/>
  <c r="CT86" i="1"/>
  <c r="CW86" i="1"/>
  <c r="CX86" i="1"/>
  <c r="W87" i="4" l="1"/>
  <c r="CS84" i="1" l="1"/>
  <c r="CU84" i="1" s="1"/>
  <c r="CT84" i="1"/>
  <c r="CW84" i="1"/>
  <c r="CX84" i="1"/>
  <c r="W85" i="4" l="1"/>
  <c r="V87" i="4"/>
  <c r="U87" i="4" l="1"/>
  <c r="W19" i="4"/>
  <c r="W86" i="4"/>
  <c r="CW3" i="1"/>
  <c r="CW4" i="1"/>
  <c r="CW6" i="1"/>
  <c r="CW7" i="1"/>
  <c r="CW5" i="1"/>
  <c r="CW10" i="1"/>
  <c r="CW11" i="1"/>
  <c r="CW12" i="1"/>
  <c r="CW13" i="1"/>
  <c r="CW16" i="1"/>
  <c r="CW17" i="1"/>
  <c r="CW18" i="1"/>
  <c r="CW21" i="1"/>
  <c r="CW22" i="1"/>
  <c r="CW20" i="1"/>
  <c r="CW23" i="1"/>
  <c r="CW32" i="1"/>
  <c r="CW8" i="1"/>
  <c r="CW9" i="1"/>
  <c r="CW14" i="1"/>
  <c r="CW15" i="1"/>
  <c r="CW19" i="1"/>
  <c r="CW24" i="1"/>
  <c r="CW25" i="1"/>
  <c r="CW26" i="1"/>
  <c r="CW27" i="1"/>
  <c r="CW28" i="1"/>
  <c r="CW29" i="1"/>
  <c r="CW30" i="1"/>
  <c r="CW31" i="1"/>
  <c r="CW33" i="1"/>
  <c r="CW34" i="1"/>
  <c r="CW35" i="1"/>
  <c r="CW36" i="1"/>
  <c r="CW37" i="1"/>
  <c r="CW38" i="1"/>
  <c r="CW39" i="1"/>
  <c r="CW40" i="1"/>
  <c r="CW42" i="1"/>
  <c r="CW43" i="1"/>
  <c r="CW44" i="1"/>
  <c r="CW45" i="1"/>
  <c r="CW46" i="1"/>
  <c r="CW47" i="1"/>
  <c r="CW41" i="1"/>
  <c r="CW48" i="1"/>
  <c r="CW49" i="1"/>
  <c r="CW50" i="1"/>
  <c r="CW53" i="1"/>
  <c r="CW54" i="1"/>
  <c r="CW55" i="1"/>
  <c r="CW56" i="1"/>
  <c r="CW57" i="1"/>
  <c r="CW58" i="1"/>
  <c r="CW51" i="1"/>
  <c r="CW52" i="1"/>
  <c r="CW59" i="1"/>
  <c r="CW60" i="1"/>
  <c r="CW64" i="1"/>
  <c r="CW65" i="1"/>
  <c r="CW66" i="1"/>
  <c r="CW67" i="1"/>
  <c r="CW68" i="1"/>
  <c r="CW61" i="1"/>
  <c r="CW69" i="1"/>
  <c r="CW62" i="1"/>
  <c r="CW70" i="1"/>
  <c r="CW71" i="1"/>
  <c r="CW72" i="1"/>
  <c r="CW73" i="1"/>
  <c r="CW74" i="1"/>
  <c r="CW75" i="1"/>
  <c r="CW76" i="1"/>
  <c r="CW77" i="1"/>
  <c r="CW78" i="1"/>
  <c r="CW79" i="1"/>
  <c r="CW80" i="1"/>
  <c r="CW81" i="1"/>
  <c r="CW63" i="1"/>
  <c r="CW82" i="1"/>
  <c r="CW83" i="1"/>
  <c r="CW2" i="1"/>
  <c r="W88" i="4" l="1"/>
  <c r="CS23" i="1"/>
  <c r="CT23" i="1"/>
  <c r="CS13" i="1"/>
  <c r="CT13" i="1"/>
  <c r="CS18" i="1" l="1"/>
  <c r="CT18" i="1"/>
  <c r="CS17" i="1"/>
  <c r="CT17" i="1"/>
  <c r="CS5" i="1"/>
  <c r="CT5" i="1"/>
  <c r="CS7" i="1"/>
  <c r="CT7" i="1"/>
  <c r="CS6" i="1"/>
  <c r="CT6" i="1"/>
  <c r="CS3" i="1" l="1"/>
  <c r="CT3" i="1"/>
  <c r="U88" i="4" l="1"/>
  <c r="T87" i="4"/>
  <c r="V85" i="4" l="1"/>
  <c r="V81" i="4"/>
  <c r="V86" i="4"/>
  <c r="V88" i="4" l="1"/>
  <c r="CS20" i="1"/>
  <c r="CT20" i="1"/>
  <c r="CS83" i="1" l="1"/>
  <c r="CU83" i="1" s="1"/>
  <c r="CT83" i="1"/>
  <c r="CX83" i="1"/>
  <c r="CU3" i="1"/>
  <c r="CX3" i="1"/>
  <c r="CS4" i="1"/>
  <c r="CU4" i="1" s="1"/>
  <c r="CT4" i="1"/>
  <c r="CX4" i="1"/>
  <c r="CS8" i="1"/>
  <c r="CT8" i="1"/>
  <c r="CU8" i="1"/>
  <c r="CX8" i="1"/>
  <c r="CS9" i="1"/>
  <c r="CU9" i="1" s="1"/>
  <c r="CT9" i="1"/>
  <c r="CX9" i="1"/>
  <c r="CU6" i="1"/>
  <c r="CX6" i="1"/>
  <c r="CU7" i="1"/>
  <c r="CX7" i="1"/>
  <c r="CU5" i="1"/>
  <c r="CX5" i="1"/>
  <c r="CS10" i="1"/>
  <c r="CU10" i="1" s="1"/>
  <c r="CT10" i="1"/>
  <c r="CX10" i="1"/>
  <c r="CS11" i="1"/>
  <c r="CU11" i="1" s="1"/>
  <c r="CT11" i="1"/>
  <c r="CX11" i="1"/>
  <c r="CU12" i="1"/>
  <c r="CX12" i="1"/>
  <c r="CU13" i="1"/>
  <c r="CX13" i="1"/>
  <c r="CS16" i="1"/>
  <c r="CT16" i="1"/>
  <c r="CU16" i="1"/>
  <c r="CX16" i="1"/>
  <c r="CU17" i="1"/>
  <c r="CX17" i="1"/>
  <c r="CU18" i="1"/>
  <c r="CX18" i="1"/>
  <c r="CS21" i="1"/>
  <c r="CU21" i="1" s="1"/>
  <c r="CT21" i="1"/>
  <c r="CX21" i="1"/>
  <c r="CS22" i="1"/>
  <c r="CT22" i="1"/>
  <c r="CU22" i="1"/>
  <c r="CX22" i="1"/>
  <c r="CU20" i="1"/>
  <c r="CX20" i="1"/>
  <c r="CS14" i="1"/>
  <c r="CU14" i="1" s="1"/>
  <c r="CT14" i="1"/>
  <c r="CX14" i="1"/>
  <c r="CS15" i="1"/>
  <c r="CT15" i="1"/>
  <c r="CU15" i="1"/>
  <c r="CX15" i="1"/>
  <c r="CS19" i="1"/>
  <c r="CU19" i="1" s="1"/>
  <c r="CT19" i="1"/>
  <c r="CX19" i="1"/>
  <c r="CS24" i="1"/>
  <c r="CU24" i="1" s="1"/>
  <c r="CT24" i="1"/>
  <c r="CX24" i="1"/>
  <c r="CU23" i="1"/>
  <c r="CX23" i="1"/>
  <c r="CS25" i="1"/>
  <c r="CU25" i="1" s="1"/>
  <c r="CT25" i="1"/>
  <c r="CX25" i="1"/>
  <c r="CS26" i="1"/>
  <c r="CU26" i="1" s="1"/>
  <c r="CT26" i="1"/>
  <c r="CX26" i="1"/>
  <c r="CS27" i="1"/>
  <c r="CU27" i="1" s="1"/>
  <c r="CT27" i="1"/>
  <c r="CX27" i="1"/>
  <c r="CS28" i="1"/>
  <c r="CU28" i="1" s="1"/>
  <c r="CT28" i="1"/>
  <c r="CX28" i="1"/>
  <c r="CS29" i="1"/>
  <c r="CU29" i="1" s="1"/>
  <c r="CT29" i="1"/>
  <c r="CX29" i="1"/>
  <c r="CS30" i="1"/>
  <c r="CT30" i="1"/>
  <c r="CU30" i="1"/>
  <c r="CX30" i="1"/>
  <c r="CS31" i="1"/>
  <c r="CU31" i="1" s="1"/>
  <c r="CT31" i="1"/>
  <c r="CX31" i="1"/>
  <c r="CS33" i="1"/>
  <c r="CU33" i="1" s="1"/>
  <c r="CT33" i="1"/>
  <c r="CX33" i="1"/>
  <c r="CS34" i="1"/>
  <c r="CU34" i="1" s="1"/>
  <c r="CT34" i="1"/>
  <c r="CX34" i="1"/>
  <c r="CS35" i="1"/>
  <c r="CU35" i="1" s="1"/>
  <c r="CT35" i="1"/>
  <c r="CX35" i="1"/>
  <c r="CS36" i="1"/>
  <c r="CU36" i="1" s="1"/>
  <c r="CT36" i="1"/>
  <c r="CX36" i="1"/>
  <c r="CS37" i="1"/>
  <c r="CU37" i="1" s="1"/>
  <c r="CT37" i="1"/>
  <c r="CX37" i="1"/>
  <c r="CS38" i="1"/>
  <c r="CT38" i="1"/>
  <c r="CU38" i="1"/>
  <c r="CX38" i="1"/>
  <c r="CU32" i="1"/>
  <c r="CX32" i="1"/>
  <c r="CS39" i="1"/>
  <c r="CU39" i="1" s="1"/>
  <c r="CT39" i="1"/>
  <c r="CX39" i="1"/>
  <c r="CS40" i="1"/>
  <c r="CU40" i="1" s="1"/>
  <c r="CT40" i="1"/>
  <c r="CX40" i="1"/>
  <c r="CS42" i="1"/>
  <c r="CU42" i="1" s="1"/>
  <c r="CT42" i="1"/>
  <c r="CX42" i="1"/>
  <c r="CS43" i="1"/>
  <c r="CU43" i="1" s="1"/>
  <c r="CT43" i="1"/>
  <c r="CX43" i="1"/>
  <c r="CS44" i="1"/>
  <c r="CU44" i="1" s="1"/>
  <c r="CT44" i="1"/>
  <c r="CX44" i="1"/>
  <c r="CS45" i="1"/>
  <c r="CT45" i="1"/>
  <c r="CU45" i="1"/>
  <c r="CX45" i="1"/>
  <c r="CS46" i="1"/>
  <c r="CT46" i="1"/>
  <c r="CU46" i="1"/>
  <c r="CX46" i="1"/>
  <c r="CS47" i="1"/>
  <c r="CU47" i="1" s="1"/>
  <c r="CT47" i="1"/>
  <c r="CX47" i="1"/>
  <c r="CS41" i="1"/>
  <c r="CU41" i="1" s="1"/>
  <c r="CT41" i="1"/>
  <c r="CX41" i="1"/>
  <c r="CS48" i="1"/>
  <c r="CU48" i="1" s="1"/>
  <c r="CT48" i="1"/>
  <c r="CX48" i="1"/>
  <c r="CS49" i="1"/>
  <c r="CU49" i="1" s="1"/>
  <c r="CT49" i="1"/>
  <c r="CX49" i="1"/>
  <c r="CS50" i="1"/>
  <c r="CT50" i="1"/>
  <c r="CU50" i="1"/>
  <c r="CX50" i="1"/>
  <c r="CS53" i="1"/>
  <c r="CU53" i="1" s="1"/>
  <c r="CT53" i="1"/>
  <c r="CX53" i="1"/>
  <c r="CS54" i="1"/>
  <c r="CT54" i="1"/>
  <c r="CU54" i="1"/>
  <c r="CX54" i="1"/>
  <c r="CS55" i="1"/>
  <c r="CU55" i="1" s="1"/>
  <c r="CT55" i="1"/>
  <c r="CX55" i="1"/>
  <c r="CS56" i="1"/>
  <c r="CU56" i="1" s="1"/>
  <c r="CT56" i="1"/>
  <c r="CX56" i="1"/>
  <c r="CS57" i="1"/>
  <c r="CT57" i="1"/>
  <c r="CU57" i="1"/>
  <c r="CX57" i="1"/>
  <c r="CS58" i="1"/>
  <c r="CU58" i="1" s="1"/>
  <c r="CT58" i="1"/>
  <c r="CX58" i="1"/>
  <c r="CS51" i="1"/>
  <c r="CU51" i="1" s="1"/>
  <c r="CT51" i="1"/>
  <c r="CX51" i="1"/>
  <c r="CS52" i="1"/>
  <c r="CU52" i="1" s="1"/>
  <c r="CT52" i="1"/>
  <c r="CX52" i="1"/>
  <c r="CS59" i="1"/>
  <c r="CU59" i="1" s="1"/>
  <c r="CT59" i="1"/>
  <c r="CX59" i="1"/>
  <c r="CS60" i="1"/>
  <c r="CU60" i="1" s="1"/>
  <c r="CT60" i="1"/>
  <c r="CX60" i="1"/>
  <c r="CS64" i="1"/>
  <c r="CU64" i="1" s="1"/>
  <c r="CT64" i="1"/>
  <c r="CX64" i="1"/>
  <c r="CS65" i="1"/>
  <c r="CT65" i="1"/>
  <c r="CU65" i="1"/>
  <c r="CX65" i="1"/>
  <c r="CS66" i="1"/>
  <c r="CU66" i="1" s="1"/>
  <c r="CT66" i="1"/>
  <c r="CX66" i="1"/>
  <c r="CS67" i="1"/>
  <c r="CU67" i="1" s="1"/>
  <c r="CT67" i="1"/>
  <c r="CX67" i="1"/>
  <c r="CS68" i="1"/>
  <c r="CU68" i="1" s="1"/>
  <c r="CT68" i="1"/>
  <c r="CX68" i="1"/>
  <c r="CS61" i="1"/>
  <c r="CT61" i="1"/>
  <c r="CU61" i="1"/>
  <c r="CX61" i="1"/>
  <c r="CS69" i="1"/>
  <c r="CU69" i="1" s="1"/>
  <c r="CT69" i="1"/>
  <c r="CX69" i="1"/>
  <c r="CS62" i="1"/>
  <c r="CU62" i="1" s="1"/>
  <c r="CT62" i="1"/>
  <c r="CX62" i="1"/>
  <c r="CS70" i="1"/>
  <c r="CU70" i="1" s="1"/>
  <c r="CT70" i="1"/>
  <c r="CX70" i="1"/>
  <c r="CS71" i="1"/>
  <c r="CU71" i="1" s="1"/>
  <c r="CT71" i="1"/>
  <c r="CX71" i="1"/>
  <c r="CS72" i="1"/>
  <c r="CU72" i="1" s="1"/>
  <c r="CT72" i="1"/>
  <c r="CX72" i="1"/>
  <c r="CS73" i="1"/>
  <c r="CU73" i="1" s="1"/>
  <c r="CT73" i="1"/>
  <c r="CX73" i="1"/>
  <c r="CS74" i="1"/>
  <c r="CU74" i="1" s="1"/>
  <c r="CT74" i="1"/>
  <c r="CX74" i="1"/>
  <c r="CS75" i="1"/>
  <c r="CT75" i="1"/>
  <c r="CU75" i="1"/>
  <c r="CX75" i="1"/>
  <c r="CS76" i="1"/>
  <c r="CU76" i="1" s="1"/>
  <c r="CT76" i="1"/>
  <c r="CX76" i="1"/>
  <c r="CS77" i="1"/>
  <c r="CU77" i="1" s="1"/>
  <c r="CT77" i="1"/>
  <c r="CX77" i="1"/>
  <c r="CS78" i="1"/>
  <c r="CU78" i="1" s="1"/>
  <c r="CT78" i="1"/>
  <c r="CX78" i="1"/>
  <c r="CS79" i="1"/>
  <c r="CU79" i="1" s="1"/>
  <c r="CT79" i="1"/>
  <c r="CX79" i="1"/>
  <c r="CS80" i="1"/>
  <c r="CU80" i="1" s="1"/>
  <c r="CT80" i="1"/>
  <c r="CX80" i="1"/>
  <c r="CS81" i="1"/>
  <c r="CU81" i="1" s="1"/>
  <c r="CT81" i="1"/>
  <c r="CX81" i="1"/>
  <c r="CS63" i="1"/>
  <c r="CU63" i="1" s="1"/>
  <c r="CT63" i="1"/>
  <c r="CX63" i="1"/>
  <c r="CS82" i="1"/>
  <c r="CU82" i="1" s="1"/>
  <c r="CT82" i="1"/>
  <c r="CX82" i="1"/>
  <c r="S87" i="4" l="1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X2" i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U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AA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AA7" i="4"/>
  <c r="AA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<sst xmlns="http://schemas.openxmlformats.org/spreadsheetml/2006/main" count="9328" uniqueCount="398">
  <si>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</si>
  <si>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</si>
  <si>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</si>
  <si>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</si>
  <si>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</si>
  <si>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</si>
  <si>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</si>
  <si>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</si>
  <si>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</si>
  <si>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</si>
  <si>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</si>
  <si>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</si>
  <si>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</si>
  <si>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</si>
  <si>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</si>
  <si>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</si>
  <si>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</si>
  <si>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</si>
  <si>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</si>
  <si>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</si>
  <si>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</si>
  <si>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</si>
  <si>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</si>
  <si>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</si>
  <si>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</si>
  <si>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</si>
  <si>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</si>
  <si>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</si>
  <si>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</si>
  <si>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</si>
  <si>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</si>
  <si>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</si>
  <si>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</si>
  <si>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</si>
  <si>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</si>
  <si>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</si>
  <si>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</si>
  <si>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</si>
  <si>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</si>
  <si>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</si>
  <si>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</si>
  <si>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</si>
  <si>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</si>
  <si>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</si>
  <si>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</si>
  <si>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</si>
  <si>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</si>
  <si>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</si>
  <si>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</si>
  <si>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</si>
  <si>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</si>
  <si>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</si>
  <si>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</si>
  <si>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</si>
  <si>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</si>
  <si>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</si>
  <si>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</si>
  <si>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</si>
  <si>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</si>
  <si>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</si>
  <si>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</si>
  <si>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</si>
  <si>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</si>
  <si>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</si>
  <si>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</si>
  <si>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</si>
  <si>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</si>
  <si>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</si>
  <si>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</si>
  <si>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</si>
  <si>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</si>
  <si>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</si>
  <si>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</si>
  <si>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</si>
  <si>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</si>
  <si>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</si>
  <si>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</si>
  <si>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</si>
  <si>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</si>
  <si>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</si>
  <si>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</si>
  <si>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</si>
  <si>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</si>
  <si>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</si>
  <si>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</si>
  <si>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</si>
  <si>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</si>
  <si>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</si>
  <si>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</si>
  <si>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</si>
  <si>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</si>
  <si>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</si>
  <si>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</si>
  <si>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</si>
  <si>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</si>
  <si>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</si>
  <si>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</si>
  <si>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</si>
  <si>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</si>
  <si>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</si>
  <si>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</si>
  <si>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</si>
  <si>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</si>
  <si>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</si>
  <si>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</si>
  <si>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</si>
  <si>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</si>
  <si>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</si>
  <si>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</si>
  <si>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</si>
  <si>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</si>
  <si>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</si>
  <si>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</si>
  <si>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</si>
  <si>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</si>
  <si>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</si>
  <si>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</si>
  <si>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</si>
  <si>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</si>
  <si>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</si>
  <si>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</si>
  <si>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</si>
  <si>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</si>
  <si>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</si>
  <si>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</si>
  <si>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</si>
  <si>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</si>
  <si>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</si>
  <si>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</si>
  <si>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</si>
  <si>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</si>
  <si>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</si>
  <si>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</si>
  <si>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</si>
  <si>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</si>
  <si>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</si>
  <si>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</si>
  <si>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</si>
  <si>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</si>
  <si>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</si>
  <si>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</si>
  <si>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</si>
  <si>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</si>
  <si>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</si>
  <si>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</si>
  <si>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</si>
  <si>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</si>
  <si>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</si>
  <si>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</si>
  <si>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</si>
  <si>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</si>
  <si>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</si>
  <si>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</si>
  <si>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</si>
  <si>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</si>
  <si>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</si>
  <si>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</si>
  <si>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</si>
  <si>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</si>
  <si>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</si>
  <si>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</si>
  <si>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</si>
  <si>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</si>
  <si>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</si>
  <si>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</si>
  <si>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</si>
  <si>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</si>
  <si>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</si>
  <si>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</si>
  <si>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</si>
  <si>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</si>
  <si>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</si>
  <si>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</si>
  <si>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</si>
  <si>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</si>
  <si>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</si>
  <si>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</si>
  <si>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</si>
  <si>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</si>
  <si>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</si>
  <si>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</si>
  <si>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</si>
  <si>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</si>
  <si>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</si>
  <si>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</si>
  <si>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</si>
  <si>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</si>
  <si>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</si>
  <si>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</si>
  <si>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</si>
  <si>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</si>
  <si>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</si>
  <si>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</si>
  <si>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</si>
  <si>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</si>
  <si>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</si>
  <si>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</si>
  <si>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</si>
  <si>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</si>
  <si>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</si>
  <si>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</si>
  <si>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</si>
  <si>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</si>
  <si>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</si>
  <si>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</si>
  <si>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</si>
  <si>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</si>
  <si>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</si>
  <si>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</si>
  <si>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</si>
  <si>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</si>
  <si>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</si>
  <si>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</si>
  <si>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</si>
  <si>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</si>
  <si>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</si>
  <si>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</si>
  <si>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</si>
  <si>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</si>
  <si>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</si>
  <si>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</si>
  <si>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</si>
  <si>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</si>
  <si>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</si>
  <si>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</si>
  <si>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</si>
  <si>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</si>
  <si>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</si>
  <si>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</si>
  <si>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</si>
  <si>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</si>
  <si>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</si>
  <si>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</si>
  <si>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</si>
  <si>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</si>
  <si>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</si>
  <si>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</si>
  <si>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</si>
  <si>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</si>
  <si>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</si>
  <si>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</si>
  <si>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</si>
  <si>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</si>
  <si>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</si>
  <si>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</si>
  <si>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</si>
  <si>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</si>
  <si>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</si>
  <si>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</si>
  <si>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</si>
  <si>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</si>
  <si>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</si>
  <si>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</si>
  <si>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</si>
  <si>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</si>
  <si>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</si>
  <si>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</si>
  <si>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</si>
  <si>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</si>
  <si>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</si>
  <si>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</si>
  <si>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</si>
  <si>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</si>
  <si>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</si>
  <si>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</si>
  <si>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</si>
  <si>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</si>
  <si>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</si>
  <si>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</si>
  <si>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</si>
  <si>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</si>
  <si>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</si>
  <si>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</si>
  <si>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</si>
  <si>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</si>
  <si>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</si>
  <si>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</si>
  <si>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</si>
  <si>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</si>
  <si>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</si>
  <si>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</si>
  <si>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</si>
  <si>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</si>
  <si>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</si>
  <si>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</si>
  <si>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</si>
  <si>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</si>
  <si>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</si>
  <si>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</si>
  <si>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</si>
  <si>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</si>
  <si>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</si>
  <si>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</si>
  <si>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</si>
  <si>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</si>
  <si>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</si>
  <si>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</si>
  <si>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</si>
  <si>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</si>
  <si>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</si>
  <si>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</si>
  <si>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</si>
  <si>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</si>
  <si>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</si>
  <si>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</si>
  <si>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</si>
  <si>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</si>
  <si>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</si>
  <si>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</si>
  <si>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</si>
  <si>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</si>
  <si>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</si>
  <si>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</si>
  <si>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</si>
  <si>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</si>
  <si>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</si>
  <si>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</si>
  <si>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</si>
  <si>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</si>
  <si>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</si>
  <si>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</si>
  <si>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</si>
  <si>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</si>
  <si>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</si>
  <si>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</si>
  <si>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</si>
  <si>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</si>
  <si>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</si>
  <si>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</si>
  <si>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</si>
  <si>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</si>
  <si>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</si>
  <si>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</si>
  <si>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</si>
  <si>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</si>
  <si>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</si>
  <si>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</si>
  <si>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</si>
  <si>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</si>
  <si>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</si>
  <si>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</si>
  <si>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</si>
  <si>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</si>
  <si>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</si>
  <si>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</si>
  <si>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</si>
  <si>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</si>
  <si>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</si>
  <si>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</si>
  <si>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</si>
  <si>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</si>
  <si>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</si>
  <si>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</si>
  <si>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</si>
  <si>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</si>
  <si>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</si>
  <si>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</si>
  <si>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</si>
  <si>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</si>
  <si>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</si>
  <si>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</si>
  <si>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</si>
  <si>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</si>
  <si>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</si>
  <si>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</si>
  <si>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</si>
  <si>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</si>
  <si>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</si>
  <si>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</si>
  <si>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</si>
  <si>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</si>
  <si>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</si>
  <si>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</si>
  <si>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</si>
  <si>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</si>
  <si>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</si>
  <si>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</si>
  <si>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</si>
  <si>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</si>
  <si>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</si>
  <si>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</si>
  <si>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</si>
  <si>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</si>
  <si>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</si>
  <si>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</si>
  <si>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</si>
  <si>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</si>
  <si>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</si>
  <si>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</si>
  <si>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</si>
  <si>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</si>
  <si>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</si>
  <si>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mar</t>
  </si>
  <si>
    <t>Bernardo Impactus</t>
  </si>
  <si>
    <t>Joshua</t>
  </si>
  <si>
    <t>Caio (Octavio)</t>
  </si>
  <si>
    <t>Leo MJ</t>
  </si>
  <si>
    <t>Caio Brandão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</si>
</sst>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88"/>
  <sheetViews>
    <sheetView zoomScale="85" zoomScaleNormal="85" workbookViewId="0">
      <pane xSplit="1" topLeftCell="CN1" activePane="topRight" state="frozen"/>
      <selection pane="topRight" activeCell="CR86" sqref="CR86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6" width="11" customWidth="1"/>
  </cols>
  <sheetData>
    <row r="1" spans="1:102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/>
      <c r="CS1" t="s">
        <v>57</v>
      </c>
      <c r="CT1" t="s">
        <v>58</v>
      </c>
      <c r="CU1" t="s">
        <v>59</v>
      </c>
      <c r="CV1" t="s">
        <v>62</v>
      </c>
      <c r="CW1" t="s">
        <v>392</v>
      </c>
      <c r="CX1" t="s">
        <v>384</v>
      </c>
    </row>
    <row r="2" spans="1:102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S2">
        <f>COUNT(B2:CQ2)</f>
        <v>88</v>
      </c>
      <c r="CT2" s="18">
        <f>AVERAGE(B2:CQ2)</f>
        <v>6.0397727272727275</v>
      </c>
      <c r="CU2">
        <f t="shared" ref="CU2:CU33" si="0">IF(CS2&gt;1,_xlfn.STDEV.S(B2:CF2),"")</f>
        <v>1.2512468149547391</v>
      </c>
      <c r="CV2">
        <v>1</v>
      </c>
      <c r="CW2">
        <f t="shared" ref="CW2:CW33" si="1">COUNT(CK2:CN2)</f>
        <v>4</v>
      </c>
      <c r="CX2">
        <f t="shared" ref="CX2:CX33" si="2">IF(CV2=0,CW2,0)</f>
        <v>0</v>
      </c>
    </row>
    <row r="3" spans="1:102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S3">
        <f>COUNT(B3:CK3)</f>
        <v>79</v>
      </c>
      <c r="CT3" s="18">
        <f>AVERAGE(B3:CK3)</f>
        <v>5.6518987341772151</v>
      </c>
      <c r="CU3">
        <f t="shared" si="0"/>
        <v>1.0518094984498128</v>
      </c>
      <c r="CV3">
        <v>1</v>
      </c>
      <c r="CW3">
        <f t="shared" si="1"/>
        <v>3</v>
      </c>
      <c r="CX3">
        <f t="shared" si="2"/>
        <v>0</v>
      </c>
    </row>
    <row r="4" spans="1:102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S4">
        <f>COUNT(B4:CI4)</f>
        <v>72</v>
      </c>
      <c r="CT4" s="18">
        <f>AVERAGE(B4:CI4)</f>
        <v>5.708333333333333</v>
      </c>
      <c r="CU4">
        <f t="shared" si="0"/>
        <v>0.96435844595057774</v>
      </c>
      <c r="CV4">
        <v>0</v>
      </c>
      <c r="CW4">
        <f t="shared" si="1"/>
        <v>0</v>
      </c>
      <c r="CX4">
        <f t="shared" si="2"/>
        <v>0</v>
      </c>
    </row>
    <row r="5" spans="1:102" x14ac:dyDescent="0.35">
      <c r="A5" t="s">
        <v>5</v>
      </c>
      <c r="B5">
        <v>10</v>
      </c>
      <c r="C5">
        <v>9.5</v>
      </c>
      <c r="D5">
        <v>9.5</v>
      </c>
      <c r="E5">
        <v>8</v>
      </c>
      <c r="F5">
        <v>7</v>
      </c>
      <c r="G5">
        <v>8</v>
      </c>
      <c r="H5">
        <v>7</v>
      </c>
      <c r="I5" t="s">
        <v>26</v>
      </c>
      <c r="J5">
        <v>9.5</v>
      </c>
      <c r="K5">
        <v>8</v>
      </c>
      <c r="L5">
        <v>9.5</v>
      </c>
      <c r="M5">
        <v>7</v>
      </c>
      <c r="N5">
        <v>8</v>
      </c>
      <c r="O5">
        <v>8</v>
      </c>
      <c r="P5">
        <v>7</v>
      </c>
      <c r="Q5">
        <v>7</v>
      </c>
      <c r="R5" t="s">
        <v>26</v>
      </c>
      <c r="S5" t="s">
        <v>26</v>
      </c>
      <c r="T5" t="s">
        <v>26</v>
      </c>
      <c r="U5">
        <v>7</v>
      </c>
      <c r="V5">
        <v>5.5</v>
      </c>
      <c r="W5">
        <v>8</v>
      </c>
      <c r="X5">
        <v>7</v>
      </c>
      <c r="Y5">
        <v>7</v>
      </c>
      <c r="Z5">
        <v>7</v>
      </c>
      <c r="AA5">
        <v>7</v>
      </c>
      <c r="AB5" t="s">
        <v>26</v>
      </c>
      <c r="AC5" t="s">
        <v>26</v>
      </c>
      <c r="AD5" t="s">
        <v>26</v>
      </c>
      <c r="AE5" t="s">
        <v>26</v>
      </c>
      <c r="AF5">
        <v>8</v>
      </c>
      <c r="AG5">
        <v>10</v>
      </c>
      <c r="AH5" t="s">
        <v>26</v>
      </c>
      <c r="AI5">
        <v>8</v>
      </c>
      <c r="AJ5">
        <v>6.5</v>
      </c>
      <c r="AK5">
        <v>8</v>
      </c>
      <c r="AL5">
        <v>7</v>
      </c>
      <c r="AM5" t="s">
        <v>26</v>
      </c>
      <c r="AN5" t="s">
        <v>26</v>
      </c>
      <c r="AO5">
        <v>7</v>
      </c>
      <c r="AP5">
        <v>5.5</v>
      </c>
      <c r="AQ5">
        <v>6.5</v>
      </c>
      <c r="AR5">
        <v>8</v>
      </c>
      <c r="AS5">
        <v>7</v>
      </c>
      <c r="AT5">
        <v>6.5</v>
      </c>
      <c r="AU5">
        <v>8</v>
      </c>
      <c r="AV5">
        <v>7</v>
      </c>
      <c r="AW5">
        <v>7</v>
      </c>
      <c r="AX5">
        <v>7</v>
      </c>
      <c r="AY5">
        <v>6.5</v>
      </c>
      <c r="AZ5">
        <v>8.5</v>
      </c>
      <c r="BA5">
        <v>10</v>
      </c>
      <c r="BB5">
        <v>6.5</v>
      </c>
      <c r="BC5">
        <v>5</v>
      </c>
      <c r="BD5">
        <v>6.5</v>
      </c>
      <c r="BE5">
        <v>8</v>
      </c>
      <c r="BF5">
        <v>6.5</v>
      </c>
      <c r="BG5">
        <v>5.5</v>
      </c>
      <c r="BH5" t="s">
        <v>26</v>
      </c>
      <c r="BI5" t="s">
        <v>26</v>
      </c>
      <c r="BJ5" t="s">
        <v>26</v>
      </c>
      <c r="BK5">
        <v>6.5</v>
      </c>
      <c r="BL5">
        <v>7</v>
      </c>
      <c r="BM5" t="s">
        <v>26</v>
      </c>
      <c r="BN5" t="s">
        <v>26</v>
      </c>
      <c r="BO5">
        <v>6.5</v>
      </c>
      <c r="BP5">
        <v>6.5</v>
      </c>
      <c r="BQ5">
        <v>7</v>
      </c>
      <c r="BR5">
        <v>6.5</v>
      </c>
      <c r="BS5">
        <v>7</v>
      </c>
      <c r="BT5">
        <v>7</v>
      </c>
      <c r="BU5">
        <v>8</v>
      </c>
      <c r="BV5">
        <v>6.5</v>
      </c>
      <c r="BW5">
        <v>6.5</v>
      </c>
      <c r="BX5">
        <v>8</v>
      </c>
      <c r="BY5" t="s">
        <v>26</v>
      </c>
      <c r="BZ5">
        <v>7</v>
      </c>
      <c r="CA5">
        <v>6.5</v>
      </c>
      <c r="CB5">
        <v>7</v>
      </c>
      <c r="CD5">
        <v>5.5</v>
      </c>
      <c r="CE5">
        <v>9</v>
      </c>
      <c r="CF5">
        <v>7</v>
      </c>
      <c r="CG5">
        <v>8</v>
      </c>
      <c r="CH5">
        <v>7.5</v>
      </c>
      <c r="CI5">
        <v>6.5</v>
      </c>
      <c r="CJ5">
        <v>5.5</v>
      </c>
      <c r="CK5">
        <v>6.5</v>
      </c>
      <c r="CL5">
        <v>5.5</v>
      </c>
      <c r="CS5">
        <f>COUNT(B5:CL5)</f>
        <v>71</v>
      </c>
      <c r="CT5" s="18">
        <f>AVERAGE(B5:CL5)</f>
        <v>7.267605633802817</v>
      </c>
      <c r="CU5">
        <f t="shared" si="0"/>
        <v>1.1294250579557983</v>
      </c>
      <c r="CV5">
        <v>1</v>
      </c>
      <c r="CW5">
        <f t="shared" si="1"/>
        <v>2</v>
      </c>
      <c r="CX5">
        <f t="shared" si="2"/>
        <v>0</v>
      </c>
    </row>
    <row r="6" spans="1:102" x14ac:dyDescent="0.35">
      <c r="A6" t="s">
        <v>82</v>
      </c>
      <c r="B6">
        <v>10</v>
      </c>
      <c r="C6" t="s">
        <v>26</v>
      </c>
      <c r="D6">
        <v>8</v>
      </c>
      <c r="E6">
        <v>7</v>
      </c>
      <c r="F6">
        <v>5.5</v>
      </c>
      <c r="G6">
        <v>7</v>
      </c>
      <c r="H6">
        <v>5.5</v>
      </c>
      <c r="I6">
        <v>7</v>
      </c>
      <c r="J6">
        <v>7</v>
      </c>
      <c r="K6">
        <v>7</v>
      </c>
      <c r="L6">
        <v>5.5</v>
      </c>
      <c r="M6">
        <v>5.5</v>
      </c>
      <c r="N6">
        <v>7</v>
      </c>
      <c r="O6">
        <v>7</v>
      </c>
      <c r="P6">
        <v>7</v>
      </c>
      <c r="Q6">
        <v>7</v>
      </c>
      <c r="R6">
        <v>8</v>
      </c>
      <c r="S6">
        <v>7</v>
      </c>
      <c r="T6">
        <v>8</v>
      </c>
      <c r="U6">
        <v>7</v>
      </c>
      <c r="V6">
        <v>7</v>
      </c>
      <c r="W6">
        <v>7</v>
      </c>
      <c r="X6">
        <v>5.5</v>
      </c>
      <c r="Y6">
        <v>5.5</v>
      </c>
      <c r="Z6">
        <v>5.5</v>
      </c>
      <c r="AA6">
        <v>7</v>
      </c>
      <c r="AB6">
        <v>7</v>
      </c>
      <c r="AC6">
        <v>7</v>
      </c>
      <c r="AD6" t="s">
        <v>26</v>
      </c>
      <c r="AE6">
        <v>8.5</v>
      </c>
      <c r="AF6">
        <v>7</v>
      </c>
      <c r="AG6">
        <v>7</v>
      </c>
      <c r="AH6">
        <v>5.5</v>
      </c>
      <c r="AI6">
        <v>8</v>
      </c>
      <c r="AJ6">
        <v>6.5</v>
      </c>
      <c r="AK6">
        <v>8</v>
      </c>
      <c r="AL6">
        <v>6.5</v>
      </c>
      <c r="AM6" t="s">
        <v>26</v>
      </c>
      <c r="AN6">
        <v>8</v>
      </c>
      <c r="AO6">
        <v>6.5</v>
      </c>
      <c r="AP6">
        <v>7</v>
      </c>
      <c r="AQ6" t="s">
        <v>26</v>
      </c>
      <c r="AR6" t="s">
        <v>26</v>
      </c>
      <c r="AS6" t="s">
        <v>26</v>
      </c>
      <c r="AT6" t="s">
        <v>26</v>
      </c>
      <c r="AU6" t="s">
        <v>26</v>
      </c>
      <c r="AV6">
        <v>5.5</v>
      </c>
      <c r="AW6" t="s">
        <v>26</v>
      </c>
      <c r="AX6" t="s">
        <v>26</v>
      </c>
      <c r="AY6">
        <v>7</v>
      </c>
      <c r="AZ6" t="s">
        <v>26</v>
      </c>
      <c r="BA6">
        <v>5.5</v>
      </c>
      <c r="BB6">
        <v>7</v>
      </c>
      <c r="BC6">
        <v>5.5</v>
      </c>
      <c r="BD6">
        <v>8</v>
      </c>
      <c r="BE6">
        <v>7</v>
      </c>
      <c r="BF6">
        <v>5.5</v>
      </c>
      <c r="BG6">
        <v>6.5</v>
      </c>
      <c r="BH6">
        <v>6.5</v>
      </c>
      <c r="BI6">
        <v>5.5</v>
      </c>
      <c r="BJ6" t="s">
        <v>26</v>
      </c>
      <c r="BK6" t="s">
        <v>26</v>
      </c>
      <c r="BL6">
        <v>5.5</v>
      </c>
      <c r="BM6">
        <v>6.5</v>
      </c>
      <c r="BN6">
        <v>8</v>
      </c>
      <c r="BO6">
        <v>7</v>
      </c>
      <c r="BP6">
        <v>5.5</v>
      </c>
      <c r="BQ6">
        <v>5.5</v>
      </c>
      <c r="BR6">
        <v>6.5</v>
      </c>
      <c r="BS6">
        <v>6.5</v>
      </c>
      <c r="BT6" t="s">
        <v>26</v>
      </c>
      <c r="BU6" t="s">
        <v>26</v>
      </c>
      <c r="BV6">
        <v>6.5</v>
      </c>
      <c r="BW6">
        <v>5.5</v>
      </c>
      <c r="BX6" t="s">
        <v>26</v>
      </c>
      <c r="BY6">
        <v>6.5</v>
      </c>
      <c r="BZ6" t="s">
        <v>26</v>
      </c>
      <c r="CA6">
        <v>6.5</v>
      </c>
      <c r="CB6">
        <v>5.5</v>
      </c>
      <c r="CC6">
        <v>6.5</v>
      </c>
      <c r="CD6">
        <v>7.5</v>
      </c>
      <c r="CF6">
        <v>6.5</v>
      </c>
      <c r="CG6">
        <v>6.5</v>
      </c>
      <c r="CH6">
        <v>5.5</v>
      </c>
      <c r="CJ6">
        <v>4.5</v>
      </c>
      <c r="CK6">
        <v>6</v>
      </c>
      <c r="CL6">
        <v>6</v>
      </c>
      <c r="CN6">
        <v>6</v>
      </c>
      <c r="CO6">
        <v>6.5</v>
      </c>
      <c r="CQ6">
        <v>6</v>
      </c>
      <c r="CS6">
        <f>COUNT(B6:CL6)</f>
        <v>70</v>
      </c>
      <c r="CT6" s="18">
        <f>AVERAGE(B6:CL6)</f>
        <v>6.6142857142857139</v>
      </c>
      <c r="CU6">
        <f t="shared" si="0"/>
        <v>0.9419445925236869</v>
      </c>
      <c r="CV6">
        <v>1</v>
      </c>
      <c r="CW6">
        <f t="shared" si="1"/>
        <v>3</v>
      </c>
      <c r="CX6">
        <f t="shared" si="2"/>
        <v>0</v>
      </c>
    </row>
    <row r="7" spans="1:102" x14ac:dyDescent="0.35">
      <c r="A7" t="s">
        <v>9</v>
      </c>
      <c r="B7">
        <v>7</v>
      </c>
      <c r="C7" t="s">
        <v>26</v>
      </c>
      <c r="D7">
        <v>7</v>
      </c>
      <c r="E7">
        <v>5.5</v>
      </c>
      <c r="F7">
        <v>8</v>
      </c>
      <c r="G7">
        <v>7</v>
      </c>
      <c r="H7">
        <v>7</v>
      </c>
      <c r="I7" t="s">
        <v>26</v>
      </c>
      <c r="J7">
        <v>5.5</v>
      </c>
      <c r="K7" t="s">
        <v>26</v>
      </c>
      <c r="L7">
        <v>7</v>
      </c>
      <c r="M7">
        <v>7</v>
      </c>
      <c r="N7">
        <v>8</v>
      </c>
      <c r="O7">
        <v>5.5</v>
      </c>
      <c r="P7">
        <v>5.5</v>
      </c>
      <c r="Q7">
        <v>7</v>
      </c>
      <c r="R7" t="s">
        <v>26</v>
      </c>
      <c r="S7">
        <v>5.5</v>
      </c>
      <c r="T7">
        <v>8</v>
      </c>
      <c r="U7" t="s">
        <v>26</v>
      </c>
      <c r="V7">
        <v>5.5</v>
      </c>
      <c r="W7">
        <v>7</v>
      </c>
      <c r="X7">
        <v>7</v>
      </c>
      <c r="Y7" t="s">
        <v>26</v>
      </c>
      <c r="Z7">
        <v>8</v>
      </c>
      <c r="AA7">
        <v>7</v>
      </c>
      <c r="AB7">
        <v>7</v>
      </c>
      <c r="AC7">
        <v>5.5</v>
      </c>
      <c r="AD7">
        <v>7</v>
      </c>
      <c r="AE7">
        <v>10</v>
      </c>
      <c r="AF7">
        <v>8</v>
      </c>
      <c r="AG7" t="s">
        <v>26</v>
      </c>
      <c r="AH7">
        <v>9.5</v>
      </c>
      <c r="AI7">
        <v>6.5</v>
      </c>
      <c r="AJ7">
        <v>6.5</v>
      </c>
      <c r="AK7">
        <v>6.5</v>
      </c>
      <c r="AL7" t="s">
        <v>26</v>
      </c>
      <c r="AM7">
        <v>8.5</v>
      </c>
      <c r="AN7" t="s">
        <v>26</v>
      </c>
      <c r="AO7" t="s">
        <v>26</v>
      </c>
      <c r="AP7" t="s">
        <v>26</v>
      </c>
      <c r="AQ7">
        <v>5.5</v>
      </c>
      <c r="AR7">
        <v>6.5</v>
      </c>
      <c r="AS7">
        <v>5.5</v>
      </c>
      <c r="AT7">
        <v>6.5</v>
      </c>
      <c r="AU7">
        <v>6.5</v>
      </c>
      <c r="AV7">
        <v>6.5</v>
      </c>
      <c r="AW7" t="s">
        <v>26</v>
      </c>
      <c r="AX7">
        <v>7</v>
      </c>
      <c r="AY7">
        <v>8</v>
      </c>
      <c r="AZ7">
        <v>6.5</v>
      </c>
      <c r="BA7">
        <v>6.5</v>
      </c>
      <c r="BB7">
        <v>5</v>
      </c>
      <c r="BC7">
        <v>4</v>
      </c>
      <c r="BD7">
        <v>5</v>
      </c>
      <c r="BE7">
        <v>6.5</v>
      </c>
      <c r="BF7">
        <v>5.5</v>
      </c>
      <c r="BG7">
        <v>5.5</v>
      </c>
      <c r="BH7">
        <v>5.5</v>
      </c>
      <c r="BI7" t="s">
        <v>26</v>
      </c>
      <c r="BJ7" t="s">
        <v>26</v>
      </c>
      <c r="BK7">
        <v>5.5</v>
      </c>
      <c r="BL7">
        <v>6.5</v>
      </c>
      <c r="BM7">
        <v>5.5</v>
      </c>
      <c r="BN7" t="s">
        <v>26</v>
      </c>
      <c r="BO7" t="s">
        <v>26</v>
      </c>
      <c r="BP7">
        <v>6.5</v>
      </c>
      <c r="BQ7">
        <v>8.5</v>
      </c>
      <c r="BR7">
        <v>7</v>
      </c>
      <c r="BS7">
        <v>6.5</v>
      </c>
      <c r="BT7">
        <v>6.5</v>
      </c>
      <c r="BU7">
        <v>6.5</v>
      </c>
      <c r="BV7" t="s">
        <v>26</v>
      </c>
      <c r="BW7">
        <v>7</v>
      </c>
      <c r="BX7" t="s">
        <v>26</v>
      </c>
      <c r="BY7">
        <v>7</v>
      </c>
      <c r="BZ7">
        <v>7</v>
      </c>
      <c r="CA7">
        <v>6.5</v>
      </c>
      <c r="CB7">
        <v>6.5</v>
      </c>
      <c r="CC7">
        <v>6.5</v>
      </c>
      <c r="CD7">
        <v>6</v>
      </c>
      <c r="CE7">
        <v>6</v>
      </c>
      <c r="CF7">
        <v>7</v>
      </c>
      <c r="CG7">
        <v>6.5</v>
      </c>
      <c r="CI7">
        <v>6</v>
      </c>
      <c r="CJ7">
        <v>6.5</v>
      </c>
      <c r="CK7">
        <v>6.5</v>
      </c>
      <c r="CL7">
        <v>6.5</v>
      </c>
      <c r="CO7">
        <v>7.5</v>
      </c>
      <c r="CP7">
        <v>6.5</v>
      </c>
      <c r="CS7">
        <f>COUNT(B7:CL7)</f>
        <v>70</v>
      </c>
      <c r="CT7" s="18">
        <f>AVERAGE(B7:CL7)</f>
        <v>6.6071428571428568</v>
      </c>
      <c r="CU7">
        <f t="shared" si="0"/>
        <v>1.0570846156365068</v>
      </c>
      <c r="CV7">
        <v>1</v>
      </c>
      <c r="CW7">
        <f t="shared" si="1"/>
        <v>2</v>
      </c>
      <c r="CX7">
        <f t="shared" si="2"/>
        <v>0</v>
      </c>
    </row>
    <row r="8" spans="1:102" x14ac:dyDescent="0.35">
      <c r="A8" t="s">
        <v>6</v>
      </c>
      <c r="B8">
        <v>8</v>
      </c>
      <c r="C8">
        <v>7</v>
      </c>
      <c r="D8">
        <v>7</v>
      </c>
      <c r="E8">
        <v>8</v>
      </c>
      <c r="F8">
        <v>5.5</v>
      </c>
      <c r="G8">
        <v>5.5</v>
      </c>
      <c r="H8" t="s">
        <v>26</v>
      </c>
      <c r="I8">
        <v>8</v>
      </c>
      <c r="J8" t="s">
        <v>26</v>
      </c>
      <c r="K8">
        <v>8</v>
      </c>
      <c r="L8" t="s">
        <v>26</v>
      </c>
      <c r="M8" t="s">
        <v>26</v>
      </c>
      <c r="N8">
        <v>5.5</v>
      </c>
      <c r="O8">
        <v>7</v>
      </c>
      <c r="P8">
        <v>5.5</v>
      </c>
      <c r="Q8" t="s">
        <v>26</v>
      </c>
      <c r="R8" t="s">
        <v>26</v>
      </c>
      <c r="S8">
        <v>5.5</v>
      </c>
      <c r="T8">
        <v>7</v>
      </c>
      <c r="U8">
        <v>7</v>
      </c>
      <c r="V8" t="s">
        <v>26</v>
      </c>
      <c r="W8">
        <v>5.5</v>
      </c>
      <c r="X8">
        <v>5.5</v>
      </c>
      <c r="Y8" t="s">
        <v>26</v>
      </c>
      <c r="Z8" t="s">
        <v>26</v>
      </c>
      <c r="AA8">
        <v>5.5</v>
      </c>
      <c r="AB8" t="s">
        <v>26</v>
      </c>
      <c r="AC8" t="s">
        <v>26</v>
      </c>
      <c r="AD8" t="s">
        <v>26</v>
      </c>
      <c r="AE8">
        <v>7</v>
      </c>
      <c r="AF8">
        <v>8</v>
      </c>
      <c r="AG8">
        <v>8.5</v>
      </c>
      <c r="AH8">
        <v>6.5</v>
      </c>
      <c r="AI8" t="s">
        <v>26</v>
      </c>
      <c r="AJ8">
        <v>6.5</v>
      </c>
      <c r="AK8">
        <v>5.5</v>
      </c>
      <c r="AL8">
        <v>5</v>
      </c>
      <c r="AM8">
        <v>6.5</v>
      </c>
      <c r="AN8">
        <v>8</v>
      </c>
      <c r="AO8">
        <v>7</v>
      </c>
      <c r="AP8">
        <v>5.5</v>
      </c>
      <c r="AQ8">
        <v>6.5</v>
      </c>
      <c r="AR8">
        <v>6.5</v>
      </c>
      <c r="AS8">
        <v>5.5</v>
      </c>
      <c r="AT8">
        <v>6.5</v>
      </c>
      <c r="AU8">
        <v>5.5</v>
      </c>
      <c r="AV8">
        <v>5.5</v>
      </c>
      <c r="AW8" t="s">
        <v>26</v>
      </c>
      <c r="AX8">
        <v>10</v>
      </c>
      <c r="AY8">
        <v>6.5</v>
      </c>
      <c r="AZ8">
        <v>5.5</v>
      </c>
      <c r="BA8">
        <v>5.5</v>
      </c>
      <c r="BB8">
        <v>5</v>
      </c>
      <c r="BC8">
        <v>8.5</v>
      </c>
      <c r="BD8">
        <v>6.5</v>
      </c>
      <c r="BE8">
        <v>8</v>
      </c>
      <c r="BF8">
        <v>5</v>
      </c>
      <c r="BG8">
        <v>5</v>
      </c>
      <c r="BH8">
        <v>9.5</v>
      </c>
      <c r="BI8">
        <v>8</v>
      </c>
      <c r="BJ8">
        <v>7</v>
      </c>
      <c r="BK8">
        <v>6.5</v>
      </c>
      <c r="BL8">
        <v>5.5</v>
      </c>
      <c r="BM8">
        <v>7</v>
      </c>
      <c r="BN8">
        <v>7</v>
      </c>
      <c r="BO8">
        <v>8</v>
      </c>
      <c r="BP8">
        <v>5.5</v>
      </c>
      <c r="BQ8">
        <v>5</v>
      </c>
      <c r="BR8">
        <v>7</v>
      </c>
      <c r="BS8">
        <v>5.5</v>
      </c>
      <c r="BT8">
        <v>6.5</v>
      </c>
      <c r="BU8">
        <v>5</v>
      </c>
      <c r="BV8">
        <v>6.5</v>
      </c>
      <c r="BW8">
        <v>5.5</v>
      </c>
      <c r="BX8">
        <v>5.5</v>
      </c>
      <c r="BY8">
        <v>5.5</v>
      </c>
      <c r="BZ8">
        <v>5.5</v>
      </c>
      <c r="CA8">
        <v>5.5</v>
      </c>
      <c r="CB8">
        <v>7</v>
      </c>
      <c r="CC8">
        <v>5.5</v>
      </c>
      <c r="CD8">
        <v>5.5</v>
      </c>
      <c r="CE8">
        <v>5</v>
      </c>
      <c r="CS8">
        <f>COUNT(B8:CI8)</f>
        <v>68</v>
      </c>
      <c r="CT8" s="18">
        <f>AVERAGE(B8:CI8)</f>
        <v>6.4191176470588234</v>
      </c>
      <c r="CU8">
        <f t="shared" si="0"/>
        <v>1.1769245721961776</v>
      </c>
      <c r="CV8">
        <v>0</v>
      </c>
      <c r="CW8">
        <f t="shared" si="1"/>
        <v>0</v>
      </c>
      <c r="CX8">
        <f t="shared" si="2"/>
        <v>0</v>
      </c>
    </row>
    <row r="9" spans="1:102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S9">
        <f>COUNT(B9:CI9)</f>
        <v>67</v>
      </c>
      <c r="CT9" s="18">
        <f>AVERAGE(B9:CI9)</f>
        <v>5.9701492537313436</v>
      </c>
      <c r="CU9">
        <f t="shared" si="0"/>
        <v>0.96648378625350351</v>
      </c>
      <c r="CV9">
        <v>0</v>
      </c>
      <c r="CW9">
        <f t="shared" si="1"/>
        <v>0</v>
      </c>
      <c r="CX9">
        <f t="shared" si="2"/>
        <v>0</v>
      </c>
    </row>
    <row r="10" spans="1:102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O10">
        <v>6</v>
      </c>
      <c r="CP10">
        <v>5.5</v>
      </c>
      <c r="CQ10">
        <v>6</v>
      </c>
      <c r="CS10">
        <f>COUNT(B10:CI10)</f>
        <v>62</v>
      </c>
      <c r="CT10" s="18">
        <f>AVERAGE(B10:CI10)</f>
        <v>5.717741935483871</v>
      </c>
      <c r="CU10">
        <f t="shared" si="0"/>
        <v>1.3617531291315086</v>
      </c>
      <c r="CV10">
        <v>1</v>
      </c>
      <c r="CW10">
        <f t="shared" si="1"/>
        <v>3</v>
      </c>
      <c r="CX10">
        <f t="shared" si="2"/>
        <v>0</v>
      </c>
    </row>
    <row r="11" spans="1:102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S11">
        <f>COUNT(B11:CI11)</f>
        <v>59</v>
      </c>
      <c r="CT11" s="18">
        <f>AVERAGE(B11:CI11)</f>
        <v>6.6779661016949152</v>
      </c>
      <c r="CU11">
        <f t="shared" si="0"/>
        <v>1.0072574989410263</v>
      </c>
      <c r="CV11">
        <v>1</v>
      </c>
      <c r="CW11">
        <f t="shared" si="1"/>
        <v>3</v>
      </c>
      <c r="CX11">
        <f t="shared" si="2"/>
        <v>0</v>
      </c>
    </row>
    <row r="12" spans="1:102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S12">
        <f>COUNT(B12:CQ12)</f>
        <v>61</v>
      </c>
      <c r="CT12" s="18">
        <f>AVERAGE(B12:CQ12)</f>
        <v>5.5327868852459012</v>
      </c>
      <c r="CU12">
        <f t="shared" si="0"/>
        <v>1.0254583642020354</v>
      </c>
      <c r="CV12">
        <v>1</v>
      </c>
      <c r="CW12">
        <f t="shared" si="1"/>
        <v>4</v>
      </c>
      <c r="CX12">
        <f t="shared" si="2"/>
        <v>0</v>
      </c>
    </row>
    <row r="13" spans="1:102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S13">
        <f>COUNT(B13:CN13)</f>
        <v>56</v>
      </c>
      <c r="CT13" s="18">
        <f>AVERAGE(B13:CN13)</f>
        <v>6.3571428571428568</v>
      </c>
      <c r="CU13">
        <f t="shared" si="0"/>
        <v>1.1769469323774333</v>
      </c>
      <c r="CV13">
        <v>1</v>
      </c>
      <c r="CW13">
        <f t="shared" si="1"/>
        <v>4</v>
      </c>
      <c r="CX13">
        <f t="shared" si="2"/>
        <v>0</v>
      </c>
    </row>
    <row r="14" spans="1:102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S14">
        <f>COUNT(B14:CI14)</f>
        <v>55</v>
      </c>
      <c r="CT14" s="18">
        <f>AVERAGE(B14:CI14)</f>
        <v>6.3181818181818183</v>
      </c>
      <c r="CU14">
        <f t="shared" si="0"/>
        <v>1.1213885273224193</v>
      </c>
      <c r="CV14">
        <v>0</v>
      </c>
      <c r="CW14">
        <f t="shared" si="1"/>
        <v>1</v>
      </c>
      <c r="CX14">
        <f t="shared" si="2"/>
        <v>1</v>
      </c>
    </row>
    <row r="15" spans="1:102" x14ac:dyDescent="0.35">
      <c r="A15" t="s">
        <v>14</v>
      </c>
      <c r="B15">
        <v>7</v>
      </c>
      <c r="C15" t="s">
        <v>26</v>
      </c>
      <c r="D15">
        <v>8</v>
      </c>
      <c r="E15" t="s">
        <v>26</v>
      </c>
      <c r="F15">
        <v>5.5</v>
      </c>
      <c r="G15">
        <v>7</v>
      </c>
      <c r="H15">
        <v>3.5</v>
      </c>
      <c r="I15">
        <v>5</v>
      </c>
      <c r="J15" t="s">
        <v>26</v>
      </c>
      <c r="K15">
        <v>5.5</v>
      </c>
      <c r="L15">
        <v>5.5</v>
      </c>
      <c r="M15">
        <v>5.5</v>
      </c>
      <c r="N15" t="s">
        <v>26</v>
      </c>
      <c r="O15">
        <v>5.5</v>
      </c>
      <c r="P15">
        <v>5</v>
      </c>
      <c r="Q15">
        <v>5</v>
      </c>
      <c r="R15">
        <v>5.5</v>
      </c>
      <c r="S15">
        <v>3.5</v>
      </c>
      <c r="T15">
        <v>7</v>
      </c>
      <c r="U15" t="s">
        <v>26</v>
      </c>
      <c r="V15">
        <v>5.5</v>
      </c>
      <c r="W15" t="s">
        <v>26</v>
      </c>
      <c r="X15">
        <v>7</v>
      </c>
      <c r="Y15">
        <v>5.5</v>
      </c>
      <c r="Z15" t="s">
        <v>26</v>
      </c>
      <c r="AA15">
        <v>5.5</v>
      </c>
      <c r="AB15">
        <v>5</v>
      </c>
      <c r="AC15">
        <v>5.5</v>
      </c>
      <c r="AD15">
        <v>5</v>
      </c>
      <c r="AE15" t="s">
        <v>26</v>
      </c>
      <c r="AF15" t="s">
        <v>26</v>
      </c>
      <c r="AG15" t="s">
        <v>26</v>
      </c>
      <c r="AH15" t="s">
        <v>26</v>
      </c>
      <c r="AI15">
        <v>5.5</v>
      </c>
      <c r="AJ15" t="s">
        <v>26</v>
      </c>
      <c r="AK15" t="s">
        <v>26</v>
      </c>
      <c r="AL15">
        <v>6.5</v>
      </c>
      <c r="AM15">
        <v>5.5</v>
      </c>
      <c r="AN15">
        <v>5.5</v>
      </c>
      <c r="AO15">
        <v>5.5</v>
      </c>
      <c r="AP15">
        <v>5.5</v>
      </c>
      <c r="AQ15">
        <v>5.5</v>
      </c>
      <c r="AR15">
        <v>5</v>
      </c>
      <c r="AS15">
        <v>6.5</v>
      </c>
      <c r="AT15">
        <v>6.5</v>
      </c>
      <c r="AU15" t="s">
        <v>26</v>
      </c>
      <c r="AV15">
        <v>5.5</v>
      </c>
      <c r="AW15" t="s">
        <v>26</v>
      </c>
      <c r="AX15" t="s">
        <v>26</v>
      </c>
      <c r="AY15">
        <v>5</v>
      </c>
      <c r="AZ15">
        <v>5.5</v>
      </c>
      <c r="BA15" t="s">
        <v>26</v>
      </c>
      <c r="BB15">
        <v>5.5</v>
      </c>
      <c r="BC15">
        <v>7</v>
      </c>
      <c r="BD15">
        <v>7</v>
      </c>
      <c r="BE15">
        <v>7</v>
      </c>
      <c r="BF15">
        <v>5.5</v>
      </c>
      <c r="BG15">
        <v>6.5</v>
      </c>
      <c r="BH15">
        <v>5.5</v>
      </c>
      <c r="BI15">
        <v>5.5</v>
      </c>
      <c r="BJ15" t="s">
        <v>26</v>
      </c>
      <c r="BK15">
        <v>6.5</v>
      </c>
      <c r="BL15">
        <v>5.5</v>
      </c>
      <c r="BM15">
        <v>5.5</v>
      </c>
      <c r="BN15">
        <v>6.5</v>
      </c>
      <c r="BO15">
        <v>5</v>
      </c>
      <c r="BP15">
        <v>5</v>
      </c>
      <c r="BQ15">
        <v>5.5</v>
      </c>
      <c r="BR15">
        <v>5</v>
      </c>
      <c r="BS15" t="s">
        <v>26</v>
      </c>
      <c r="BT15" t="s">
        <v>26</v>
      </c>
      <c r="BU15" t="s">
        <v>26</v>
      </c>
      <c r="BV15" t="s">
        <v>26</v>
      </c>
      <c r="BW15" t="s">
        <v>26</v>
      </c>
      <c r="BX15" t="s">
        <v>26</v>
      </c>
      <c r="BY15" t="s">
        <v>26</v>
      </c>
      <c r="BZ15" t="s">
        <v>26</v>
      </c>
      <c r="CA15" t="s">
        <v>26</v>
      </c>
      <c r="CB15" t="s">
        <v>26</v>
      </c>
      <c r="CF15">
        <v>5.5</v>
      </c>
      <c r="CS15">
        <f>COUNT(B15:CI15)</f>
        <v>52</v>
      </c>
      <c r="CT15" s="18">
        <f>AVERAGE(B15:CI15)</f>
        <v>5.6923076923076925</v>
      </c>
      <c r="CU15">
        <f t="shared" si="0"/>
        <v>0.84687340856573534</v>
      </c>
      <c r="CV15">
        <v>0</v>
      </c>
      <c r="CW15">
        <f t="shared" si="1"/>
        <v>0</v>
      </c>
      <c r="CX15">
        <f t="shared" si="2"/>
        <v>0</v>
      </c>
    </row>
    <row r="16" spans="1:102" x14ac:dyDescent="0.35">
      <c r="A16" t="s">
        <v>25</v>
      </c>
      <c r="B16" t="s">
        <v>26</v>
      </c>
      <c r="C16" t="s">
        <v>26</v>
      </c>
      <c r="D16" t="s">
        <v>26</v>
      </c>
      <c r="E16">
        <v>3.5</v>
      </c>
      <c r="F16">
        <v>5.5</v>
      </c>
      <c r="G16">
        <v>3</v>
      </c>
      <c r="H16" t="s">
        <v>26</v>
      </c>
      <c r="I16" t="s">
        <v>26</v>
      </c>
      <c r="J16">
        <v>3.5</v>
      </c>
      <c r="K16" t="s">
        <v>26</v>
      </c>
      <c r="L16">
        <v>1</v>
      </c>
      <c r="M16">
        <v>3.5</v>
      </c>
      <c r="N16">
        <v>5</v>
      </c>
      <c r="O16">
        <v>5.5</v>
      </c>
      <c r="P16">
        <v>3.5</v>
      </c>
      <c r="Q16" t="s">
        <v>26</v>
      </c>
      <c r="R16" t="s">
        <v>26</v>
      </c>
      <c r="S16">
        <v>3</v>
      </c>
      <c r="T16">
        <v>5.5</v>
      </c>
      <c r="U16">
        <v>1</v>
      </c>
      <c r="V16">
        <v>5</v>
      </c>
      <c r="W16">
        <v>5.5</v>
      </c>
      <c r="X16">
        <v>5.5</v>
      </c>
      <c r="Y16" t="s">
        <v>26</v>
      </c>
      <c r="Z16">
        <v>5</v>
      </c>
      <c r="AA16" t="s">
        <v>26</v>
      </c>
      <c r="AB16" t="s">
        <v>26</v>
      </c>
      <c r="AC16">
        <v>3</v>
      </c>
      <c r="AD16">
        <v>3.5</v>
      </c>
      <c r="AE16">
        <v>4</v>
      </c>
      <c r="AF16">
        <v>2</v>
      </c>
      <c r="AG16">
        <v>2.5</v>
      </c>
      <c r="AH16">
        <v>5.5</v>
      </c>
      <c r="AI16" t="s">
        <v>26</v>
      </c>
      <c r="AJ16" t="s">
        <v>26</v>
      </c>
      <c r="AK16">
        <v>5.5</v>
      </c>
      <c r="AL16">
        <v>2</v>
      </c>
      <c r="AM16">
        <v>4</v>
      </c>
      <c r="AN16" t="s">
        <v>26</v>
      </c>
      <c r="AO16">
        <v>6.5</v>
      </c>
      <c r="AP16">
        <v>6.5</v>
      </c>
      <c r="AQ16">
        <v>4</v>
      </c>
      <c r="AR16">
        <v>3.5</v>
      </c>
      <c r="AS16" t="s">
        <v>26</v>
      </c>
      <c r="AT16">
        <v>5.5</v>
      </c>
      <c r="AU16">
        <v>4</v>
      </c>
      <c r="AV16" t="s">
        <v>26</v>
      </c>
      <c r="AW16" t="s">
        <v>26</v>
      </c>
      <c r="AX16">
        <v>6.5</v>
      </c>
      <c r="AY16">
        <v>5</v>
      </c>
      <c r="AZ16">
        <v>5</v>
      </c>
      <c r="BA16">
        <v>5.5</v>
      </c>
      <c r="BB16" t="s">
        <v>26</v>
      </c>
      <c r="BC16">
        <v>4</v>
      </c>
      <c r="BD16" t="s">
        <v>26</v>
      </c>
      <c r="BE16">
        <v>5</v>
      </c>
      <c r="BF16" t="s">
        <v>26</v>
      </c>
      <c r="BG16" t="s">
        <v>26</v>
      </c>
      <c r="BH16" t="s">
        <v>26</v>
      </c>
      <c r="BI16" t="s">
        <v>26</v>
      </c>
      <c r="BJ16" t="s">
        <v>26</v>
      </c>
      <c r="BK16">
        <v>5</v>
      </c>
      <c r="BL16">
        <v>4</v>
      </c>
      <c r="BM16">
        <v>5.5</v>
      </c>
      <c r="BN16" t="s">
        <v>26</v>
      </c>
      <c r="BO16">
        <v>5</v>
      </c>
      <c r="BP16" t="s">
        <v>26</v>
      </c>
      <c r="BQ16" t="s">
        <v>26</v>
      </c>
      <c r="BR16">
        <v>5</v>
      </c>
      <c r="BS16" t="s">
        <v>26</v>
      </c>
      <c r="BT16">
        <v>5.5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>
        <v>5.5</v>
      </c>
      <c r="CB16" t="s">
        <v>26</v>
      </c>
      <c r="CC16">
        <v>4.5</v>
      </c>
      <c r="CE16">
        <v>5</v>
      </c>
      <c r="CF16">
        <v>5.5</v>
      </c>
      <c r="CS16">
        <f>COUNT(B16:CI16)</f>
        <v>47</v>
      </c>
      <c r="CT16" s="18">
        <f>AVERAGE(B16:CI16)</f>
        <v>4.4255319148936172</v>
      </c>
      <c r="CU16">
        <f t="shared" si="0"/>
        <v>1.3391217246854428</v>
      </c>
      <c r="CV16">
        <v>0</v>
      </c>
      <c r="CW16">
        <f t="shared" si="1"/>
        <v>0</v>
      </c>
      <c r="CX16">
        <f t="shared" si="2"/>
        <v>0</v>
      </c>
    </row>
    <row r="17" spans="1:102" x14ac:dyDescent="0.35">
      <c r="A17" t="s">
        <v>56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>
        <v>5</v>
      </c>
      <c r="R17" t="s">
        <v>26</v>
      </c>
      <c r="S17">
        <v>7</v>
      </c>
      <c r="T17" t="s">
        <v>26</v>
      </c>
      <c r="U17" t="s">
        <v>26</v>
      </c>
      <c r="V17">
        <v>7</v>
      </c>
      <c r="W17" t="s">
        <v>26</v>
      </c>
      <c r="X17">
        <v>5.5</v>
      </c>
      <c r="Y17">
        <v>7</v>
      </c>
      <c r="Z17">
        <v>7</v>
      </c>
      <c r="AA17" t="s">
        <v>26</v>
      </c>
      <c r="AB17">
        <v>7</v>
      </c>
      <c r="AC17">
        <v>3.5</v>
      </c>
      <c r="AD17">
        <v>7</v>
      </c>
      <c r="AE17">
        <v>7</v>
      </c>
      <c r="AF17">
        <v>5.5</v>
      </c>
      <c r="AG17">
        <v>8</v>
      </c>
      <c r="AH17">
        <v>8</v>
      </c>
      <c r="AI17">
        <v>8</v>
      </c>
      <c r="AJ17">
        <v>5.5</v>
      </c>
      <c r="AK17">
        <v>5.5</v>
      </c>
      <c r="AL17">
        <v>7</v>
      </c>
      <c r="AM17">
        <v>5.5</v>
      </c>
      <c r="AN17" t="s">
        <v>26</v>
      </c>
      <c r="AO17">
        <v>5.5</v>
      </c>
      <c r="AP17">
        <v>6.5</v>
      </c>
      <c r="AQ17">
        <v>5</v>
      </c>
      <c r="AR17">
        <v>5.5</v>
      </c>
      <c r="AS17">
        <v>5.5</v>
      </c>
      <c r="AT17">
        <v>5.5</v>
      </c>
      <c r="AU17">
        <v>7</v>
      </c>
      <c r="AV17">
        <v>5</v>
      </c>
      <c r="AW17">
        <v>5.5</v>
      </c>
      <c r="AX17" t="s">
        <v>26</v>
      </c>
      <c r="AY17" t="s">
        <v>26</v>
      </c>
      <c r="AZ17" t="s">
        <v>26</v>
      </c>
      <c r="BA17" t="s">
        <v>26</v>
      </c>
      <c r="BB17" t="s">
        <v>26</v>
      </c>
      <c r="BC17" t="s">
        <v>26</v>
      </c>
      <c r="BD17" t="s">
        <v>26</v>
      </c>
      <c r="BE17" t="s">
        <v>26</v>
      </c>
      <c r="BF17" t="s">
        <v>26</v>
      </c>
      <c r="BG17" t="s">
        <v>26</v>
      </c>
      <c r="BH17" t="s">
        <v>26</v>
      </c>
      <c r="BI17" t="s">
        <v>26</v>
      </c>
      <c r="BJ17" t="s">
        <v>26</v>
      </c>
      <c r="BK17" t="s">
        <v>26</v>
      </c>
      <c r="BL17" t="s">
        <v>26</v>
      </c>
      <c r="BM17" t="s">
        <v>26</v>
      </c>
      <c r="BN17" t="s">
        <v>26</v>
      </c>
      <c r="BO17" t="s">
        <v>26</v>
      </c>
      <c r="BP17">
        <v>5.5</v>
      </c>
      <c r="BQ17">
        <v>5.5</v>
      </c>
      <c r="BR17">
        <v>6.5</v>
      </c>
      <c r="BS17">
        <v>6.5</v>
      </c>
      <c r="BT17" t="s">
        <v>26</v>
      </c>
      <c r="BU17" t="s">
        <v>26</v>
      </c>
      <c r="BV17">
        <v>5.5</v>
      </c>
      <c r="BW17">
        <v>6.5</v>
      </c>
      <c r="BX17" t="s">
        <v>26</v>
      </c>
      <c r="BY17">
        <v>5</v>
      </c>
      <c r="BZ17" t="s">
        <v>26</v>
      </c>
      <c r="CA17">
        <v>5.5</v>
      </c>
      <c r="CB17">
        <v>6.5</v>
      </c>
      <c r="CC17">
        <v>6</v>
      </c>
      <c r="CD17">
        <v>6</v>
      </c>
      <c r="CE17">
        <v>6</v>
      </c>
      <c r="CF17">
        <v>6.5</v>
      </c>
      <c r="CG17">
        <v>6.5</v>
      </c>
      <c r="CH17">
        <v>5.5</v>
      </c>
      <c r="CI17">
        <v>5.5</v>
      </c>
      <c r="CJ17">
        <v>6</v>
      </c>
      <c r="CK17">
        <v>5</v>
      </c>
      <c r="CL17">
        <v>6</v>
      </c>
      <c r="CN17">
        <v>6</v>
      </c>
      <c r="CO17">
        <v>6</v>
      </c>
      <c r="CP17">
        <v>5.5</v>
      </c>
      <c r="CQ17">
        <v>5.5</v>
      </c>
      <c r="CS17">
        <f>COUNT(B17:CL17)</f>
        <v>46</v>
      </c>
      <c r="CT17" s="18">
        <f>AVERAGE(B17:CL17)</f>
        <v>6.0652173913043477</v>
      </c>
      <c r="CU17">
        <f t="shared" si="0"/>
        <v>0.9573434129174403</v>
      </c>
      <c r="CV17">
        <v>1</v>
      </c>
      <c r="CW17">
        <f t="shared" si="1"/>
        <v>3</v>
      </c>
      <c r="CX17">
        <f t="shared" si="2"/>
        <v>0</v>
      </c>
    </row>
    <row r="18" spans="1:102" x14ac:dyDescent="0.35">
      <c r="A18" t="s">
        <v>44</v>
      </c>
      <c r="B18" t="s">
        <v>26</v>
      </c>
      <c r="C18" t="s">
        <v>26</v>
      </c>
      <c r="D18" t="s">
        <v>26</v>
      </c>
      <c r="E18" t="s">
        <v>26</v>
      </c>
      <c r="F18">
        <v>5</v>
      </c>
      <c r="G18">
        <v>3.5</v>
      </c>
      <c r="H18">
        <v>5.5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5.5</v>
      </c>
      <c r="T18">
        <v>5.5</v>
      </c>
      <c r="U18" t="s">
        <v>26</v>
      </c>
      <c r="V18" t="s">
        <v>26</v>
      </c>
      <c r="W18" t="s">
        <v>26</v>
      </c>
      <c r="X18" t="s">
        <v>26</v>
      </c>
      <c r="Y18" t="s">
        <v>26</v>
      </c>
      <c r="Z18" t="s">
        <v>26</v>
      </c>
      <c r="AA18" t="s">
        <v>26</v>
      </c>
      <c r="AB18" t="s">
        <v>26</v>
      </c>
      <c r="AC18" t="s">
        <v>26</v>
      </c>
      <c r="AD18" t="s">
        <v>26</v>
      </c>
      <c r="AE18" t="s">
        <v>26</v>
      </c>
      <c r="AF18" t="s">
        <v>26</v>
      </c>
      <c r="AG18">
        <v>8</v>
      </c>
      <c r="AH18" t="s">
        <v>26</v>
      </c>
      <c r="AI18">
        <v>4</v>
      </c>
      <c r="AJ18">
        <v>3.5</v>
      </c>
      <c r="AK18">
        <v>2.5</v>
      </c>
      <c r="AL18">
        <v>5.5</v>
      </c>
      <c r="AM18" t="s">
        <v>26</v>
      </c>
      <c r="AN18">
        <v>5.5</v>
      </c>
      <c r="AO18">
        <v>5.5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>
        <v>5</v>
      </c>
      <c r="AX18">
        <v>5</v>
      </c>
      <c r="AY18">
        <v>5</v>
      </c>
      <c r="AZ18">
        <v>5</v>
      </c>
      <c r="BA18" t="s">
        <v>26</v>
      </c>
      <c r="BB18">
        <v>6.5</v>
      </c>
      <c r="BC18">
        <v>2</v>
      </c>
      <c r="BD18" t="s">
        <v>26</v>
      </c>
      <c r="BE18">
        <v>4</v>
      </c>
      <c r="BF18">
        <v>5.5</v>
      </c>
      <c r="BG18">
        <v>3.5</v>
      </c>
      <c r="BH18">
        <v>4</v>
      </c>
      <c r="BI18">
        <v>5.5</v>
      </c>
      <c r="BJ18">
        <v>5</v>
      </c>
      <c r="BK18">
        <v>5.5</v>
      </c>
      <c r="BL18">
        <v>5</v>
      </c>
      <c r="BM18" t="s">
        <v>26</v>
      </c>
      <c r="BN18" t="s">
        <v>26</v>
      </c>
      <c r="BO18">
        <v>4</v>
      </c>
      <c r="BP18">
        <v>5.5</v>
      </c>
      <c r="BQ18">
        <v>5</v>
      </c>
      <c r="BR18" t="s">
        <v>26</v>
      </c>
      <c r="BS18">
        <v>5</v>
      </c>
      <c r="BT18">
        <v>5</v>
      </c>
      <c r="BU18" t="s">
        <v>26</v>
      </c>
      <c r="BV18">
        <v>4</v>
      </c>
      <c r="BW18" t="s">
        <v>26</v>
      </c>
      <c r="BX18">
        <v>5.5</v>
      </c>
      <c r="BY18" t="s">
        <v>26</v>
      </c>
      <c r="BZ18" t="s">
        <v>26</v>
      </c>
      <c r="CA18" t="s">
        <v>26</v>
      </c>
      <c r="CB18">
        <v>5.5</v>
      </c>
      <c r="CC18">
        <v>5.5</v>
      </c>
      <c r="CD18">
        <v>4.5</v>
      </c>
      <c r="CE18">
        <v>5.5</v>
      </c>
      <c r="CG18">
        <v>6</v>
      </c>
      <c r="CH18">
        <v>6.5</v>
      </c>
      <c r="CI18">
        <v>5.5</v>
      </c>
      <c r="CJ18">
        <v>4.5</v>
      </c>
      <c r="CK18">
        <v>5.5</v>
      </c>
      <c r="CL18">
        <v>6</v>
      </c>
      <c r="CS18">
        <f>COUNT(B18:CL18)</f>
        <v>44</v>
      </c>
      <c r="CT18" s="18">
        <f>AVERAGE(B18:CL18)</f>
        <v>5.0113636363636367</v>
      </c>
      <c r="CU18">
        <f t="shared" si="0"/>
        <v>1.0645089158214895</v>
      </c>
      <c r="CV18">
        <v>1</v>
      </c>
      <c r="CW18">
        <f t="shared" si="1"/>
        <v>2</v>
      </c>
      <c r="CX18">
        <f t="shared" si="2"/>
        <v>0</v>
      </c>
    </row>
    <row r="19" spans="1:102" x14ac:dyDescent="0.35">
      <c r="A19" t="s">
        <v>55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>
        <v>5.5</v>
      </c>
      <c r="P19" t="s">
        <v>26</v>
      </c>
      <c r="Q19">
        <v>3.5</v>
      </c>
      <c r="R19" t="s">
        <v>26</v>
      </c>
      <c r="S19" t="s">
        <v>26</v>
      </c>
      <c r="T19">
        <v>7</v>
      </c>
      <c r="U19">
        <v>7</v>
      </c>
      <c r="V19">
        <v>5.5</v>
      </c>
      <c r="W19">
        <v>5.5</v>
      </c>
      <c r="X19">
        <v>5.5</v>
      </c>
      <c r="Y19">
        <v>8</v>
      </c>
      <c r="Z19">
        <v>5.5</v>
      </c>
      <c r="AA19">
        <v>5.5</v>
      </c>
      <c r="AB19" t="s">
        <v>26</v>
      </c>
      <c r="AC19">
        <v>5.5</v>
      </c>
      <c r="AD19">
        <v>7</v>
      </c>
      <c r="AE19" t="s">
        <v>26</v>
      </c>
      <c r="AF19">
        <v>8.5</v>
      </c>
      <c r="AG19">
        <v>8.5</v>
      </c>
      <c r="AH19" t="s">
        <v>26</v>
      </c>
      <c r="AI19" t="s">
        <v>26</v>
      </c>
      <c r="AJ19" t="s">
        <v>26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>
        <v>8.5</v>
      </c>
      <c r="AR19">
        <v>8</v>
      </c>
      <c r="AS19">
        <v>5.5</v>
      </c>
      <c r="AT19">
        <v>5.5</v>
      </c>
      <c r="AU19">
        <v>5.5</v>
      </c>
      <c r="AV19">
        <v>5.5</v>
      </c>
      <c r="AW19">
        <v>5.5</v>
      </c>
      <c r="AX19" t="s">
        <v>26</v>
      </c>
      <c r="AY19" t="s">
        <v>26</v>
      </c>
      <c r="AZ19">
        <v>6.5</v>
      </c>
      <c r="BA19" t="s">
        <v>26</v>
      </c>
      <c r="BB19" t="s">
        <v>26</v>
      </c>
      <c r="BC19">
        <v>5</v>
      </c>
      <c r="BD19" t="s">
        <v>26</v>
      </c>
      <c r="BE19">
        <v>6.5</v>
      </c>
      <c r="BF19">
        <v>6.5</v>
      </c>
      <c r="BG19" t="s">
        <v>26</v>
      </c>
      <c r="BH19">
        <v>6.5</v>
      </c>
      <c r="BI19" t="s">
        <v>26</v>
      </c>
      <c r="BJ19">
        <v>5.5</v>
      </c>
      <c r="BK19" t="s">
        <v>26</v>
      </c>
      <c r="BL19" t="s">
        <v>26</v>
      </c>
      <c r="BM19">
        <v>5.5</v>
      </c>
      <c r="BN19">
        <v>5</v>
      </c>
      <c r="BO19">
        <v>6.5</v>
      </c>
      <c r="BP19" t="s">
        <v>26</v>
      </c>
      <c r="BQ19">
        <v>5.5</v>
      </c>
      <c r="BR19">
        <v>7</v>
      </c>
      <c r="BS19">
        <v>6.5</v>
      </c>
      <c r="BT19">
        <v>6.5</v>
      </c>
      <c r="BU19">
        <v>5.5</v>
      </c>
      <c r="BV19" t="s">
        <v>26</v>
      </c>
      <c r="BW19" t="s">
        <v>26</v>
      </c>
      <c r="BX19">
        <v>5.5</v>
      </c>
      <c r="BY19" t="s">
        <v>26</v>
      </c>
      <c r="BZ19">
        <v>5.5</v>
      </c>
      <c r="CA19">
        <v>6.5</v>
      </c>
      <c r="CB19" t="s">
        <v>26</v>
      </c>
      <c r="CK19">
        <v>5.5</v>
      </c>
      <c r="CS19">
        <f>COUNT(B19:CI19)</f>
        <v>38</v>
      </c>
      <c r="CT19" s="18">
        <f>AVERAGE(B19:CI19)</f>
        <v>6.1578947368421053</v>
      </c>
      <c r="CU19">
        <f t="shared" si="0"/>
        <v>1.0973263770680928</v>
      </c>
      <c r="CV19">
        <v>0</v>
      </c>
      <c r="CW19">
        <f t="shared" si="1"/>
        <v>1</v>
      </c>
      <c r="CX19">
        <f t="shared" si="2"/>
        <v>1</v>
      </c>
    </row>
    <row r="20" spans="1:102" x14ac:dyDescent="0.35">
      <c r="A20" t="s">
        <v>46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>
        <v>5.5</v>
      </c>
      <c r="I20">
        <v>5</v>
      </c>
      <c r="J20">
        <v>5</v>
      </c>
      <c r="K20">
        <v>3</v>
      </c>
      <c r="L20" t="s">
        <v>26</v>
      </c>
      <c r="M20">
        <v>3</v>
      </c>
      <c r="N20">
        <v>3.5</v>
      </c>
      <c r="O20">
        <v>8</v>
      </c>
      <c r="P20">
        <v>7</v>
      </c>
      <c r="Q20">
        <v>3.5</v>
      </c>
      <c r="R20" t="s">
        <v>26</v>
      </c>
      <c r="S20" t="s">
        <v>26</v>
      </c>
      <c r="T20" t="s">
        <v>26</v>
      </c>
      <c r="U20">
        <v>5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 t="s">
        <v>26</v>
      </c>
      <c r="AC20" t="s">
        <v>26</v>
      </c>
      <c r="AD20" t="s">
        <v>26</v>
      </c>
      <c r="AE20" t="s">
        <v>26</v>
      </c>
      <c r="AF20" t="s">
        <v>26</v>
      </c>
      <c r="AG20" t="s">
        <v>26</v>
      </c>
      <c r="AH20">
        <v>5.5</v>
      </c>
      <c r="AI20">
        <v>6.5</v>
      </c>
      <c r="AJ20">
        <v>3.5</v>
      </c>
      <c r="AK20" t="s">
        <v>26</v>
      </c>
      <c r="AL20" t="s">
        <v>26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 t="s">
        <v>26</v>
      </c>
      <c r="AW20" t="s">
        <v>26</v>
      </c>
      <c r="AX20" t="s">
        <v>26</v>
      </c>
      <c r="AY20" t="s">
        <v>26</v>
      </c>
      <c r="AZ20" t="s">
        <v>26</v>
      </c>
      <c r="BA20" t="s">
        <v>26</v>
      </c>
      <c r="BB20" t="s">
        <v>26</v>
      </c>
      <c r="BC20" t="s">
        <v>26</v>
      </c>
      <c r="BD20" t="s">
        <v>26</v>
      </c>
      <c r="BE20" t="s">
        <v>26</v>
      </c>
      <c r="BF20">
        <v>3.5</v>
      </c>
      <c r="BG20">
        <v>5</v>
      </c>
      <c r="BH20">
        <v>4</v>
      </c>
      <c r="BI20">
        <v>5.5</v>
      </c>
      <c r="BJ20">
        <v>3.5</v>
      </c>
      <c r="BK20">
        <v>4</v>
      </c>
      <c r="BL20">
        <v>5.5</v>
      </c>
      <c r="BM20" t="s">
        <v>26</v>
      </c>
      <c r="BN20" t="s">
        <v>26</v>
      </c>
      <c r="BO20">
        <v>5.5</v>
      </c>
      <c r="BP20" t="s">
        <v>26</v>
      </c>
      <c r="BQ20">
        <v>8.5</v>
      </c>
      <c r="BR20">
        <v>5</v>
      </c>
      <c r="BS20" t="s">
        <v>26</v>
      </c>
      <c r="BT20">
        <v>5.5</v>
      </c>
      <c r="BU20">
        <v>6.5</v>
      </c>
      <c r="BV20">
        <v>5</v>
      </c>
      <c r="BW20" t="s">
        <v>26</v>
      </c>
      <c r="BX20">
        <v>5.5</v>
      </c>
      <c r="BY20">
        <v>5.5</v>
      </c>
      <c r="BZ20" t="s">
        <v>26</v>
      </c>
      <c r="CA20">
        <v>5.5</v>
      </c>
      <c r="CB20">
        <v>5.5</v>
      </c>
      <c r="CC20">
        <v>4</v>
      </c>
      <c r="CD20">
        <v>6.5</v>
      </c>
      <c r="CE20">
        <v>6</v>
      </c>
      <c r="CF20">
        <v>6</v>
      </c>
      <c r="CH20">
        <v>5.5</v>
      </c>
      <c r="CI20">
        <v>6</v>
      </c>
      <c r="CJ20">
        <v>5.5</v>
      </c>
      <c r="CM20">
        <v>5.5</v>
      </c>
      <c r="CS20">
        <f>COUNT(B20:CJ20)</f>
        <v>37</v>
      </c>
      <c r="CT20" s="18">
        <f>AVERAGE(B20:CJ20)</f>
        <v>5.2027027027027026</v>
      </c>
      <c r="CU20">
        <f t="shared" si="0"/>
        <v>1.3241383031954423</v>
      </c>
      <c r="CV20">
        <v>0</v>
      </c>
      <c r="CW20">
        <f t="shared" si="1"/>
        <v>1</v>
      </c>
      <c r="CX20">
        <f t="shared" si="2"/>
        <v>1</v>
      </c>
    </row>
    <row r="21" spans="1:102" x14ac:dyDescent="0.35">
      <c r="A21" t="s">
        <v>84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  <c r="U21" t="s">
        <v>26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>
        <v>3.5</v>
      </c>
      <c r="AC21">
        <v>5.5</v>
      </c>
      <c r="AD21" t="s">
        <v>26</v>
      </c>
      <c r="AE21">
        <v>8</v>
      </c>
      <c r="AF21">
        <v>7</v>
      </c>
      <c r="AG21">
        <v>8</v>
      </c>
      <c r="AH21">
        <v>5.5</v>
      </c>
      <c r="AI21">
        <v>6.5</v>
      </c>
      <c r="AJ21" t="s">
        <v>26</v>
      </c>
      <c r="AK21" t="s">
        <v>26</v>
      </c>
      <c r="AL21">
        <v>5.5</v>
      </c>
      <c r="AM21" t="s">
        <v>26</v>
      </c>
      <c r="AN21" t="s">
        <v>26</v>
      </c>
      <c r="AO21">
        <v>6.5</v>
      </c>
      <c r="AP21">
        <v>7</v>
      </c>
      <c r="AQ21">
        <v>6.5</v>
      </c>
      <c r="AR21" t="s">
        <v>26</v>
      </c>
      <c r="AS21" t="s">
        <v>26</v>
      </c>
      <c r="AT21">
        <v>5</v>
      </c>
      <c r="AU21">
        <v>5.5</v>
      </c>
      <c r="AV21">
        <v>5.5</v>
      </c>
      <c r="AW21">
        <v>5</v>
      </c>
      <c r="AX21">
        <v>5.5</v>
      </c>
      <c r="AY21" t="s">
        <v>26</v>
      </c>
      <c r="AZ21">
        <v>5.5</v>
      </c>
      <c r="BA21">
        <v>6.5</v>
      </c>
      <c r="BB21">
        <v>6.5</v>
      </c>
      <c r="BC21">
        <v>4</v>
      </c>
      <c r="BD21">
        <v>5</v>
      </c>
      <c r="BE21">
        <v>5</v>
      </c>
      <c r="BF21">
        <v>5</v>
      </c>
      <c r="BG21">
        <v>5.5</v>
      </c>
      <c r="BH21" t="s">
        <v>26</v>
      </c>
      <c r="BI21">
        <v>5</v>
      </c>
      <c r="BJ21" t="s">
        <v>26</v>
      </c>
      <c r="BK21" t="s">
        <v>26</v>
      </c>
      <c r="BL21">
        <v>5.5</v>
      </c>
      <c r="BM21">
        <v>5.5</v>
      </c>
      <c r="BN21">
        <v>6.5</v>
      </c>
      <c r="BO21">
        <v>5.5</v>
      </c>
      <c r="BP21" t="s">
        <v>26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>
        <v>5.5</v>
      </c>
      <c r="BX21" t="s">
        <v>26</v>
      </c>
      <c r="BY21" t="s">
        <v>26</v>
      </c>
      <c r="BZ21" t="s">
        <v>26</v>
      </c>
      <c r="CA21">
        <v>5.5</v>
      </c>
      <c r="CB21">
        <v>6.5</v>
      </c>
      <c r="CC21">
        <v>6</v>
      </c>
      <c r="CD21">
        <v>5.5</v>
      </c>
      <c r="CJ21">
        <v>6</v>
      </c>
      <c r="CK21">
        <v>6.5</v>
      </c>
      <c r="CN21">
        <v>5.5</v>
      </c>
      <c r="CO21">
        <v>5.5</v>
      </c>
      <c r="CS21">
        <f>COUNT(B21:CI21)</f>
        <v>36</v>
      </c>
      <c r="CT21" s="18">
        <f>AVERAGE(B21:CI21)</f>
        <v>5.7361111111111107</v>
      </c>
      <c r="CU21">
        <f t="shared" si="0"/>
        <v>0.92956296268047622</v>
      </c>
      <c r="CV21">
        <v>1</v>
      </c>
      <c r="CW21">
        <f t="shared" si="1"/>
        <v>2</v>
      </c>
      <c r="CX21">
        <f t="shared" si="2"/>
        <v>0</v>
      </c>
    </row>
    <row r="22" spans="1:102" x14ac:dyDescent="0.35">
      <c r="A22" t="s">
        <v>15</v>
      </c>
      <c r="B22">
        <v>7</v>
      </c>
      <c r="C22">
        <v>5</v>
      </c>
      <c r="D22" t="s">
        <v>26</v>
      </c>
      <c r="E22" t="s">
        <v>26</v>
      </c>
      <c r="F22" t="s">
        <v>26</v>
      </c>
      <c r="G22">
        <v>5.5</v>
      </c>
      <c r="H22">
        <v>3.5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>
        <v>5.5</v>
      </c>
      <c r="Q22">
        <v>5</v>
      </c>
      <c r="R22">
        <v>7</v>
      </c>
      <c r="S22">
        <v>5.5</v>
      </c>
      <c r="T22">
        <v>5.5</v>
      </c>
      <c r="U22">
        <v>7</v>
      </c>
      <c r="V22">
        <v>5</v>
      </c>
      <c r="W22">
        <v>5.5</v>
      </c>
      <c r="X22">
        <v>5</v>
      </c>
      <c r="Y22">
        <v>7</v>
      </c>
      <c r="Z22" t="s">
        <v>26</v>
      </c>
      <c r="AA22">
        <v>7</v>
      </c>
      <c r="AB22">
        <v>5.5</v>
      </c>
      <c r="AC22" t="s">
        <v>26</v>
      </c>
      <c r="AD22">
        <v>5.5</v>
      </c>
      <c r="AE22" t="s">
        <v>26</v>
      </c>
      <c r="AF22" t="s">
        <v>26</v>
      </c>
      <c r="AG22" t="s">
        <v>26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 t="s">
        <v>26</v>
      </c>
      <c r="AR22" t="s">
        <v>26</v>
      </c>
      <c r="AS22" t="s">
        <v>26</v>
      </c>
      <c r="AT22" t="s">
        <v>26</v>
      </c>
      <c r="AU22" t="s">
        <v>26</v>
      </c>
      <c r="AV22" t="s">
        <v>26</v>
      </c>
      <c r="AW22" t="s">
        <v>26</v>
      </c>
      <c r="AX22" t="s">
        <v>26</v>
      </c>
      <c r="AY22" t="s">
        <v>26</v>
      </c>
      <c r="AZ22" t="s">
        <v>26</v>
      </c>
      <c r="BA22" t="s">
        <v>26</v>
      </c>
      <c r="BB22">
        <v>3.5</v>
      </c>
      <c r="BC22">
        <v>4</v>
      </c>
      <c r="BD22">
        <v>5.5</v>
      </c>
      <c r="BE22">
        <v>8.5</v>
      </c>
      <c r="BF22" t="s">
        <v>26</v>
      </c>
      <c r="BG22" t="s">
        <v>26</v>
      </c>
      <c r="BH22">
        <v>5.5</v>
      </c>
      <c r="BI22" t="s">
        <v>26</v>
      </c>
      <c r="BJ22">
        <v>5</v>
      </c>
      <c r="BK22">
        <v>6.5</v>
      </c>
      <c r="BL22">
        <v>5.5</v>
      </c>
      <c r="BM22">
        <v>5.5</v>
      </c>
      <c r="BN22">
        <v>6.5</v>
      </c>
      <c r="BO22" t="s">
        <v>26</v>
      </c>
      <c r="BP22" t="s">
        <v>26</v>
      </c>
      <c r="BQ22" t="s">
        <v>26</v>
      </c>
      <c r="BR22">
        <v>5.5</v>
      </c>
      <c r="BS22">
        <v>5.5</v>
      </c>
      <c r="BT22" t="s">
        <v>26</v>
      </c>
      <c r="BU22" t="s">
        <v>26</v>
      </c>
      <c r="BV22" t="s">
        <v>26</v>
      </c>
      <c r="BW22">
        <v>6.5</v>
      </c>
      <c r="BX22">
        <v>5.5</v>
      </c>
      <c r="BY22">
        <v>5.5</v>
      </c>
      <c r="BZ22" t="s">
        <v>26</v>
      </c>
      <c r="CA22">
        <v>5</v>
      </c>
      <c r="CB22">
        <v>5.5</v>
      </c>
      <c r="CC22">
        <v>5</v>
      </c>
      <c r="CI22">
        <v>5</v>
      </c>
      <c r="CJ22">
        <v>6</v>
      </c>
      <c r="CK22">
        <v>6</v>
      </c>
      <c r="CL22">
        <v>6</v>
      </c>
      <c r="CM22">
        <v>6.5</v>
      </c>
      <c r="CN22">
        <v>6.5</v>
      </c>
      <c r="CO22">
        <v>6</v>
      </c>
      <c r="CP22">
        <v>5.5</v>
      </c>
      <c r="CQ22">
        <v>6.5</v>
      </c>
      <c r="CS22">
        <f>COUNT(B22:CI22)</f>
        <v>36</v>
      </c>
      <c r="CT22" s="18">
        <f>AVERAGE(B22:CI22)</f>
        <v>5.6111111111111107</v>
      </c>
      <c r="CU22">
        <f t="shared" si="0"/>
        <v>1.0098256776095882</v>
      </c>
      <c r="CV22">
        <v>1</v>
      </c>
      <c r="CW22">
        <f t="shared" si="1"/>
        <v>4</v>
      </c>
      <c r="CX22">
        <f t="shared" si="2"/>
        <v>0</v>
      </c>
    </row>
    <row r="23" spans="1:102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S23">
        <f>COUNT(B23:CN23)</f>
        <v>30</v>
      </c>
      <c r="CT23" s="18">
        <f>AVERAGE(B23:CN23)</f>
        <v>6.4</v>
      </c>
      <c r="CU23">
        <f t="shared" si="0"/>
        <v>0.90960483309014595</v>
      </c>
      <c r="CV23">
        <v>1</v>
      </c>
      <c r="CW23">
        <f t="shared" si="1"/>
        <v>4</v>
      </c>
      <c r="CX23">
        <f t="shared" si="2"/>
        <v>0</v>
      </c>
    </row>
    <row r="24" spans="1:102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S24">
        <f t="shared" ref="CS24:CS31" si="3">COUNT(B24:CI24)</f>
        <v>25</v>
      </c>
      <c r="CT24" s="18">
        <f t="shared" ref="CT24:CT31" si="4">AVERAGE(B24:CI24)</f>
        <v>5.4</v>
      </c>
      <c r="CU24">
        <f t="shared" si="0"/>
        <v>0.71728150235677346</v>
      </c>
      <c r="CV24">
        <v>0</v>
      </c>
      <c r="CW24">
        <f t="shared" si="1"/>
        <v>1</v>
      </c>
      <c r="CX24">
        <f t="shared" si="2"/>
        <v>1</v>
      </c>
    </row>
    <row r="25" spans="1:102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S25">
        <f t="shared" si="3"/>
        <v>19</v>
      </c>
      <c r="CT25" s="18">
        <f t="shared" si="4"/>
        <v>5.7894736842105265</v>
      </c>
      <c r="CU25">
        <f t="shared" si="0"/>
        <v>1.3674366679797902</v>
      </c>
      <c r="CV25">
        <v>0</v>
      </c>
      <c r="CW25">
        <f t="shared" si="1"/>
        <v>0</v>
      </c>
      <c r="CX25">
        <f t="shared" si="2"/>
        <v>0</v>
      </c>
    </row>
    <row r="26" spans="1:102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S26">
        <f t="shared" si="3"/>
        <v>18</v>
      </c>
      <c r="CT26" s="18">
        <f t="shared" si="4"/>
        <v>5.9444444444444446</v>
      </c>
      <c r="CU26">
        <f t="shared" si="0"/>
        <v>0.72535769855270305</v>
      </c>
      <c r="CV26">
        <v>0</v>
      </c>
      <c r="CW26">
        <f t="shared" si="1"/>
        <v>0</v>
      </c>
      <c r="CX26">
        <f t="shared" si="2"/>
        <v>0</v>
      </c>
    </row>
    <row r="27" spans="1:102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S27">
        <f t="shared" si="3"/>
        <v>17</v>
      </c>
      <c r="CT27" s="18">
        <f t="shared" si="4"/>
        <v>5.3235294117647056</v>
      </c>
      <c r="CU27">
        <f t="shared" si="0"/>
        <v>1.3456083251473603</v>
      </c>
      <c r="CV27">
        <v>0</v>
      </c>
      <c r="CW27">
        <f t="shared" si="1"/>
        <v>0</v>
      </c>
      <c r="CX27">
        <f t="shared" si="2"/>
        <v>0</v>
      </c>
    </row>
    <row r="28" spans="1:102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S28">
        <f t="shared" si="3"/>
        <v>16</v>
      </c>
      <c r="CT28" s="18">
        <f t="shared" si="4"/>
        <v>4.53125</v>
      </c>
      <c r="CU28">
        <f t="shared" si="0"/>
        <v>1.5434674167816653</v>
      </c>
      <c r="CV28">
        <v>0</v>
      </c>
      <c r="CW28">
        <f t="shared" si="1"/>
        <v>0</v>
      </c>
      <c r="CX28">
        <f t="shared" si="2"/>
        <v>0</v>
      </c>
    </row>
    <row r="29" spans="1:102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O29">
        <v>6.5</v>
      </c>
      <c r="CQ29">
        <v>6.5</v>
      </c>
      <c r="CS29">
        <f t="shared" si="3"/>
        <v>16</v>
      </c>
      <c r="CT29" s="18">
        <f t="shared" si="4"/>
        <v>6.65625</v>
      </c>
      <c r="CU29">
        <f t="shared" si="0"/>
        <v>0.74651970279870483</v>
      </c>
      <c r="CV29">
        <v>1</v>
      </c>
      <c r="CW29">
        <f t="shared" si="1"/>
        <v>3</v>
      </c>
      <c r="CX29">
        <f t="shared" si="2"/>
        <v>0</v>
      </c>
    </row>
    <row r="30" spans="1:102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S30">
        <f t="shared" si="3"/>
        <v>15</v>
      </c>
      <c r="CT30" s="18">
        <f t="shared" si="4"/>
        <v>3.8666666666666667</v>
      </c>
      <c r="CU30">
        <f t="shared" si="0"/>
        <v>2.3563490726929555</v>
      </c>
      <c r="CV30">
        <v>0</v>
      </c>
      <c r="CW30">
        <f t="shared" si="1"/>
        <v>0</v>
      </c>
      <c r="CX30">
        <f t="shared" si="2"/>
        <v>0</v>
      </c>
    </row>
    <row r="31" spans="1:102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L31">
        <v>5.5</v>
      </c>
      <c r="CP31">
        <v>6</v>
      </c>
      <c r="CS31">
        <f t="shared" si="3"/>
        <v>14</v>
      </c>
      <c r="CT31" s="18">
        <f t="shared" si="4"/>
        <v>4.8214285714285712</v>
      </c>
      <c r="CU31">
        <f t="shared" si="0"/>
        <v>0.89335151148745728</v>
      </c>
      <c r="CV31">
        <v>0</v>
      </c>
      <c r="CW31">
        <f t="shared" si="1"/>
        <v>1</v>
      </c>
      <c r="CX31">
        <f t="shared" si="2"/>
        <v>1</v>
      </c>
    </row>
    <row r="32" spans="1:102" x14ac:dyDescent="0.35">
      <c r="A32" t="s">
        <v>81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>
        <v>7</v>
      </c>
      <c r="AA32" t="s">
        <v>26</v>
      </c>
      <c r="AB32" t="s">
        <v>26</v>
      </c>
      <c r="AC32" t="s">
        <v>26</v>
      </c>
      <c r="AD32">
        <v>8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 t="s">
        <v>26</v>
      </c>
      <c r="AO32" t="s">
        <v>26</v>
      </c>
      <c r="AP32" t="s">
        <v>26</v>
      </c>
      <c r="AQ32" t="s">
        <v>26</v>
      </c>
      <c r="AR32" t="s">
        <v>26</v>
      </c>
      <c r="AS32">
        <v>5.5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>
        <v>6.5</v>
      </c>
      <c r="CA32" t="s">
        <v>26</v>
      </c>
      <c r="CB32" t="s">
        <v>26</v>
      </c>
      <c r="CE32">
        <v>6.5</v>
      </c>
      <c r="CG32">
        <v>6.5</v>
      </c>
      <c r="CH32">
        <v>6</v>
      </c>
      <c r="CI32">
        <v>6</v>
      </c>
      <c r="CJ32">
        <v>6</v>
      </c>
      <c r="CK32">
        <v>6.5</v>
      </c>
      <c r="CL32">
        <v>6.5</v>
      </c>
      <c r="CM32">
        <v>6</v>
      </c>
      <c r="CN32">
        <v>6.5</v>
      </c>
      <c r="CO32">
        <v>6</v>
      </c>
      <c r="CP32">
        <v>6</v>
      </c>
      <c r="CQ32">
        <v>6</v>
      </c>
      <c r="CS32">
        <f>COUNT(B32:CQ32)</f>
        <v>16</v>
      </c>
      <c r="CT32" s="18">
        <f>AVERAGE(B32:CQ32)</f>
        <v>6.34375</v>
      </c>
      <c r="CU32">
        <f t="shared" si="0"/>
        <v>0.90829510622924903</v>
      </c>
      <c r="CV32">
        <v>1</v>
      </c>
      <c r="CW32">
        <f t="shared" si="1"/>
        <v>4</v>
      </c>
      <c r="CX32">
        <f t="shared" si="2"/>
        <v>0</v>
      </c>
    </row>
    <row r="33" spans="1:102" x14ac:dyDescent="0.35">
      <c r="A33" t="s">
        <v>12</v>
      </c>
      <c r="B33">
        <v>9.5</v>
      </c>
      <c r="C33" t="s">
        <v>26</v>
      </c>
      <c r="D33">
        <v>8</v>
      </c>
      <c r="E33">
        <v>8</v>
      </c>
      <c r="F33" t="s">
        <v>26</v>
      </c>
      <c r="G33" t="s">
        <v>26</v>
      </c>
      <c r="H33">
        <v>5.5</v>
      </c>
      <c r="I33">
        <v>8</v>
      </c>
      <c r="J33" t="s">
        <v>26</v>
      </c>
      <c r="K33">
        <v>5.5</v>
      </c>
      <c r="L33">
        <v>8</v>
      </c>
      <c r="M33">
        <v>7</v>
      </c>
      <c r="N33">
        <v>5.5</v>
      </c>
      <c r="O33" t="s">
        <v>26</v>
      </c>
      <c r="P33" t="s">
        <v>26</v>
      </c>
      <c r="Q33" t="s">
        <v>26</v>
      </c>
      <c r="R33">
        <v>10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E33" t="s">
        <v>26</v>
      </c>
      <c r="AF33" t="s">
        <v>26</v>
      </c>
      <c r="AG33">
        <v>8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>
        <v>7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>
        <v>5.5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S33">
        <f t="shared" ref="CS33:CS64" si="5">COUNT(B33:CI33)</f>
        <v>13</v>
      </c>
      <c r="CT33" s="18">
        <f t="shared" ref="CT33:CT64" si="6">AVERAGE(B33:CI33)</f>
        <v>7.3461538461538458</v>
      </c>
      <c r="CU33">
        <f t="shared" si="0"/>
        <v>1.5191090506255012</v>
      </c>
      <c r="CV33">
        <v>0</v>
      </c>
      <c r="CW33">
        <f t="shared" si="1"/>
        <v>0</v>
      </c>
      <c r="CX33">
        <f t="shared" si="2"/>
        <v>0</v>
      </c>
    </row>
    <row r="34" spans="1:102" x14ac:dyDescent="0.35">
      <c r="A34" t="s">
        <v>17</v>
      </c>
      <c r="B34" t="s">
        <v>26</v>
      </c>
      <c r="C34">
        <v>5</v>
      </c>
      <c r="D34" t="s">
        <v>26</v>
      </c>
      <c r="E34" t="s">
        <v>26</v>
      </c>
      <c r="F34" t="s">
        <v>26</v>
      </c>
      <c r="G34" t="s">
        <v>26</v>
      </c>
      <c r="H34" t="s">
        <v>26</v>
      </c>
      <c r="I34" t="s">
        <v>26</v>
      </c>
      <c r="J34" t="s">
        <v>26</v>
      </c>
      <c r="K34" t="s">
        <v>26</v>
      </c>
      <c r="L34" t="s">
        <v>26</v>
      </c>
      <c r="M34" t="s">
        <v>26</v>
      </c>
      <c r="N34" t="s">
        <v>26</v>
      </c>
      <c r="O34" t="s">
        <v>26</v>
      </c>
      <c r="P34" t="s">
        <v>26</v>
      </c>
      <c r="Q34" t="s">
        <v>26</v>
      </c>
      <c r="R34">
        <v>3.5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>
        <v>5</v>
      </c>
      <c r="Z34">
        <v>5</v>
      </c>
      <c r="AA34" t="s">
        <v>26</v>
      </c>
      <c r="AB34">
        <v>5</v>
      </c>
      <c r="AC34">
        <v>5</v>
      </c>
      <c r="AD34">
        <v>3</v>
      </c>
      <c r="AE34" t="s">
        <v>26</v>
      </c>
      <c r="AF34" t="s">
        <v>26</v>
      </c>
      <c r="AG34" t="s">
        <v>26</v>
      </c>
      <c r="AH34">
        <v>4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>
        <v>5.5</v>
      </c>
      <c r="BF34">
        <v>5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>
        <v>5.5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S34">
        <f t="shared" si="5"/>
        <v>11</v>
      </c>
      <c r="CT34" s="18">
        <f t="shared" si="6"/>
        <v>4.6818181818181817</v>
      </c>
      <c r="CU34">
        <f t="shared" ref="CU34:CU65" si="7">IF(CS34&gt;1,_xlfn.STDEV.S(B34:CF34),"")</f>
        <v>0.81463879335344846</v>
      </c>
      <c r="CV34">
        <v>0</v>
      </c>
      <c r="CW34">
        <f t="shared" ref="CW34:CW65" si="8">COUNT(CK34:CN34)</f>
        <v>0</v>
      </c>
      <c r="CX34">
        <f t="shared" ref="CX34:CX65" si="9">IF(CV34=0,CW34,0)</f>
        <v>0</v>
      </c>
    </row>
    <row r="35" spans="1:102" x14ac:dyDescent="0.35">
      <c r="A35" t="s">
        <v>45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>
        <v>8</v>
      </c>
      <c r="H35">
        <v>8</v>
      </c>
      <c r="I35" t="s">
        <v>26</v>
      </c>
      <c r="J35">
        <v>9.5</v>
      </c>
      <c r="K35">
        <v>9.5</v>
      </c>
      <c r="L35">
        <v>8</v>
      </c>
      <c r="M35">
        <v>8</v>
      </c>
      <c r="N35">
        <v>8</v>
      </c>
      <c r="O35">
        <v>10</v>
      </c>
      <c r="P35">
        <v>9.5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 t="s">
        <v>26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C35">
        <v>6</v>
      </c>
      <c r="CS35">
        <f t="shared" si="5"/>
        <v>10</v>
      </c>
      <c r="CT35" s="18">
        <f t="shared" si="6"/>
        <v>8.4499999999999993</v>
      </c>
      <c r="CU35">
        <f t="shared" si="7"/>
        <v>1.1890705987824657</v>
      </c>
      <c r="CV35">
        <v>0</v>
      </c>
      <c r="CW35">
        <f t="shared" si="8"/>
        <v>0</v>
      </c>
      <c r="CX35">
        <f t="shared" si="9"/>
        <v>0</v>
      </c>
    </row>
    <row r="36" spans="1:102" x14ac:dyDescent="0.35">
      <c r="A36" t="s">
        <v>343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>
        <v>1</v>
      </c>
      <c r="K36" t="s">
        <v>26</v>
      </c>
      <c r="L36" t="s">
        <v>26</v>
      </c>
      <c r="M36">
        <v>3.5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>
        <v>2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>
        <v>5.5</v>
      </c>
      <c r="BH36">
        <v>5</v>
      </c>
      <c r="BI36">
        <v>5</v>
      </c>
      <c r="BJ36" t="s">
        <v>26</v>
      </c>
      <c r="BK36" t="s">
        <v>26</v>
      </c>
      <c r="BL36" t="s">
        <v>26</v>
      </c>
      <c r="BM36">
        <v>5.5</v>
      </c>
      <c r="BN36">
        <v>5.5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K36">
        <v>6</v>
      </c>
      <c r="CL36">
        <v>5.5</v>
      </c>
      <c r="CM36">
        <v>6.5</v>
      </c>
      <c r="CO36">
        <v>6</v>
      </c>
      <c r="CQ36">
        <v>6</v>
      </c>
      <c r="CS36">
        <f t="shared" si="5"/>
        <v>8</v>
      </c>
      <c r="CT36" s="18">
        <f t="shared" si="6"/>
        <v>4.125</v>
      </c>
      <c r="CU36">
        <f t="shared" si="7"/>
        <v>1.7677669529663689</v>
      </c>
      <c r="CV36">
        <v>1</v>
      </c>
      <c r="CW36">
        <f t="shared" si="8"/>
        <v>3</v>
      </c>
      <c r="CX36">
        <f t="shared" si="9"/>
        <v>0</v>
      </c>
    </row>
    <row r="37" spans="1:102" x14ac:dyDescent="0.35">
      <c r="A37" t="s">
        <v>340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>
        <v>5.5</v>
      </c>
      <c r="AK37" t="s">
        <v>26</v>
      </c>
      <c r="AL37" t="s">
        <v>26</v>
      </c>
      <c r="AM37" t="s">
        <v>26</v>
      </c>
      <c r="AN37">
        <v>6.5</v>
      </c>
      <c r="AO37">
        <v>5</v>
      </c>
      <c r="AP37">
        <v>5.5</v>
      </c>
      <c r="AQ37">
        <v>6.5</v>
      </c>
      <c r="AR37">
        <v>5.5</v>
      </c>
      <c r="AS37">
        <v>5.5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 t="s">
        <v>26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L37">
        <v>6</v>
      </c>
      <c r="CS37">
        <f t="shared" si="5"/>
        <v>7</v>
      </c>
      <c r="CT37" s="18">
        <f t="shared" si="6"/>
        <v>5.7142857142857144</v>
      </c>
      <c r="CU37">
        <f t="shared" si="7"/>
        <v>0.56694670951384085</v>
      </c>
      <c r="CV37">
        <v>0</v>
      </c>
      <c r="CW37">
        <f t="shared" si="8"/>
        <v>1</v>
      </c>
      <c r="CX37">
        <f t="shared" si="9"/>
        <v>1</v>
      </c>
    </row>
    <row r="38" spans="1:102" x14ac:dyDescent="0.35">
      <c r="A38" t="s">
        <v>376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>
        <v>6.5</v>
      </c>
      <c r="BO38">
        <v>5.5</v>
      </c>
      <c r="BP38">
        <v>5.5</v>
      </c>
      <c r="BQ38">
        <v>5.5</v>
      </c>
      <c r="BR38" t="s">
        <v>26</v>
      </c>
      <c r="BS38">
        <v>5.5</v>
      </c>
      <c r="BT38" t="s">
        <v>26</v>
      </c>
      <c r="BU38" t="s">
        <v>26</v>
      </c>
      <c r="BV38">
        <v>6.5</v>
      </c>
      <c r="BW38">
        <v>5.5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N38">
        <v>6</v>
      </c>
      <c r="CO38">
        <v>5.5</v>
      </c>
      <c r="CQ38">
        <v>7.5</v>
      </c>
      <c r="CS38">
        <f t="shared" si="5"/>
        <v>7</v>
      </c>
      <c r="CT38" s="18">
        <f t="shared" si="6"/>
        <v>5.7857142857142856</v>
      </c>
      <c r="CU38">
        <f t="shared" si="7"/>
        <v>0.4879500364742666</v>
      </c>
      <c r="CV38">
        <v>0</v>
      </c>
      <c r="CW38">
        <f t="shared" si="8"/>
        <v>1</v>
      </c>
      <c r="CX38">
        <f t="shared" si="9"/>
        <v>1</v>
      </c>
    </row>
    <row r="39" spans="1:102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O39">
        <v>5.5</v>
      </c>
      <c r="CP39">
        <v>6</v>
      </c>
      <c r="CQ39">
        <v>5.5</v>
      </c>
      <c r="CS39">
        <f t="shared" si="5"/>
        <v>6</v>
      </c>
      <c r="CT39" s="18">
        <f t="shared" si="6"/>
        <v>5.166666666666667</v>
      </c>
      <c r="CU39">
        <f t="shared" si="7"/>
        <v>0.28867513459481287</v>
      </c>
      <c r="CV39">
        <v>1</v>
      </c>
      <c r="CW39">
        <f t="shared" si="8"/>
        <v>3</v>
      </c>
      <c r="CX39">
        <f t="shared" si="9"/>
        <v>0</v>
      </c>
    </row>
    <row r="40" spans="1:102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S40">
        <f t="shared" si="5"/>
        <v>5</v>
      </c>
      <c r="CT40" s="18">
        <f t="shared" si="6"/>
        <v>7.8</v>
      </c>
      <c r="CU40">
        <f t="shared" si="7"/>
        <v>1.0307764064044151</v>
      </c>
      <c r="CV40">
        <v>0</v>
      </c>
      <c r="CW40">
        <f t="shared" si="8"/>
        <v>0</v>
      </c>
      <c r="CX40">
        <f t="shared" si="9"/>
        <v>0</v>
      </c>
    </row>
    <row r="41" spans="1:102" x14ac:dyDescent="0.35">
      <c r="A41" t="s">
        <v>60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3.5</v>
      </c>
      <c r="S41" t="s">
        <v>26</v>
      </c>
      <c r="T41">
        <v>3</v>
      </c>
      <c r="U41">
        <v>3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>
        <v>4</v>
      </c>
      <c r="BZ41" t="s">
        <v>26</v>
      </c>
      <c r="CA41" t="s">
        <v>26</v>
      </c>
      <c r="CB41" t="s">
        <v>26</v>
      </c>
      <c r="CM41">
        <v>5.5</v>
      </c>
      <c r="CS41">
        <f t="shared" si="5"/>
        <v>4</v>
      </c>
      <c r="CT41" s="18">
        <f t="shared" si="6"/>
        <v>3.375</v>
      </c>
      <c r="CU41">
        <f t="shared" si="7"/>
        <v>0.47871355387816905</v>
      </c>
      <c r="CV41">
        <v>0</v>
      </c>
      <c r="CW41">
        <f t="shared" si="8"/>
        <v>1</v>
      </c>
      <c r="CX41">
        <f t="shared" si="9"/>
        <v>1</v>
      </c>
    </row>
    <row r="42" spans="1:102" x14ac:dyDescent="0.35">
      <c r="A42" t="s">
        <v>61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 t="s">
        <v>26</v>
      </c>
      <c r="N42" t="s">
        <v>26</v>
      </c>
      <c r="O42" t="s">
        <v>26</v>
      </c>
      <c r="P42" t="s">
        <v>26</v>
      </c>
      <c r="Q42" t="s">
        <v>26</v>
      </c>
      <c r="R42">
        <v>7</v>
      </c>
      <c r="S42">
        <v>5</v>
      </c>
      <c r="T42">
        <v>5</v>
      </c>
      <c r="U42" t="s">
        <v>26</v>
      </c>
      <c r="V42" t="s">
        <v>26</v>
      </c>
      <c r="W42">
        <v>5.5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 t="s">
        <v>26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S42">
        <f t="shared" si="5"/>
        <v>4</v>
      </c>
      <c r="CT42" s="18">
        <f t="shared" si="6"/>
        <v>5.625</v>
      </c>
      <c r="CU42">
        <f t="shared" si="7"/>
        <v>0.9464847243000456</v>
      </c>
      <c r="CV42">
        <v>0</v>
      </c>
      <c r="CW42">
        <f t="shared" si="8"/>
        <v>0</v>
      </c>
      <c r="CX42">
        <f t="shared" si="9"/>
        <v>0</v>
      </c>
    </row>
    <row r="43" spans="1:102" x14ac:dyDescent="0.35">
      <c r="A43" t="s">
        <v>54</v>
      </c>
      <c r="B43" t="s">
        <v>26</v>
      </c>
      <c r="C43" t="s">
        <v>26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>
        <v>5.5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>
        <v>7</v>
      </c>
      <c r="W43">
        <v>8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 t="s">
        <v>26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>
        <v>6.5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 t="s">
        <v>26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S43">
        <f t="shared" si="5"/>
        <v>4</v>
      </c>
      <c r="CT43" s="18">
        <f t="shared" si="6"/>
        <v>6.75</v>
      </c>
      <c r="CU43">
        <f t="shared" si="7"/>
        <v>1.0408329997330663</v>
      </c>
      <c r="CV43">
        <v>0</v>
      </c>
      <c r="CW43">
        <f t="shared" si="8"/>
        <v>0</v>
      </c>
      <c r="CX43">
        <f t="shared" si="9"/>
        <v>0</v>
      </c>
    </row>
    <row r="44" spans="1:102" x14ac:dyDescent="0.35">
      <c r="A44" t="s">
        <v>21</v>
      </c>
      <c r="B44" t="s">
        <v>26</v>
      </c>
      <c r="C44" t="s">
        <v>26</v>
      </c>
      <c r="D44">
        <v>1.5</v>
      </c>
      <c r="E44" t="s">
        <v>26</v>
      </c>
      <c r="F44" t="s">
        <v>26</v>
      </c>
      <c r="G44">
        <v>0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>
        <v>0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>
        <v>4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S44">
        <f t="shared" si="5"/>
        <v>4</v>
      </c>
      <c r="CT44" s="18">
        <f t="shared" si="6"/>
        <v>1.375</v>
      </c>
      <c r="CU44">
        <f t="shared" si="7"/>
        <v>1.8874586088176875</v>
      </c>
      <c r="CV44">
        <v>0</v>
      </c>
      <c r="CW44">
        <f t="shared" si="8"/>
        <v>0</v>
      </c>
      <c r="CX44">
        <f t="shared" si="9"/>
        <v>0</v>
      </c>
    </row>
    <row r="45" spans="1:102" x14ac:dyDescent="0.35">
      <c r="A45" t="s">
        <v>344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>
        <v>5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>
        <v>3.5</v>
      </c>
      <c r="AR45">
        <v>3.5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>
        <v>6.5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S45">
        <f t="shared" si="5"/>
        <v>4</v>
      </c>
      <c r="CT45" s="18">
        <f t="shared" si="6"/>
        <v>4.625</v>
      </c>
      <c r="CU45">
        <f t="shared" si="7"/>
        <v>1.4361406616345072</v>
      </c>
      <c r="CV45">
        <v>0</v>
      </c>
      <c r="CW45">
        <f t="shared" si="8"/>
        <v>0</v>
      </c>
      <c r="CX45">
        <f t="shared" si="9"/>
        <v>0</v>
      </c>
    </row>
    <row r="46" spans="1:102" x14ac:dyDescent="0.35">
      <c r="A46" t="s">
        <v>361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>
        <v>5.5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>
        <v>5.5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>
        <v>7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>
        <v>7</v>
      </c>
      <c r="BZ46" t="s">
        <v>26</v>
      </c>
      <c r="CA46" t="s">
        <v>26</v>
      </c>
      <c r="CB46" t="s">
        <v>26</v>
      </c>
      <c r="CS46">
        <f t="shared" si="5"/>
        <v>4</v>
      </c>
      <c r="CT46" s="18">
        <f t="shared" si="6"/>
        <v>6.25</v>
      </c>
      <c r="CU46">
        <f t="shared" si="7"/>
        <v>0.8660254037844386</v>
      </c>
      <c r="CV46">
        <v>0</v>
      </c>
      <c r="CW46">
        <f t="shared" si="8"/>
        <v>0</v>
      </c>
      <c r="CX46">
        <f t="shared" si="9"/>
        <v>0</v>
      </c>
    </row>
    <row r="47" spans="1:102" x14ac:dyDescent="0.35">
      <c r="A47" t="s">
        <v>43</v>
      </c>
      <c r="B47" t="s">
        <v>26</v>
      </c>
      <c r="C47">
        <v>0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1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>
        <v>5.5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>
        <v>5</v>
      </c>
      <c r="BU47" t="s">
        <v>26</v>
      </c>
      <c r="BV47" t="s">
        <v>26</v>
      </c>
      <c r="BW47" t="s">
        <v>26</v>
      </c>
      <c r="BX47" t="s">
        <v>26</v>
      </c>
      <c r="BY47" t="s">
        <v>26</v>
      </c>
      <c r="BZ47" t="s">
        <v>26</v>
      </c>
      <c r="CA47" t="s">
        <v>26</v>
      </c>
      <c r="CB47" t="s">
        <v>26</v>
      </c>
      <c r="CS47">
        <f t="shared" si="5"/>
        <v>4</v>
      </c>
      <c r="CT47" s="18">
        <f t="shared" si="6"/>
        <v>2.875</v>
      </c>
      <c r="CU47">
        <f t="shared" si="7"/>
        <v>2.7801378862687129</v>
      </c>
      <c r="CV47">
        <v>0</v>
      </c>
      <c r="CW47">
        <f t="shared" si="8"/>
        <v>0</v>
      </c>
      <c r="CX47">
        <f t="shared" si="9"/>
        <v>0</v>
      </c>
    </row>
    <row r="48" spans="1:102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S48">
        <f t="shared" si="5"/>
        <v>3</v>
      </c>
      <c r="CT48" s="18">
        <f t="shared" si="6"/>
        <v>4.666666666666667</v>
      </c>
      <c r="CU48">
        <f t="shared" si="7"/>
        <v>1.4433756729740652</v>
      </c>
      <c r="CV48">
        <v>0</v>
      </c>
      <c r="CW48">
        <f t="shared" si="8"/>
        <v>0</v>
      </c>
      <c r="CX48">
        <f t="shared" si="9"/>
        <v>0</v>
      </c>
    </row>
    <row r="49" spans="1:102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S49">
        <f t="shared" si="5"/>
        <v>3</v>
      </c>
      <c r="CT49" s="18">
        <f t="shared" si="6"/>
        <v>8.5</v>
      </c>
      <c r="CU49">
        <f t="shared" si="7"/>
        <v>1.5</v>
      </c>
      <c r="CV49">
        <v>0</v>
      </c>
      <c r="CW49">
        <f t="shared" si="8"/>
        <v>0</v>
      </c>
      <c r="CX49">
        <f t="shared" si="9"/>
        <v>0</v>
      </c>
    </row>
    <row r="50" spans="1:102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S50">
        <f t="shared" si="5"/>
        <v>3</v>
      </c>
      <c r="CT50" s="18">
        <f t="shared" si="6"/>
        <v>4</v>
      </c>
      <c r="CU50">
        <f t="shared" si="7"/>
        <v>1.7320508075688772</v>
      </c>
      <c r="CV50">
        <v>0</v>
      </c>
      <c r="CW50">
        <f t="shared" si="8"/>
        <v>0</v>
      </c>
      <c r="CX50">
        <f t="shared" si="9"/>
        <v>0</v>
      </c>
    </row>
    <row r="51" spans="1:102" x14ac:dyDescent="0.35">
      <c r="A51" t="s">
        <v>52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>
        <v>5.5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>
        <v>5.5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G51">
        <v>6</v>
      </c>
      <c r="CS51">
        <f t="shared" si="5"/>
        <v>3</v>
      </c>
      <c r="CT51" s="18">
        <f t="shared" si="6"/>
        <v>5.666666666666667</v>
      </c>
      <c r="CU51">
        <f t="shared" si="7"/>
        <v>0</v>
      </c>
      <c r="CV51">
        <v>0</v>
      </c>
      <c r="CW51">
        <f t="shared" si="8"/>
        <v>0</v>
      </c>
      <c r="CX51">
        <f t="shared" si="9"/>
        <v>0</v>
      </c>
    </row>
    <row r="52" spans="1:102" x14ac:dyDescent="0.35">
      <c r="A52" t="s">
        <v>368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>
        <v>9.5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>
        <v>10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G52">
        <v>6</v>
      </c>
      <c r="CS52">
        <f t="shared" si="5"/>
        <v>3</v>
      </c>
      <c r="CT52" s="18">
        <f t="shared" si="6"/>
        <v>8.5</v>
      </c>
      <c r="CU52">
        <f t="shared" si="7"/>
        <v>0.35355339059327379</v>
      </c>
      <c r="CV52">
        <v>0</v>
      </c>
      <c r="CW52">
        <f t="shared" si="8"/>
        <v>0</v>
      </c>
      <c r="CX52">
        <f t="shared" si="9"/>
        <v>0</v>
      </c>
    </row>
    <row r="53" spans="1:102" x14ac:dyDescent="0.35">
      <c r="A53" t="s">
        <v>362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>
        <v>5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D53">
        <v>5.5</v>
      </c>
      <c r="CS53">
        <f t="shared" si="5"/>
        <v>2</v>
      </c>
      <c r="CT53" s="18">
        <f t="shared" si="6"/>
        <v>5.25</v>
      </c>
      <c r="CU53">
        <f t="shared" si="7"/>
        <v>0.35355339059327379</v>
      </c>
      <c r="CV53">
        <v>0</v>
      </c>
      <c r="CW53">
        <f t="shared" si="8"/>
        <v>0</v>
      </c>
      <c r="CX53">
        <f t="shared" si="9"/>
        <v>0</v>
      </c>
    </row>
    <row r="54" spans="1:102" x14ac:dyDescent="0.35">
      <c r="A54" t="s">
        <v>364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 t="s">
        <v>26</v>
      </c>
      <c r="AX54" t="s">
        <v>26</v>
      </c>
      <c r="AY54" t="s">
        <v>26</v>
      </c>
      <c r="AZ54" t="s">
        <v>26</v>
      </c>
      <c r="BA54">
        <v>6.5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>
        <v>6.5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L54">
        <v>6.5</v>
      </c>
      <c r="CM54">
        <v>5.5</v>
      </c>
      <c r="CN54">
        <v>6</v>
      </c>
      <c r="CS54">
        <f t="shared" si="5"/>
        <v>2</v>
      </c>
      <c r="CT54" s="18">
        <f t="shared" si="6"/>
        <v>6.5</v>
      </c>
      <c r="CU54">
        <f t="shared" si="7"/>
        <v>0</v>
      </c>
      <c r="CV54">
        <v>1</v>
      </c>
      <c r="CW54">
        <f t="shared" si="8"/>
        <v>3</v>
      </c>
      <c r="CX54">
        <f t="shared" si="9"/>
        <v>0</v>
      </c>
    </row>
    <row r="55" spans="1:102" x14ac:dyDescent="0.35">
      <c r="A55" t="s">
        <v>53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>
        <v>5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>
        <v>5.5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S55">
        <f t="shared" si="5"/>
        <v>2</v>
      </c>
      <c r="CT55" s="18">
        <f t="shared" si="6"/>
        <v>5.25</v>
      </c>
      <c r="CU55">
        <f t="shared" si="7"/>
        <v>0.35355339059327379</v>
      </c>
      <c r="CV55">
        <v>0</v>
      </c>
      <c r="CW55">
        <f t="shared" si="8"/>
        <v>0</v>
      </c>
      <c r="CX55">
        <f t="shared" si="9"/>
        <v>0</v>
      </c>
    </row>
    <row r="56" spans="1:102" x14ac:dyDescent="0.35">
      <c r="A56" t="s">
        <v>339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>
        <v>8.5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>
        <v>5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S56">
        <f t="shared" si="5"/>
        <v>2</v>
      </c>
      <c r="CT56" s="18">
        <f t="shared" si="6"/>
        <v>6.75</v>
      </c>
      <c r="CU56">
        <f t="shared" si="7"/>
        <v>2.4748737341529163</v>
      </c>
      <c r="CV56">
        <v>0</v>
      </c>
      <c r="CW56">
        <f t="shared" si="8"/>
        <v>0</v>
      </c>
      <c r="CX56">
        <f t="shared" si="9"/>
        <v>0</v>
      </c>
    </row>
    <row r="57" spans="1:102" x14ac:dyDescent="0.35">
      <c r="A57" t="s">
        <v>342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>
        <v>7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>
        <v>4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J57">
        <v>5.5</v>
      </c>
      <c r="CO57">
        <v>6</v>
      </c>
      <c r="CS57">
        <f t="shared" si="5"/>
        <v>2</v>
      </c>
      <c r="CT57" s="18">
        <f t="shared" si="6"/>
        <v>5.5</v>
      </c>
      <c r="CU57">
        <f t="shared" si="7"/>
        <v>2.1213203435596424</v>
      </c>
      <c r="CV57">
        <v>0</v>
      </c>
      <c r="CW57">
        <f t="shared" si="8"/>
        <v>0</v>
      </c>
      <c r="CX57">
        <f t="shared" si="9"/>
        <v>0</v>
      </c>
    </row>
    <row r="58" spans="1:102" x14ac:dyDescent="0.35">
      <c r="A58" t="s">
        <v>369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>
        <v>6.5</v>
      </c>
      <c r="BH58">
        <v>5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S58">
        <f t="shared" si="5"/>
        <v>2</v>
      </c>
      <c r="CT58" s="18">
        <f t="shared" si="6"/>
        <v>5.75</v>
      </c>
      <c r="CU58">
        <f t="shared" si="7"/>
        <v>1.0606601717798212</v>
      </c>
      <c r="CV58">
        <v>0</v>
      </c>
      <c r="CW58">
        <f t="shared" si="8"/>
        <v>0</v>
      </c>
      <c r="CX58">
        <f t="shared" si="9"/>
        <v>0</v>
      </c>
    </row>
    <row r="59" spans="1:102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S59">
        <f t="shared" si="5"/>
        <v>2</v>
      </c>
      <c r="CT59" s="18">
        <f t="shared" si="6"/>
        <v>5.5</v>
      </c>
      <c r="CU59">
        <f t="shared" si="7"/>
        <v>0</v>
      </c>
      <c r="CV59">
        <v>0</v>
      </c>
      <c r="CW59">
        <f t="shared" si="8"/>
        <v>0</v>
      </c>
      <c r="CX59">
        <f t="shared" si="9"/>
        <v>0</v>
      </c>
    </row>
    <row r="60" spans="1:102" x14ac:dyDescent="0.35">
      <c r="A60" t="s">
        <v>390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S60">
        <f t="shared" si="5"/>
        <v>2</v>
      </c>
      <c r="CT60" s="18">
        <f t="shared" si="6"/>
        <v>7</v>
      </c>
      <c r="CU60" t="e">
        <f t="shared" si="7"/>
        <v>#DIV/0!</v>
      </c>
      <c r="CV60">
        <v>0</v>
      </c>
      <c r="CW60">
        <f t="shared" si="8"/>
        <v>0</v>
      </c>
      <c r="CX60">
        <f t="shared" si="9"/>
        <v>0</v>
      </c>
    </row>
    <row r="61" spans="1:102" x14ac:dyDescent="0.35">
      <c r="A61" t="s">
        <v>388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3.5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H61">
        <v>5</v>
      </c>
      <c r="CS61">
        <f t="shared" si="5"/>
        <v>2</v>
      </c>
      <c r="CT61" s="18">
        <f t="shared" si="6"/>
        <v>4.25</v>
      </c>
      <c r="CU61" t="e">
        <f t="shared" si="7"/>
        <v>#DIV/0!</v>
      </c>
      <c r="CV61">
        <v>0</v>
      </c>
      <c r="CW61">
        <f t="shared" si="8"/>
        <v>0</v>
      </c>
      <c r="CX61">
        <f t="shared" si="9"/>
        <v>0</v>
      </c>
    </row>
    <row r="62" spans="1:102" x14ac:dyDescent="0.35">
      <c r="A62" t="s">
        <v>345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>
        <v>2.5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I62">
        <v>6</v>
      </c>
      <c r="CJ62">
        <v>4</v>
      </c>
      <c r="CK62">
        <v>3.5</v>
      </c>
      <c r="CL62">
        <v>5.5</v>
      </c>
      <c r="CM62">
        <v>5.5</v>
      </c>
      <c r="CO62">
        <v>4.5</v>
      </c>
      <c r="CS62">
        <f t="shared" si="5"/>
        <v>2</v>
      </c>
      <c r="CT62" s="18">
        <f t="shared" si="6"/>
        <v>4.25</v>
      </c>
      <c r="CU62" t="e">
        <f t="shared" si="7"/>
        <v>#DIV/0!</v>
      </c>
      <c r="CV62">
        <v>1</v>
      </c>
      <c r="CW62">
        <f t="shared" si="8"/>
        <v>3</v>
      </c>
      <c r="CX62">
        <f t="shared" si="9"/>
        <v>0</v>
      </c>
    </row>
    <row r="63" spans="1:102" x14ac:dyDescent="0.35">
      <c r="A63" t="s">
        <v>387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G63">
        <v>7</v>
      </c>
      <c r="CH63">
        <v>6</v>
      </c>
      <c r="CJ63">
        <v>7</v>
      </c>
      <c r="CS63">
        <f t="shared" si="5"/>
        <v>2</v>
      </c>
      <c r="CT63" s="18">
        <f t="shared" si="6"/>
        <v>6.5</v>
      </c>
      <c r="CU63" t="e">
        <f t="shared" si="7"/>
        <v>#DIV/0!</v>
      </c>
      <c r="CV63">
        <v>0</v>
      </c>
      <c r="CW63">
        <f t="shared" si="8"/>
        <v>0</v>
      </c>
      <c r="CX63">
        <f t="shared" si="9"/>
        <v>0</v>
      </c>
    </row>
    <row r="64" spans="1:102" x14ac:dyDescent="0.35">
      <c r="A64" t="s">
        <v>86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>
        <v>10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S64">
        <f t="shared" si="5"/>
        <v>1</v>
      </c>
      <c r="CT64" s="18">
        <f t="shared" si="6"/>
        <v>10</v>
      </c>
      <c r="CU64" t="str">
        <f t="shared" si="7"/>
        <v/>
      </c>
      <c r="CV64">
        <v>0</v>
      </c>
      <c r="CW64">
        <f t="shared" si="8"/>
        <v>0</v>
      </c>
      <c r="CX64">
        <f t="shared" si="9"/>
        <v>0</v>
      </c>
    </row>
    <row r="65" spans="1:102" x14ac:dyDescent="0.35">
      <c r="A65" t="s">
        <v>77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>
        <v>7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S65">
        <f t="shared" ref="CS65:CS83" si="10">COUNT(B65:CI65)</f>
        <v>1</v>
      </c>
      <c r="CT65" s="18">
        <f t="shared" ref="CT65:CT83" si="11">AVERAGE(B65:CI65)</f>
        <v>7</v>
      </c>
      <c r="CU65" t="str">
        <f t="shared" si="7"/>
        <v/>
      </c>
      <c r="CV65">
        <v>0</v>
      </c>
      <c r="CW65">
        <f t="shared" si="8"/>
        <v>0</v>
      </c>
      <c r="CX65">
        <f t="shared" si="9"/>
        <v>0</v>
      </c>
    </row>
    <row r="66" spans="1:102" x14ac:dyDescent="0.35">
      <c r="A66" t="s">
        <v>353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7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S66">
        <f t="shared" si="10"/>
        <v>1</v>
      </c>
      <c r="CT66" s="18">
        <f t="shared" si="11"/>
        <v>7</v>
      </c>
      <c r="CU66" t="str">
        <f t="shared" ref="CU66:CU83" si="12">IF(CS66&gt;1,_xlfn.STDEV.S(B66:CF66),"")</f>
        <v/>
      </c>
      <c r="CV66">
        <v>0</v>
      </c>
      <c r="CW66">
        <f t="shared" ref="CW66:CW83" si="13">COUNT(CK66:CN66)</f>
        <v>0</v>
      </c>
      <c r="CX66">
        <f t="shared" ref="CX66:CX83" si="14">IF(CV66=0,CW66,0)</f>
        <v>0</v>
      </c>
    </row>
    <row r="67" spans="1:102" x14ac:dyDescent="0.35">
      <c r="A67" t="s">
        <v>80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>
        <v>7</v>
      </c>
      <c r="Z67" t="s">
        <v>26</v>
      </c>
      <c r="AA67" t="s">
        <v>26</v>
      </c>
      <c r="AB67" t="s">
        <v>26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S67">
        <f t="shared" si="10"/>
        <v>1</v>
      </c>
      <c r="CT67" s="18">
        <f t="shared" si="11"/>
        <v>7</v>
      </c>
      <c r="CU67" t="str">
        <f t="shared" si="12"/>
        <v/>
      </c>
      <c r="CV67">
        <v>0</v>
      </c>
      <c r="CW67">
        <f t="shared" si="13"/>
        <v>0</v>
      </c>
      <c r="CX67">
        <f t="shared" si="14"/>
        <v>0</v>
      </c>
    </row>
    <row r="68" spans="1:102" x14ac:dyDescent="0.35">
      <c r="A68" t="s">
        <v>47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>
        <v>3.5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 t="s">
        <v>26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S68">
        <f t="shared" si="10"/>
        <v>1</v>
      </c>
      <c r="CT68" s="18">
        <f t="shared" si="11"/>
        <v>3.5</v>
      </c>
      <c r="CU68" t="str">
        <f t="shared" si="12"/>
        <v/>
      </c>
      <c r="CV68">
        <v>0</v>
      </c>
      <c r="CW68">
        <f t="shared" si="13"/>
        <v>0</v>
      </c>
      <c r="CX68">
        <f t="shared" si="14"/>
        <v>0</v>
      </c>
    </row>
    <row r="69" spans="1:102" x14ac:dyDescent="0.35">
      <c r="A69" t="s">
        <v>83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>
        <v>3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S69">
        <f t="shared" si="10"/>
        <v>1</v>
      </c>
      <c r="CT69" s="18">
        <f t="shared" si="11"/>
        <v>3</v>
      </c>
      <c r="CU69" t="str">
        <f t="shared" si="12"/>
        <v/>
      </c>
      <c r="CV69">
        <v>0</v>
      </c>
      <c r="CW69">
        <f t="shared" si="13"/>
        <v>0</v>
      </c>
      <c r="CX69">
        <f t="shared" si="14"/>
        <v>0</v>
      </c>
    </row>
    <row r="70" spans="1:102" x14ac:dyDescent="0.35">
      <c r="A70" t="s">
        <v>347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>
        <v>6.5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S70">
        <f t="shared" si="10"/>
        <v>1</v>
      </c>
      <c r="CT70" s="18">
        <f t="shared" si="11"/>
        <v>6.5</v>
      </c>
      <c r="CU70" t="str">
        <f t="shared" si="12"/>
        <v/>
      </c>
      <c r="CV70">
        <v>0</v>
      </c>
      <c r="CW70">
        <f t="shared" si="13"/>
        <v>0</v>
      </c>
      <c r="CX70">
        <f t="shared" si="14"/>
        <v>0</v>
      </c>
    </row>
    <row r="71" spans="1:102" x14ac:dyDescent="0.35">
      <c r="A71" t="s">
        <v>350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>
        <v>4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S71">
        <f t="shared" si="10"/>
        <v>1</v>
      </c>
      <c r="CT71" s="18">
        <f t="shared" si="11"/>
        <v>4</v>
      </c>
      <c r="CU71" t="str">
        <f t="shared" si="12"/>
        <v/>
      </c>
      <c r="CV71">
        <v>0</v>
      </c>
      <c r="CW71">
        <f t="shared" si="13"/>
        <v>0</v>
      </c>
      <c r="CX71">
        <f t="shared" si="14"/>
        <v>0</v>
      </c>
    </row>
    <row r="72" spans="1:102" x14ac:dyDescent="0.35">
      <c r="A72" t="s">
        <v>351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6.5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S72">
        <f t="shared" si="10"/>
        <v>1</v>
      </c>
      <c r="CT72" s="18">
        <f t="shared" si="11"/>
        <v>6.5</v>
      </c>
      <c r="CU72" t="str">
        <f t="shared" si="12"/>
        <v/>
      </c>
      <c r="CV72">
        <v>0</v>
      </c>
      <c r="CW72">
        <f t="shared" si="13"/>
        <v>0</v>
      </c>
      <c r="CX72">
        <f t="shared" si="14"/>
        <v>0</v>
      </c>
    </row>
    <row r="73" spans="1:102" x14ac:dyDescent="0.35">
      <c r="A73" t="s">
        <v>352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>
        <v>5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S73">
        <f t="shared" si="10"/>
        <v>1</v>
      </c>
      <c r="CT73" s="18">
        <f t="shared" si="11"/>
        <v>5</v>
      </c>
      <c r="CU73" t="str">
        <f t="shared" si="12"/>
        <v/>
      </c>
      <c r="CV73">
        <v>0</v>
      </c>
      <c r="CW73">
        <f t="shared" si="13"/>
        <v>0</v>
      </c>
      <c r="CX73">
        <f t="shared" si="14"/>
        <v>0</v>
      </c>
    </row>
    <row r="74" spans="1:102" x14ac:dyDescent="0.35">
      <c r="A74" t="s">
        <v>354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>
        <v>5.5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S74">
        <f t="shared" si="10"/>
        <v>1</v>
      </c>
      <c r="CT74" s="18">
        <f t="shared" si="11"/>
        <v>5.5</v>
      </c>
      <c r="CU74" t="str">
        <f t="shared" si="12"/>
        <v/>
      </c>
      <c r="CV74">
        <v>0</v>
      </c>
      <c r="CW74">
        <f t="shared" si="13"/>
        <v>0</v>
      </c>
      <c r="CX74">
        <f t="shared" si="14"/>
        <v>0</v>
      </c>
    </row>
    <row r="75" spans="1:102" x14ac:dyDescent="0.35">
      <c r="A75" t="s">
        <v>365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>
        <v>2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S75">
        <f t="shared" si="10"/>
        <v>1</v>
      </c>
      <c r="CT75" s="18">
        <f t="shared" si="11"/>
        <v>2</v>
      </c>
      <c r="CU75" t="str">
        <f t="shared" si="12"/>
        <v/>
      </c>
      <c r="CV75">
        <v>0</v>
      </c>
      <c r="CW75">
        <f t="shared" si="13"/>
        <v>0</v>
      </c>
      <c r="CX75">
        <f t="shared" si="14"/>
        <v>0</v>
      </c>
    </row>
    <row r="76" spans="1:102" x14ac:dyDescent="0.35">
      <c r="A76" t="s">
        <v>366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>
        <v>2.5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S76">
        <f t="shared" si="10"/>
        <v>1</v>
      </c>
      <c r="CT76" s="18">
        <f t="shared" si="11"/>
        <v>2.5</v>
      </c>
      <c r="CU76" t="str">
        <f t="shared" si="12"/>
        <v/>
      </c>
      <c r="CV76">
        <v>0</v>
      </c>
      <c r="CW76">
        <f t="shared" si="13"/>
        <v>0</v>
      </c>
      <c r="CX76">
        <f t="shared" si="14"/>
        <v>0</v>
      </c>
    </row>
    <row r="77" spans="1:102" x14ac:dyDescent="0.35">
      <c r="A77" t="s">
        <v>374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7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S77">
        <f t="shared" si="10"/>
        <v>1</v>
      </c>
      <c r="CT77" s="18">
        <f t="shared" si="11"/>
        <v>7</v>
      </c>
      <c r="CU77" t="str">
        <f t="shared" si="12"/>
        <v/>
      </c>
      <c r="CV77">
        <v>0</v>
      </c>
      <c r="CW77">
        <f t="shared" si="13"/>
        <v>0</v>
      </c>
      <c r="CX77">
        <f t="shared" si="14"/>
        <v>0</v>
      </c>
    </row>
    <row r="78" spans="1:102" x14ac:dyDescent="0.35">
      <c r="A78" t="s">
        <v>375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>
        <v>5.5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S78">
        <f t="shared" si="10"/>
        <v>1</v>
      </c>
      <c r="CT78" s="18">
        <f t="shared" si="11"/>
        <v>5.5</v>
      </c>
      <c r="CU78" t="str">
        <f t="shared" si="12"/>
        <v/>
      </c>
      <c r="CV78">
        <v>0</v>
      </c>
      <c r="CW78">
        <f t="shared" si="13"/>
        <v>0</v>
      </c>
      <c r="CX78">
        <f t="shared" si="14"/>
        <v>0</v>
      </c>
    </row>
    <row r="79" spans="1:102" x14ac:dyDescent="0.35">
      <c r="A79" t="s">
        <v>377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>
        <v>5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CS79">
        <f t="shared" si="10"/>
        <v>1</v>
      </c>
      <c r="CT79" s="18">
        <f t="shared" si="11"/>
        <v>5</v>
      </c>
      <c r="CU79" t="str">
        <f t="shared" si="12"/>
        <v/>
      </c>
      <c r="CV79">
        <v>0</v>
      </c>
      <c r="CW79">
        <f t="shared" si="13"/>
        <v>0</v>
      </c>
      <c r="CX79">
        <f t="shared" si="14"/>
        <v>0</v>
      </c>
    </row>
    <row r="80" spans="1:102" x14ac:dyDescent="0.35">
      <c r="A80" t="s">
        <v>381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S80">
        <f t="shared" si="10"/>
        <v>1</v>
      </c>
      <c r="CT80" s="18">
        <f t="shared" si="11"/>
        <v>5.5</v>
      </c>
      <c r="CU80" t="str">
        <f t="shared" si="12"/>
        <v/>
      </c>
      <c r="CV80">
        <v>0</v>
      </c>
      <c r="CW80">
        <f t="shared" si="13"/>
        <v>0</v>
      </c>
      <c r="CX80">
        <f t="shared" si="14"/>
        <v>0</v>
      </c>
    </row>
    <row r="81" spans="1:102" x14ac:dyDescent="0.35">
      <c r="A81" t="s">
        <v>382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>
        <v>5.5</v>
      </c>
      <c r="CA81" t="s">
        <v>26</v>
      </c>
      <c r="CB81" t="s">
        <v>26</v>
      </c>
      <c r="CS81">
        <f t="shared" si="10"/>
        <v>1</v>
      </c>
      <c r="CT81" s="18">
        <f t="shared" si="11"/>
        <v>5.5</v>
      </c>
      <c r="CU81" t="str">
        <f t="shared" si="12"/>
        <v/>
      </c>
      <c r="CV81">
        <v>0</v>
      </c>
      <c r="CW81">
        <f t="shared" si="13"/>
        <v>0</v>
      </c>
      <c r="CX81">
        <f t="shared" si="14"/>
        <v>0</v>
      </c>
    </row>
    <row r="82" spans="1:102" x14ac:dyDescent="0.35">
      <c r="A82" t="s">
        <v>389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S82">
        <f t="shared" si="10"/>
        <v>1</v>
      </c>
      <c r="CT82" s="18">
        <f t="shared" si="11"/>
        <v>7.5</v>
      </c>
      <c r="CU82" t="str">
        <f t="shared" si="12"/>
        <v/>
      </c>
      <c r="CV82">
        <v>0</v>
      </c>
      <c r="CW82">
        <f t="shared" si="13"/>
        <v>0</v>
      </c>
      <c r="CX82">
        <f t="shared" si="14"/>
        <v>0</v>
      </c>
    </row>
    <row r="83" spans="1:102" x14ac:dyDescent="0.35">
      <c r="A83" t="s">
        <v>391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S83">
        <f t="shared" si="10"/>
        <v>1</v>
      </c>
      <c r="CT83" s="18">
        <f t="shared" si="11"/>
        <v>7</v>
      </c>
      <c r="CU83" t="str">
        <f t="shared" si="12"/>
        <v/>
      </c>
      <c r="CV83">
        <v>0</v>
      </c>
      <c r="CW83">
        <f t="shared" si="13"/>
        <v>0</v>
      </c>
      <c r="CX83">
        <f t="shared" si="14"/>
        <v>0</v>
      </c>
    </row>
    <row r="84" spans="1:102" x14ac:dyDescent="0.35">
      <c r="A84" t="s">
        <v>393</v>
      </c>
      <c r="CO84">
        <v>6.5</v>
      </c>
      <c r="CP84">
        <v>7</v>
      </c>
      <c r="CQ84">
        <v>9</v>
      </c>
      <c r="CS84">
        <f t="shared" ref="CS84:CS88" si="15">COUNT(B84:CI84)</f>
        <v>0</v>
      </c>
      <c r="CT84" s="18" t="e">
        <f t="shared" ref="CT84:CT88" si="16">AVERAGE(B84:CI84)</f>
        <v>#DIV/0!</v>
      </c>
      <c r="CU84" t="str">
        <f t="shared" ref="CU84:CU88" si="17">IF(CS84&gt;1,_xlfn.STDEV.S(B84:CF84),"")</f>
        <v/>
      </c>
      <c r="CV84">
        <v>0</v>
      </c>
      <c r="CW84">
        <f t="shared" ref="CW84:CW88" si="18">COUNT(CK84:CN84)</f>
        <v>0</v>
      </c>
      <c r="CX84">
        <f t="shared" ref="CX84:CX88" si="19">IF(CV84=0,CW84,0)</f>
        <v>0</v>
      </c>
    </row>
    <row r="85" spans="1:102" x14ac:dyDescent="0.35">
      <c r="A85" t="s">
        <v>394</v>
      </c>
      <c r="CP85">
        <v>6</v>
      </c>
      <c r="CQ85">
        <v>6.5</v>
      </c>
      <c r="CS85">
        <f t="shared" si="15"/>
        <v>0</v>
      </c>
      <c r="CT85" s="18" t="e">
        <f t="shared" si="16"/>
        <v>#DIV/0!</v>
      </c>
      <c r="CU85" t="str">
        <f t="shared" si="17"/>
        <v/>
      </c>
      <c r="CV85">
        <v>0</v>
      </c>
      <c r="CW85">
        <f t="shared" si="18"/>
        <v>0</v>
      </c>
      <c r="CX85">
        <f t="shared" si="19"/>
        <v>0</v>
      </c>
    </row>
    <row r="86" spans="1:102" x14ac:dyDescent="0.35">
      <c r="A86" t="s">
        <v>395</v>
      </c>
      <c r="CP86">
        <v>5.5</v>
      </c>
      <c r="CQ86">
        <v>6</v>
      </c>
      <c r="CS86">
        <f t="shared" si="15"/>
        <v>0</v>
      </c>
      <c r="CT86" s="18" t="e">
        <f t="shared" si="16"/>
        <v>#DIV/0!</v>
      </c>
      <c r="CU86" t="str">
        <f t="shared" si="17"/>
        <v/>
      </c>
      <c r="CV86">
        <v>0</v>
      </c>
      <c r="CW86">
        <f t="shared" si="18"/>
        <v>0</v>
      </c>
      <c r="CX86">
        <f t="shared" si="19"/>
        <v>0</v>
      </c>
    </row>
    <row r="87" spans="1:102" x14ac:dyDescent="0.35">
      <c r="A87" t="s">
        <v>396</v>
      </c>
      <c r="CP87">
        <v>6.5</v>
      </c>
      <c r="CS87">
        <f t="shared" si="15"/>
        <v>0</v>
      </c>
      <c r="CT87" s="18" t="e">
        <f t="shared" si="16"/>
        <v>#DIV/0!</v>
      </c>
      <c r="CU87" t="str">
        <f t="shared" si="17"/>
        <v/>
      </c>
      <c r="CV87">
        <v>0</v>
      </c>
      <c r="CW87">
        <f t="shared" si="18"/>
        <v>0</v>
      </c>
      <c r="CX87">
        <f t="shared" si="19"/>
        <v>0</v>
      </c>
    </row>
    <row r="88" spans="1:102" x14ac:dyDescent="0.35">
      <c r="A88" t="s">
        <v>397</v>
      </c>
      <c r="CQ88">
        <v>6.5</v>
      </c>
      <c r="CS88">
        <f t="shared" si="15"/>
        <v>0</v>
      </c>
      <c r="CT88" s="18" t="e">
        <f t="shared" si="16"/>
        <v>#DIV/0!</v>
      </c>
      <c r="CU88" t="str">
        <f t="shared" si="17"/>
        <v/>
      </c>
      <c r="CV88">
        <v>0</v>
      </c>
      <c r="CW88">
        <f t="shared" si="18"/>
        <v>0</v>
      </c>
      <c r="CX88">
        <f t="shared" si="19"/>
        <v>0</v>
      </c>
    </row>
  </sheetData>
  <autoFilter ref="A1:CX83" xr:uid="{B9A4D56B-02EF-476F-9B0E-F093A198C591}">
    <sortState ref="A2:CX83">
      <sortCondition descending="1" ref="CS1:CS83"/>
    </sortState>
  </autoFilter>
  <conditionalFormatting sqref="CS2:CS88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88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S2:CS8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88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8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88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88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Q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" workbookViewId="0">
      <selection activeCell="Q34" sqref="Q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A88"/>
  <sheetViews>
    <sheetView topLeftCell="A34" zoomScale="85" zoomScaleNormal="85" workbookViewId="0">
      <pane xSplit="1" topLeftCell="H1" activePane="topRight" state="frozen"/>
      <selection activeCell="A31" sqref="A31"/>
      <selection pane="topRight" activeCell="W54" sqref="W54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9.6328125" customWidth="1"/>
    <col min="27" max="27" width="16.6328125" bestFit="1" customWidth="1"/>
  </cols>
  <sheetData>
    <row r="1" spans="1:27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AA1" t="s">
        <v>349</v>
      </c>
    </row>
    <row r="2" spans="1:27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AA2" s="1">
        <v>46116</v>
      </c>
    </row>
    <row r="3" spans="1:27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21">
        <v>96.34</v>
      </c>
    </row>
    <row r="4" spans="1:27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7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t="s">
        <v>370</v>
      </c>
      <c r="AA5">
        <v>8</v>
      </c>
    </row>
    <row r="6" spans="1:27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Z6" t="s">
        <v>371</v>
      </c>
      <c r="AA6">
        <f>27*AA5</f>
        <v>216</v>
      </c>
    </row>
    <row r="7" spans="1:27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t="s">
        <v>372</v>
      </c>
      <c r="AA7">
        <f>1950-AA6</f>
        <v>1734</v>
      </c>
    </row>
    <row r="8" spans="1:27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Z8" t="s">
        <v>373</v>
      </c>
      <c r="AA8">
        <f>AA7/18</f>
        <v>96.333333333333329</v>
      </c>
    </row>
    <row r="9" spans="1:27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7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</row>
    <row r="11" spans="1:27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</row>
    <row r="12" spans="1:27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</row>
    <row r="13" spans="1:27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</row>
    <row r="14" spans="1:27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</row>
    <row r="15" spans="1:27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</row>
    <row r="16" spans="1:27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Z16" s="60"/>
    </row>
    <row r="17" spans="1:26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Z17" s="60"/>
    </row>
    <row r="18" spans="1:26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</row>
    <row r="19" spans="1:26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</row>
    <row r="20" spans="1:26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21">
        <v>48.17</v>
      </c>
    </row>
    <row r="21" spans="1:26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6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6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6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</row>
    <row r="25" spans="1:26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6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/>
      <c r="Y26" s="19"/>
    </row>
    <row r="27" spans="1:26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</row>
    <row r="28" spans="1:26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6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6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21">
        <v>27</v>
      </c>
      <c r="X30">
        <v>24.84</v>
      </c>
    </row>
    <row r="31" spans="1:26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6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</row>
    <row r="33" spans="1:24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4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>
        <v>-100</v>
      </c>
    </row>
    <row r="35" spans="1:24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</row>
    <row r="36" spans="1:24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4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</row>
    <row r="38" spans="1:24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4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</row>
    <row r="40" spans="1:24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21">
        <v>27</v>
      </c>
    </row>
    <row r="41" spans="1:24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4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</row>
    <row r="43" spans="1:24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</row>
    <row r="44" spans="1:24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4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4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4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</row>
    <row r="48" spans="1:24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4" x14ac:dyDescent="0.35">
      <c r="A49" t="s">
        <v>80</v>
      </c>
      <c r="G49" s="19">
        <v>25</v>
      </c>
      <c r="H49" s="19"/>
      <c r="I49" s="19"/>
    </row>
    <row r="50" spans="1:24" x14ac:dyDescent="0.35">
      <c r="A50" t="s">
        <v>83</v>
      </c>
      <c r="G50" s="19"/>
      <c r="H50" s="19">
        <v>25</v>
      </c>
      <c r="I50" s="19"/>
    </row>
    <row r="51" spans="1:24" x14ac:dyDescent="0.35">
      <c r="A51" t="s">
        <v>86</v>
      </c>
      <c r="G51" s="19"/>
      <c r="H51" s="19">
        <v>25</v>
      </c>
      <c r="I51" s="19"/>
    </row>
    <row r="52" spans="1:24" x14ac:dyDescent="0.35">
      <c r="A52" t="s">
        <v>85</v>
      </c>
      <c r="G52" s="19"/>
      <c r="H52" s="19">
        <v>25</v>
      </c>
      <c r="I52" s="19">
        <v>50</v>
      </c>
    </row>
    <row r="53" spans="1:24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</row>
    <row r="54" spans="1:24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21">
        <v>27</v>
      </c>
    </row>
    <row r="55" spans="1:24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4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4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</row>
    <row r="58" spans="1:24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>
        <v>-27</v>
      </c>
    </row>
    <row r="59" spans="1:24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4" x14ac:dyDescent="0.35">
      <c r="A60" t="s">
        <v>347</v>
      </c>
      <c r="G60"/>
      <c r="H60"/>
      <c r="I60"/>
      <c r="K60" s="19">
        <v>25</v>
      </c>
      <c r="L60" s="19"/>
    </row>
    <row r="61" spans="1:24" x14ac:dyDescent="0.35">
      <c r="A61" t="s">
        <v>354</v>
      </c>
      <c r="G61"/>
      <c r="H61"/>
      <c r="I61"/>
      <c r="K61" s="19"/>
      <c r="L61" s="19">
        <v>25</v>
      </c>
    </row>
    <row r="62" spans="1:24" x14ac:dyDescent="0.35">
      <c r="A62" t="s">
        <v>356</v>
      </c>
      <c r="L62" s="19">
        <v>25</v>
      </c>
    </row>
    <row r="63" spans="1:24" x14ac:dyDescent="0.35">
      <c r="A63" t="s">
        <v>352</v>
      </c>
      <c r="L63" s="19">
        <v>25</v>
      </c>
    </row>
    <row r="64" spans="1:24" x14ac:dyDescent="0.35">
      <c r="A64" t="s">
        <v>350</v>
      </c>
      <c r="L64" s="19">
        <v>25</v>
      </c>
    </row>
    <row r="65" spans="1:23" x14ac:dyDescent="0.35">
      <c r="A65" t="s">
        <v>363</v>
      </c>
      <c r="L65" s="19"/>
      <c r="M65" s="19">
        <v>25</v>
      </c>
      <c r="U65" s="19">
        <v>27</v>
      </c>
    </row>
    <row r="66" spans="1:23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3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</row>
    <row r="68" spans="1:23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3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3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</row>
    <row r="71" spans="1:23" x14ac:dyDescent="0.35">
      <c r="A71" t="s">
        <v>369</v>
      </c>
      <c r="O71" s="19">
        <v>54</v>
      </c>
      <c r="P71" s="19"/>
      <c r="Q71" s="19"/>
    </row>
    <row r="72" spans="1:23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</row>
    <row r="73" spans="1:23" x14ac:dyDescent="0.35">
      <c r="A73" t="s">
        <v>374</v>
      </c>
      <c r="O73" s="19"/>
      <c r="P73" s="19"/>
      <c r="Q73" s="19">
        <v>27</v>
      </c>
    </row>
    <row r="74" spans="1:23" x14ac:dyDescent="0.35">
      <c r="A74" t="s">
        <v>375</v>
      </c>
      <c r="O74" s="19"/>
      <c r="P74" s="19"/>
      <c r="Q74" s="19">
        <v>27</v>
      </c>
    </row>
    <row r="75" spans="1:23" x14ac:dyDescent="0.35">
      <c r="A75" t="s">
        <v>377</v>
      </c>
      <c r="O75" s="19"/>
      <c r="P75" s="19"/>
      <c r="Q75" s="19"/>
      <c r="R75" s="19">
        <v>27</v>
      </c>
      <c r="S75" s="19"/>
    </row>
    <row r="76" spans="1:23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</row>
    <row r="77" spans="1:23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3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3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3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3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3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</row>
    <row r="83" spans="1:23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3" x14ac:dyDescent="0.35">
      <c r="U84" s="22"/>
    </row>
    <row r="85" spans="1:23" x14ac:dyDescent="0.35">
      <c r="A85" t="s">
        <v>386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  <c r="W85" s="20">
        <f>SUM(W2:W83)</f>
        <v>1950.1299999999994</v>
      </c>
    </row>
    <row r="86" spans="1:23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  <c r="W86" s="20">
        <f>SUM(W3:W80)</f>
        <v>1853.7899999999993</v>
      </c>
    </row>
    <row r="87" spans="1:23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12*27+85.84*17</f>
        <v>1783.28</v>
      </c>
      <c r="U87" s="23">
        <f>9*27+85.84*17</f>
        <v>1702.28</v>
      </c>
      <c r="V87" s="23">
        <f>19*27+85.84*17</f>
        <v>1972.28</v>
      </c>
      <c r="W87" s="23">
        <f>5*27+85.84*15.75</f>
        <v>1486.98</v>
      </c>
    </row>
    <row r="88" spans="1:23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 t="shared" ref="Q88:V88" si="8">Q87/Q86</f>
        <v>0.99892997201876832</v>
      </c>
      <c r="R88" s="24">
        <f t="shared" si="8"/>
        <v>1.0124707341322872</v>
      </c>
      <c r="S88" s="24">
        <f t="shared" si="8"/>
        <v>1.0000000000000002</v>
      </c>
      <c r="T88" s="24">
        <f t="shared" si="8"/>
        <v>0.95886610244222448</v>
      </c>
      <c r="U88" s="24">
        <f>U87/U86</f>
        <v>0.91679143463415169</v>
      </c>
      <c r="V88" s="24">
        <f t="shared" si="8"/>
        <v>1.1355957576664863</v>
      </c>
      <c r="W88" s="24">
        <f t="shared" ref="W88" si="9">W87/W86</f>
        <v>0.80212969106533138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6"/>
  <sheetViews>
    <sheetView topLeftCell="A261" workbookViewId="0">
      <selection activeCell="C276" sqref="C276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385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385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393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393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396</v>
      </c>
      <c r="G271" s="8" t="s">
        <v>393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394</v>
      </c>
      <c r="O272" s="61" t="s">
        <v>395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394</v>
      </c>
      <c r="G273" s="61" t="s">
        <v>395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396</v>
      </c>
      <c r="O273" s="8" t="s">
        <v>393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397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393</v>
      </c>
      <c r="N275" s="2" t="s">
        <v>376</v>
      </c>
      <c r="O275" s="61" t="s">
        <v>394</v>
      </c>
      <c r="P275" s="2" t="s">
        <v>395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393</v>
      </c>
      <c r="F276" s="2" t="s">
        <v>376</v>
      </c>
      <c r="G276" s="61" t="s">
        <v>394</v>
      </c>
      <c r="H276" s="2" t="s">
        <v>395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X88"/>
  <sheetViews>
    <sheetView tabSelected="1" zoomScaleNormal="100" workbookViewId="0">
      <pane xSplit="1" topLeftCell="BP1" activePane="topRight" state="frozen"/>
      <selection pane="topRight" activeCell="BX2" sqref="BX2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6" width="10.453125" bestFit="1" customWidth="1"/>
  </cols>
  <sheetData>
    <row r="1" spans="1:76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</row>
    <row r="2" spans="1:76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</row>
    <row r="3" spans="1:76" x14ac:dyDescent="0.35">
      <c r="A3" t="s">
        <v>24</v>
      </c>
      <c r="BO3">
        <v>2</v>
      </c>
    </row>
    <row r="4" spans="1:76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6" hidden="1" x14ac:dyDescent="0.35">
      <c r="A5" t="s">
        <v>365</v>
      </c>
    </row>
    <row r="6" spans="1:76" x14ac:dyDescent="0.35">
      <c r="A6" t="s">
        <v>77</v>
      </c>
      <c r="G6">
        <v>3</v>
      </c>
    </row>
    <row r="7" spans="1:76" x14ac:dyDescent="0.35">
      <c r="A7" t="s">
        <v>393</v>
      </c>
      <c r="BW7">
        <v>2</v>
      </c>
      <c r="BX7">
        <v>9</v>
      </c>
    </row>
    <row r="8" spans="1:76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76" x14ac:dyDescent="0.35">
      <c r="A9" t="s">
        <v>7</v>
      </c>
      <c r="K9">
        <v>1</v>
      </c>
    </row>
    <row r="10" spans="1:76" x14ac:dyDescent="0.35">
      <c r="A10" t="s">
        <v>353</v>
      </c>
      <c r="G10">
        <v>1</v>
      </c>
    </row>
    <row r="11" spans="1:76" hidden="1" x14ac:dyDescent="0.35">
      <c r="A11" t="s">
        <v>347</v>
      </c>
    </row>
    <row r="12" spans="1:76" x14ac:dyDescent="0.35">
      <c r="A12" t="s">
        <v>48</v>
      </c>
    </row>
    <row r="13" spans="1:76" x14ac:dyDescent="0.35">
      <c r="A13" t="s">
        <v>397</v>
      </c>
      <c r="BX13">
        <v>2</v>
      </c>
    </row>
    <row r="14" spans="1:76" x14ac:dyDescent="0.35">
      <c r="A14" t="s">
        <v>382</v>
      </c>
    </row>
    <row r="15" spans="1:76" x14ac:dyDescent="0.35">
      <c r="A15" t="s">
        <v>395</v>
      </c>
      <c r="BW15">
        <v>1</v>
      </c>
    </row>
    <row r="16" spans="1:76" x14ac:dyDescent="0.35">
      <c r="A16" t="s">
        <v>362</v>
      </c>
      <c r="BK16">
        <v>1</v>
      </c>
    </row>
    <row r="17" spans="1:76" hidden="1" x14ac:dyDescent="0.35">
      <c r="A17" t="s">
        <v>18</v>
      </c>
    </row>
    <row r="18" spans="1:76" x14ac:dyDescent="0.35">
      <c r="A18" t="s">
        <v>25</v>
      </c>
      <c r="C18">
        <v>1</v>
      </c>
      <c r="E18">
        <v>1</v>
      </c>
      <c r="G18">
        <v>1</v>
      </c>
      <c r="J18">
        <v>3</v>
      </c>
      <c r="K18">
        <v>3</v>
      </c>
      <c r="M18">
        <v>1</v>
      </c>
      <c r="R18">
        <v>1</v>
      </c>
      <c r="V18">
        <v>1</v>
      </c>
      <c r="AE18">
        <v>1</v>
      </c>
      <c r="AF18">
        <v>1</v>
      </c>
      <c r="AH18">
        <v>2</v>
      </c>
      <c r="AT18">
        <v>1</v>
      </c>
      <c r="BA18">
        <v>1</v>
      </c>
      <c r="BH18">
        <v>1</v>
      </c>
      <c r="BM18">
        <v>1</v>
      </c>
    </row>
    <row r="19" spans="1:76" x14ac:dyDescent="0.35">
      <c r="A19" t="s">
        <v>14</v>
      </c>
      <c r="E19">
        <v>1</v>
      </c>
      <c r="F19">
        <v>1</v>
      </c>
      <c r="J19">
        <v>1</v>
      </c>
      <c r="P19">
        <v>1</v>
      </c>
      <c r="S19">
        <v>1</v>
      </c>
      <c r="W19">
        <v>1</v>
      </c>
      <c r="Z19">
        <v>2</v>
      </c>
      <c r="AA19">
        <v>0.5</v>
      </c>
      <c r="AK19">
        <v>1</v>
      </c>
      <c r="AR19">
        <v>2</v>
      </c>
      <c r="AX19">
        <v>1</v>
      </c>
    </row>
    <row r="20" spans="1:76" x14ac:dyDescent="0.35">
      <c r="A20" t="s">
        <v>378</v>
      </c>
      <c r="BL20">
        <v>1</v>
      </c>
      <c r="BR20">
        <v>1</v>
      </c>
      <c r="BX20">
        <v>2</v>
      </c>
    </row>
    <row r="21" spans="1:76" x14ac:dyDescent="0.35">
      <c r="A21" t="s">
        <v>54</v>
      </c>
      <c r="C21">
        <v>2</v>
      </c>
      <c r="D21">
        <v>3</v>
      </c>
      <c r="V21">
        <v>2</v>
      </c>
    </row>
    <row r="22" spans="1:76" x14ac:dyDescent="0.35">
      <c r="A22" t="s">
        <v>66</v>
      </c>
      <c r="D22">
        <v>2</v>
      </c>
      <c r="I22">
        <v>3</v>
      </c>
      <c r="J22">
        <v>1</v>
      </c>
      <c r="T22">
        <v>1</v>
      </c>
      <c r="W22">
        <v>1</v>
      </c>
      <c r="X22">
        <v>1</v>
      </c>
      <c r="Y22">
        <v>1</v>
      </c>
      <c r="Z22">
        <v>1</v>
      </c>
      <c r="AA22">
        <v>1</v>
      </c>
      <c r="AC22">
        <v>1</v>
      </c>
      <c r="AD22">
        <v>1</v>
      </c>
      <c r="AH22">
        <v>1</v>
      </c>
      <c r="AI22">
        <v>1</v>
      </c>
      <c r="BA22">
        <v>3</v>
      </c>
      <c r="BG22">
        <v>1</v>
      </c>
      <c r="BP22">
        <v>1</v>
      </c>
      <c r="BU22">
        <v>2</v>
      </c>
    </row>
    <row r="23" spans="1:76" x14ac:dyDescent="0.35">
      <c r="A23" t="s">
        <v>84</v>
      </c>
      <c r="I23">
        <v>2</v>
      </c>
      <c r="J23">
        <v>1</v>
      </c>
      <c r="L23">
        <v>3</v>
      </c>
      <c r="N23">
        <v>2</v>
      </c>
      <c r="O23">
        <v>2</v>
      </c>
      <c r="P23">
        <v>1</v>
      </c>
      <c r="S23">
        <v>2</v>
      </c>
      <c r="V23">
        <v>4</v>
      </c>
      <c r="W23">
        <v>6</v>
      </c>
      <c r="X23">
        <v>3</v>
      </c>
      <c r="AB23">
        <v>1</v>
      </c>
      <c r="AC23">
        <v>2</v>
      </c>
      <c r="AD23">
        <v>3</v>
      </c>
      <c r="AE23">
        <v>1</v>
      </c>
      <c r="AH23">
        <v>4</v>
      </c>
      <c r="AI23">
        <v>5</v>
      </c>
      <c r="AK23">
        <v>1</v>
      </c>
      <c r="AL23">
        <v>1</v>
      </c>
      <c r="AN23">
        <v>2</v>
      </c>
      <c r="AU23">
        <v>4</v>
      </c>
      <c r="AV23">
        <v>1</v>
      </c>
      <c r="AX23">
        <v>1</v>
      </c>
      <c r="BH23">
        <v>1</v>
      </c>
      <c r="BI23">
        <v>2</v>
      </c>
      <c r="BK23">
        <v>2</v>
      </c>
      <c r="BQ23">
        <v>2</v>
      </c>
      <c r="BR23">
        <v>3</v>
      </c>
      <c r="BU23">
        <v>1</v>
      </c>
      <c r="BV23">
        <v>1</v>
      </c>
    </row>
    <row r="24" spans="1:76" x14ac:dyDescent="0.35">
      <c r="A24" t="s">
        <v>391</v>
      </c>
      <c r="BP24">
        <v>2</v>
      </c>
    </row>
    <row r="25" spans="1:76" x14ac:dyDescent="0.35">
      <c r="A25" t="s">
        <v>15</v>
      </c>
      <c r="F25">
        <v>1</v>
      </c>
      <c r="H25">
        <v>2</v>
      </c>
      <c r="I25">
        <v>1</v>
      </c>
      <c r="AK25">
        <v>1</v>
      </c>
      <c r="AL25">
        <v>4</v>
      </c>
      <c r="AO25">
        <v>2</v>
      </c>
      <c r="AR25">
        <v>3</v>
      </c>
      <c r="AS25">
        <v>2</v>
      </c>
      <c r="AT25">
        <v>1</v>
      </c>
      <c r="AY25">
        <v>1</v>
      </c>
      <c r="BE25">
        <v>2</v>
      </c>
      <c r="BF25">
        <v>1</v>
      </c>
      <c r="BI25">
        <v>2</v>
      </c>
      <c r="BR25">
        <v>1</v>
      </c>
      <c r="BS25">
        <v>1</v>
      </c>
      <c r="BT25">
        <v>3</v>
      </c>
      <c r="BU25">
        <v>1</v>
      </c>
      <c r="BW25">
        <v>1</v>
      </c>
      <c r="BX25">
        <v>2</v>
      </c>
    </row>
    <row r="26" spans="1:76" x14ac:dyDescent="0.35">
      <c r="A26" t="s">
        <v>375</v>
      </c>
      <c r="AW26">
        <v>1</v>
      </c>
    </row>
    <row r="27" spans="1:76" x14ac:dyDescent="0.35">
      <c r="A27" t="s">
        <v>6</v>
      </c>
      <c r="B27">
        <v>3</v>
      </c>
      <c r="E27">
        <v>2</v>
      </c>
      <c r="H27">
        <v>1</v>
      </c>
      <c r="L27">
        <v>2</v>
      </c>
      <c r="M27">
        <v>2</v>
      </c>
      <c r="N27">
        <v>6</v>
      </c>
      <c r="O27">
        <v>1</v>
      </c>
      <c r="Q27">
        <v>3</v>
      </c>
      <c r="R27">
        <v>1</v>
      </c>
      <c r="S27">
        <v>1</v>
      </c>
      <c r="T27">
        <v>3</v>
      </c>
      <c r="U27">
        <v>3</v>
      </c>
      <c r="V27">
        <v>6</v>
      </c>
      <c r="W27">
        <v>2</v>
      </c>
      <c r="X27">
        <v>3</v>
      </c>
      <c r="Y27">
        <v>1</v>
      </c>
      <c r="Z27">
        <v>3.5</v>
      </c>
      <c r="AA27">
        <v>3.5</v>
      </c>
      <c r="AB27">
        <v>3</v>
      </c>
      <c r="AC27">
        <v>1</v>
      </c>
      <c r="AE27">
        <v>10</v>
      </c>
      <c r="AF27">
        <v>3</v>
      </c>
      <c r="AG27">
        <v>3</v>
      </c>
      <c r="AH27">
        <v>2</v>
      </c>
      <c r="AJ27">
        <v>3</v>
      </c>
      <c r="AK27">
        <v>3</v>
      </c>
      <c r="AL27">
        <v>5</v>
      </c>
      <c r="AN27">
        <v>1</v>
      </c>
      <c r="AO27">
        <v>6</v>
      </c>
      <c r="AP27">
        <v>4</v>
      </c>
      <c r="AQ27">
        <v>3</v>
      </c>
      <c r="AR27">
        <v>4</v>
      </c>
      <c r="AS27">
        <v>2</v>
      </c>
      <c r="AT27">
        <v>4</v>
      </c>
      <c r="AU27">
        <v>4</v>
      </c>
      <c r="AV27">
        <v>6</v>
      </c>
      <c r="AW27">
        <v>1</v>
      </c>
      <c r="AY27">
        <v>4</v>
      </c>
      <c r="AZ27">
        <v>1</v>
      </c>
      <c r="BA27">
        <v>3</v>
      </c>
      <c r="BC27">
        <v>5</v>
      </c>
      <c r="BD27">
        <v>2</v>
      </c>
      <c r="BE27">
        <v>3</v>
      </c>
      <c r="BF27">
        <v>3</v>
      </c>
      <c r="BG27">
        <v>3</v>
      </c>
      <c r="BH27">
        <v>1</v>
      </c>
      <c r="BI27">
        <v>5</v>
      </c>
      <c r="BJ27">
        <v>1</v>
      </c>
      <c r="BK27">
        <v>1</v>
      </c>
      <c r="BL27">
        <v>2</v>
      </c>
    </row>
    <row r="28" spans="1:76" x14ac:dyDescent="0.35">
      <c r="A28" t="s">
        <v>342</v>
      </c>
      <c r="T28">
        <v>4</v>
      </c>
      <c r="AH28">
        <v>1</v>
      </c>
      <c r="AK28">
        <v>1</v>
      </c>
      <c r="BQ28">
        <v>2</v>
      </c>
      <c r="BV28">
        <v>2</v>
      </c>
    </row>
    <row r="29" spans="1:76" hidden="1" x14ac:dyDescent="0.35">
      <c r="A29" t="s">
        <v>52</v>
      </c>
    </row>
    <row r="30" spans="1:76" x14ac:dyDescent="0.35">
      <c r="A30" t="s">
        <v>388</v>
      </c>
    </row>
    <row r="31" spans="1:76" x14ac:dyDescent="0.35">
      <c r="A31" t="s">
        <v>12</v>
      </c>
      <c r="N31">
        <v>2</v>
      </c>
      <c r="U31">
        <v>1</v>
      </c>
      <c r="AI31">
        <v>1</v>
      </c>
    </row>
    <row r="32" spans="1:76" x14ac:dyDescent="0.35">
      <c r="A32" t="s">
        <v>4</v>
      </c>
      <c r="E32">
        <v>1</v>
      </c>
      <c r="F32">
        <v>3</v>
      </c>
      <c r="H32">
        <v>1</v>
      </c>
      <c r="J32">
        <v>1</v>
      </c>
      <c r="K32">
        <v>3</v>
      </c>
      <c r="P32">
        <v>3</v>
      </c>
      <c r="U32">
        <v>3</v>
      </c>
      <c r="W32">
        <v>1</v>
      </c>
      <c r="AD32">
        <v>1</v>
      </c>
      <c r="AF32">
        <v>1</v>
      </c>
      <c r="AH32">
        <v>1</v>
      </c>
      <c r="AI32">
        <v>1</v>
      </c>
      <c r="AJ32">
        <v>2</v>
      </c>
      <c r="AO32">
        <v>2</v>
      </c>
      <c r="AP32">
        <v>2</v>
      </c>
      <c r="AQ32">
        <v>4</v>
      </c>
      <c r="AR32">
        <v>2</v>
      </c>
      <c r="AT32">
        <v>1</v>
      </c>
      <c r="AU32">
        <v>2</v>
      </c>
      <c r="AV32">
        <v>1</v>
      </c>
      <c r="AW32">
        <v>1</v>
      </c>
      <c r="AX32">
        <v>1</v>
      </c>
      <c r="AZ32">
        <v>2</v>
      </c>
      <c r="BA32">
        <v>2</v>
      </c>
      <c r="BB32">
        <v>1</v>
      </c>
      <c r="BD32">
        <v>2</v>
      </c>
      <c r="BE32">
        <v>3</v>
      </c>
      <c r="BF32">
        <v>1</v>
      </c>
      <c r="BG32">
        <v>1</v>
      </c>
      <c r="BJ32">
        <v>1</v>
      </c>
      <c r="BK32">
        <v>1</v>
      </c>
      <c r="BL32">
        <v>1</v>
      </c>
      <c r="BM32">
        <v>2</v>
      </c>
    </row>
    <row r="33" spans="1:76" x14ac:dyDescent="0.35">
      <c r="A33" t="s">
        <v>361</v>
      </c>
      <c r="AD33">
        <v>2</v>
      </c>
      <c r="AM33">
        <v>1</v>
      </c>
      <c r="AU33">
        <v>1</v>
      </c>
      <c r="BF33">
        <v>3</v>
      </c>
    </row>
    <row r="34" spans="1:76" x14ac:dyDescent="0.35">
      <c r="A34" t="s">
        <v>389</v>
      </c>
      <c r="BO34">
        <v>3</v>
      </c>
    </row>
    <row r="35" spans="1:76" x14ac:dyDescent="0.35">
      <c r="A35" t="s">
        <v>1</v>
      </c>
      <c r="B35">
        <v>1</v>
      </c>
      <c r="C35">
        <v>1</v>
      </c>
      <c r="D35">
        <v>1</v>
      </c>
      <c r="E35">
        <v>1</v>
      </c>
      <c r="F35">
        <v>2</v>
      </c>
      <c r="I35">
        <v>2</v>
      </c>
      <c r="J35">
        <v>1</v>
      </c>
      <c r="K35">
        <v>2</v>
      </c>
      <c r="L35">
        <v>1</v>
      </c>
      <c r="M35">
        <v>2</v>
      </c>
      <c r="N35">
        <v>1</v>
      </c>
      <c r="O35">
        <v>1</v>
      </c>
      <c r="P35">
        <v>2</v>
      </c>
      <c r="R35">
        <v>1</v>
      </c>
      <c r="T35">
        <v>1</v>
      </c>
      <c r="U35">
        <v>2</v>
      </c>
      <c r="Y35">
        <v>2</v>
      </c>
      <c r="AB35">
        <v>2</v>
      </c>
      <c r="AD35">
        <v>1</v>
      </c>
      <c r="AH35">
        <v>1</v>
      </c>
      <c r="AJ35">
        <v>1</v>
      </c>
      <c r="AN35">
        <v>2</v>
      </c>
      <c r="AO35">
        <v>1</v>
      </c>
      <c r="AP35">
        <v>2</v>
      </c>
      <c r="AQ35">
        <v>1</v>
      </c>
      <c r="AS35">
        <v>2</v>
      </c>
      <c r="AW35">
        <v>1</v>
      </c>
      <c r="AX35">
        <v>1</v>
      </c>
      <c r="AY35">
        <v>2</v>
      </c>
      <c r="AZ35">
        <v>2</v>
      </c>
      <c r="BA35">
        <v>1</v>
      </c>
      <c r="BB35">
        <v>2</v>
      </c>
      <c r="BC35">
        <v>4</v>
      </c>
      <c r="BD35">
        <v>1</v>
      </c>
      <c r="BE35">
        <v>1</v>
      </c>
      <c r="BG35">
        <v>2</v>
      </c>
      <c r="BH35">
        <v>3</v>
      </c>
      <c r="BJ35">
        <v>1</v>
      </c>
      <c r="BM35">
        <v>3</v>
      </c>
      <c r="BN35">
        <v>1</v>
      </c>
      <c r="BP35">
        <v>1</v>
      </c>
      <c r="BR35">
        <v>3</v>
      </c>
      <c r="BV35">
        <v>1</v>
      </c>
      <c r="BW35">
        <v>4</v>
      </c>
      <c r="BX35">
        <v>2</v>
      </c>
    </row>
    <row r="36" spans="1:76" hidden="1" x14ac:dyDescent="0.35">
      <c r="A36" t="s">
        <v>351</v>
      </c>
      <c r="Z36">
        <v>1</v>
      </c>
    </row>
    <row r="37" spans="1:76" x14ac:dyDescent="0.35">
      <c r="A37" t="s">
        <v>9</v>
      </c>
      <c r="C37">
        <v>1</v>
      </c>
      <c r="D37">
        <v>1</v>
      </c>
      <c r="G37">
        <v>2</v>
      </c>
      <c r="H37">
        <v>2</v>
      </c>
      <c r="I37">
        <v>1</v>
      </c>
      <c r="J37">
        <v>1</v>
      </c>
      <c r="K37">
        <v>2</v>
      </c>
      <c r="L37">
        <v>5</v>
      </c>
      <c r="M37">
        <v>1</v>
      </c>
      <c r="O37">
        <v>4</v>
      </c>
      <c r="P37">
        <v>1</v>
      </c>
      <c r="Q37">
        <v>2</v>
      </c>
      <c r="T37">
        <v>6</v>
      </c>
      <c r="X37">
        <v>2</v>
      </c>
      <c r="Y37">
        <v>2</v>
      </c>
      <c r="Z37">
        <v>1</v>
      </c>
      <c r="AA37">
        <v>1</v>
      </c>
      <c r="AB37">
        <v>1</v>
      </c>
      <c r="AC37">
        <v>3</v>
      </c>
      <c r="AF37">
        <v>4</v>
      </c>
      <c r="AI37">
        <v>1</v>
      </c>
      <c r="AL37">
        <v>1</v>
      </c>
      <c r="AN37">
        <v>1</v>
      </c>
      <c r="AR37">
        <v>2</v>
      </c>
      <c r="AS37">
        <v>3</v>
      </c>
      <c r="AT37">
        <v>1</v>
      </c>
      <c r="AW37">
        <v>2</v>
      </c>
      <c r="AX37">
        <v>5</v>
      </c>
      <c r="AY37">
        <v>3</v>
      </c>
      <c r="AZ37">
        <v>1</v>
      </c>
      <c r="BA37">
        <v>3</v>
      </c>
      <c r="BB37">
        <v>2</v>
      </c>
      <c r="BD37">
        <v>3</v>
      </c>
      <c r="BF37">
        <v>3</v>
      </c>
      <c r="BG37">
        <v>4</v>
      </c>
      <c r="BH37">
        <v>3</v>
      </c>
      <c r="BI37">
        <v>2</v>
      </c>
      <c r="BJ37">
        <v>1</v>
      </c>
      <c r="BL37">
        <v>1</v>
      </c>
      <c r="BM37">
        <v>2</v>
      </c>
      <c r="BN37">
        <v>1</v>
      </c>
      <c r="BP37">
        <v>1</v>
      </c>
      <c r="BQ37">
        <v>2</v>
      </c>
      <c r="BR37">
        <v>3</v>
      </c>
      <c r="BS37">
        <v>2</v>
      </c>
      <c r="BV37">
        <v>5</v>
      </c>
      <c r="BW37">
        <v>4</v>
      </c>
    </row>
    <row r="38" spans="1:76" x14ac:dyDescent="0.35">
      <c r="A38" t="s">
        <v>394</v>
      </c>
      <c r="BW38">
        <v>1</v>
      </c>
    </row>
    <row r="39" spans="1:76" x14ac:dyDescent="0.35">
      <c r="A39" t="s">
        <v>381</v>
      </c>
      <c r="BG39">
        <v>2</v>
      </c>
    </row>
    <row r="40" spans="1:76" x14ac:dyDescent="0.35">
      <c r="A40" t="s">
        <v>20</v>
      </c>
      <c r="B40">
        <v>1</v>
      </c>
      <c r="D40">
        <v>1</v>
      </c>
      <c r="F40">
        <v>2</v>
      </c>
      <c r="G40">
        <v>2</v>
      </c>
      <c r="H40">
        <v>4</v>
      </c>
      <c r="J40">
        <v>2</v>
      </c>
      <c r="K40">
        <v>2</v>
      </c>
      <c r="L40">
        <v>1</v>
      </c>
      <c r="M40">
        <v>1</v>
      </c>
      <c r="P40">
        <v>1</v>
      </c>
      <c r="Q40">
        <v>1</v>
      </c>
      <c r="R40">
        <v>3</v>
      </c>
      <c r="S40">
        <v>2</v>
      </c>
      <c r="T40">
        <v>2</v>
      </c>
      <c r="U40">
        <v>2</v>
      </c>
      <c r="W40">
        <v>3</v>
      </c>
      <c r="X40">
        <v>3</v>
      </c>
      <c r="Y40">
        <v>2</v>
      </c>
      <c r="AA40">
        <v>2</v>
      </c>
      <c r="AB40">
        <v>2</v>
      </c>
      <c r="AC40">
        <v>2</v>
      </c>
      <c r="AE40">
        <v>2</v>
      </c>
      <c r="AF40">
        <v>1</v>
      </c>
      <c r="AG40">
        <v>2</v>
      </c>
      <c r="AJ40">
        <v>4</v>
      </c>
      <c r="AK40">
        <v>2</v>
      </c>
      <c r="AM40">
        <v>1</v>
      </c>
      <c r="AN40">
        <v>1</v>
      </c>
      <c r="AO40">
        <v>1</v>
      </c>
      <c r="AP40">
        <v>1</v>
      </c>
      <c r="AU40">
        <v>1</v>
      </c>
      <c r="AV40">
        <v>1</v>
      </c>
      <c r="AW40">
        <v>2</v>
      </c>
      <c r="BA40">
        <v>1</v>
      </c>
      <c r="BH40">
        <v>2</v>
      </c>
      <c r="BJ40">
        <v>2</v>
      </c>
      <c r="BK40">
        <v>3</v>
      </c>
      <c r="BP40">
        <v>2</v>
      </c>
    </row>
    <row r="41" spans="1:76" x14ac:dyDescent="0.35">
      <c r="A41" t="s">
        <v>396</v>
      </c>
    </row>
    <row r="42" spans="1:76" x14ac:dyDescent="0.35">
      <c r="A42" t="s">
        <v>80</v>
      </c>
      <c r="F42">
        <v>1</v>
      </c>
    </row>
    <row r="43" spans="1:76" hidden="1" x14ac:dyDescent="0.35">
      <c r="A43" t="s">
        <v>61</v>
      </c>
      <c r="D43">
        <v>1</v>
      </c>
    </row>
    <row r="44" spans="1:76" x14ac:dyDescent="0.35">
      <c r="A44" t="s">
        <v>374</v>
      </c>
      <c r="AW44">
        <v>2</v>
      </c>
    </row>
    <row r="45" spans="1:76" x14ac:dyDescent="0.35">
      <c r="A45" t="s">
        <v>19</v>
      </c>
      <c r="B45">
        <v>2</v>
      </c>
      <c r="C45">
        <v>1</v>
      </c>
      <c r="D45">
        <v>1</v>
      </c>
      <c r="F45">
        <v>4</v>
      </c>
      <c r="G45">
        <v>3</v>
      </c>
      <c r="H45">
        <v>1</v>
      </c>
      <c r="I45">
        <v>1</v>
      </c>
      <c r="M45">
        <v>2</v>
      </c>
      <c r="N45">
        <v>3</v>
      </c>
      <c r="T45">
        <v>1</v>
      </c>
      <c r="X45">
        <v>1</v>
      </c>
      <c r="AA45">
        <v>2</v>
      </c>
      <c r="AB45">
        <v>2</v>
      </c>
      <c r="AC45">
        <v>1</v>
      </c>
      <c r="AD45">
        <v>2</v>
      </c>
      <c r="AE45">
        <v>1</v>
      </c>
      <c r="AG45">
        <v>1</v>
      </c>
      <c r="AH45">
        <v>2</v>
      </c>
      <c r="AJ45">
        <v>1</v>
      </c>
      <c r="AM45">
        <v>4</v>
      </c>
      <c r="AN45">
        <v>1</v>
      </c>
      <c r="AP45">
        <v>1</v>
      </c>
      <c r="AR45">
        <v>1</v>
      </c>
      <c r="AS45">
        <v>1</v>
      </c>
      <c r="AT45">
        <v>1</v>
      </c>
      <c r="AV45">
        <v>1</v>
      </c>
      <c r="AZ45">
        <v>2</v>
      </c>
      <c r="BA45">
        <v>1</v>
      </c>
      <c r="BC45">
        <v>3</v>
      </c>
      <c r="BD45">
        <v>1</v>
      </c>
      <c r="BI45">
        <v>1</v>
      </c>
      <c r="BJ45">
        <v>1</v>
      </c>
      <c r="BK45">
        <v>3</v>
      </c>
      <c r="BL45">
        <v>2</v>
      </c>
      <c r="BM45">
        <v>5</v>
      </c>
      <c r="BO45">
        <v>1</v>
      </c>
      <c r="BP45">
        <v>3</v>
      </c>
      <c r="BQ45">
        <v>3</v>
      </c>
      <c r="BS45">
        <v>1</v>
      </c>
      <c r="BX45">
        <v>3</v>
      </c>
    </row>
    <row r="46" spans="1:76" x14ac:dyDescent="0.35">
      <c r="A46" t="s">
        <v>43</v>
      </c>
      <c r="AQ46">
        <v>2</v>
      </c>
    </row>
    <row r="47" spans="1:76" x14ac:dyDescent="0.35">
      <c r="A47" t="s">
        <v>68</v>
      </c>
      <c r="E47">
        <v>1</v>
      </c>
      <c r="I47">
        <v>1</v>
      </c>
      <c r="N47">
        <v>1</v>
      </c>
      <c r="W47">
        <v>2</v>
      </c>
      <c r="AQ47">
        <v>1</v>
      </c>
    </row>
    <row r="48" spans="1:76" hidden="1" x14ac:dyDescent="0.35">
      <c r="A48" t="s">
        <v>53</v>
      </c>
      <c r="N48">
        <v>1</v>
      </c>
    </row>
    <row r="49" spans="1:76" x14ac:dyDescent="0.35">
      <c r="A49" t="s">
        <v>368</v>
      </c>
      <c r="AM49">
        <v>5</v>
      </c>
      <c r="BB49">
        <v>9</v>
      </c>
      <c r="BN49">
        <v>2</v>
      </c>
    </row>
    <row r="50" spans="1:76" x14ac:dyDescent="0.35">
      <c r="A50" t="s">
        <v>345</v>
      </c>
      <c r="U50">
        <v>1</v>
      </c>
      <c r="BR50">
        <v>1</v>
      </c>
      <c r="BS50">
        <v>1</v>
      </c>
      <c r="BT50">
        <v>1</v>
      </c>
    </row>
    <row r="51" spans="1:76" x14ac:dyDescent="0.35">
      <c r="A51" t="s">
        <v>343</v>
      </c>
      <c r="AN51">
        <v>1</v>
      </c>
      <c r="BR51">
        <v>1</v>
      </c>
      <c r="BS51">
        <v>1</v>
      </c>
      <c r="BT51">
        <v>3</v>
      </c>
    </row>
    <row r="52" spans="1:76" x14ac:dyDescent="0.35">
      <c r="A52" t="s">
        <v>344</v>
      </c>
      <c r="X52">
        <v>1</v>
      </c>
      <c r="Y52">
        <v>2</v>
      </c>
      <c r="AF52">
        <v>2</v>
      </c>
    </row>
    <row r="53" spans="1:76" x14ac:dyDescent="0.35">
      <c r="A53" t="s">
        <v>10</v>
      </c>
      <c r="B53">
        <v>2</v>
      </c>
      <c r="C53">
        <v>3</v>
      </c>
      <c r="F53">
        <v>2</v>
      </c>
      <c r="I53">
        <v>2</v>
      </c>
      <c r="J53">
        <v>2</v>
      </c>
      <c r="K53">
        <v>1</v>
      </c>
      <c r="L53">
        <v>1</v>
      </c>
      <c r="M53">
        <v>1</v>
      </c>
      <c r="O53">
        <v>2</v>
      </c>
      <c r="R53">
        <v>3</v>
      </c>
      <c r="S53">
        <v>1</v>
      </c>
      <c r="T53">
        <v>1</v>
      </c>
      <c r="V53">
        <v>1</v>
      </c>
      <c r="W53">
        <v>3</v>
      </c>
      <c r="X53">
        <v>1</v>
      </c>
      <c r="Y53">
        <v>1</v>
      </c>
      <c r="Z53">
        <v>1.5</v>
      </c>
      <c r="AC53">
        <v>1</v>
      </c>
      <c r="AD53">
        <v>2</v>
      </c>
      <c r="AE53">
        <v>1</v>
      </c>
      <c r="AF53">
        <v>2</v>
      </c>
      <c r="AH53">
        <v>2</v>
      </c>
      <c r="AL53">
        <v>3</v>
      </c>
      <c r="AP53">
        <v>2</v>
      </c>
      <c r="AQ53">
        <v>4</v>
      </c>
      <c r="AR53">
        <v>3</v>
      </c>
      <c r="AS53">
        <v>0.5</v>
      </c>
      <c r="AU53">
        <v>2</v>
      </c>
      <c r="AV53">
        <v>1</v>
      </c>
      <c r="BC53">
        <v>1</v>
      </c>
      <c r="BD53">
        <v>1</v>
      </c>
      <c r="BE53">
        <v>7</v>
      </c>
      <c r="BH53">
        <v>1</v>
      </c>
      <c r="BI53">
        <v>1</v>
      </c>
      <c r="BJ53">
        <v>3</v>
      </c>
      <c r="BK53">
        <v>3</v>
      </c>
      <c r="BL53">
        <v>1</v>
      </c>
      <c r="BM53">
        <v>1</v>
      </c>
      <c r="BN53">
        <v>4</v>
      </c>
      <c r="BP53">
        <v>1</v>
      </c>
      <c r="BQ53">
        <v>3</v>
      </c>
      <c r="BR53">
        <v>1</v>
      </c>
      <c r="BT53">
        <v>1</v>
      </c>
      <c r="BV53">
        <v>1</v>
      </c>
      <c r="BW53">
        <v>2</v>
      </c>
      <c r="BX53">
        <v>2</v>
      </c>
    </row>
    <row r="54" spans="1:76" x14ac:dyDescent="0.35">
      <c r="A54" t="s">
        <v>46</v>
      </c>
      <c r="B54">
        <v>1</v>
      </c>
      <c r="O54">
        <v>3</v>
      </c>
      <c r="P54">
        <v>1</v>
      </c>
      <c r="Q54">
        <v>2</v>
      </c>
      <c r="AM54">
        <v>1</v>
      </c>
      <c r="AN54">
        <v>1</v>
      </c>
      <c r="AP54">
        <v>1</v>
      </c>
      <c r="AS54">
        <v>1</v>
      </c>
      <c r="AV54">
        <v>1</v>
      </c>
      <c r="AX54">
        <v>5</v>
      </c>
      <c r="AY54">
        <v>1</v>
      </c>
      <c r="BA54">
        <v>2</v>
      </c>
      <c r="BB54">
        <v>4</v>
      </c>
      <c r="BE54">
        <v>3</v>
      </c>
      <c r="BF54">
        <v>2</v>
      </c>
      <c r="BH54">
        <v>3</v>
      </c>
      <c r="BK54">
        <v>1</v>
      </c>
      <c r="BT54">
        <v>3</v>
      </c>
    </row>
    <row r="55" spans="1:76" x14ac:dyDescent="0.35">
      <c r="A55" t="s">
        <v>377</v>
      </c>
    </row>
    <row r="56" spans="1:76" x14ac:dyDescent="0.35">
      <c r="A56" t="s">
        <v>3</v>
      </c>
      <c r="F56">
        <v>3</v>
      </c>
      <c r="L56">
        <v>1</v>
      </c>
      <c r="S56">
        <v>3</v>
      </c>
      <c r="AH56">
        <v>1</v>
      </c>
    </row>
    <row r="57" spans="1:76" hidden="1" x14ac:dyDescent="0.35">
      <c r="A57" t="s">
        <v>350</v>
      </c>
    </row>
    <row r="58" spans="1:76" x14ac:dyDescent="0.35">
      <c r="A58" t="s">
        <v>56</v>
      </c>
      <c r="C58">
        <v>3</v>
      </c>
      <c r="E58">
        <v>2</v>
      </c>
      <c r="F58">
        <v>1</v>
      </c>
      <c r="G58">
        <v>2</v>
      </c>
      <c r="I58">
        <v>1</v>
      </c>
      <c r="J58">
        <v>1</v>
      </c>
      <c r="K58">
        <v>1</v>
      </c>
      <c r="L58">
        <v>1</v>
      </c>
      <c r="M58">
        <v>1</v>
      </c>
      <c r="P58">
        <v>1</v>
      </c>
      <c r="R58">
        <v>1</v>
      </c>
      <c r="S58">
        <v>4</v>
      </c>
      <c r="T58">
        <v>1</v>
      </c>
      <c r="V58">
        <v>1</v>
      </c>
      <c r="W58">
        <v>2</v>
      </c>
      <c r="Z58">
        <v>2</v>
      </c>
      <c r="AA58">
        <v>1</v>
      </c>
      <c r="AB58">
        <v>4</v>
      </c>
      <c r="AC58">
        <v>1</v>
      </c>
      <c r="AD58">
        <v>1</v>
      </c>
      <c r="AX58">
        <v>1</v>
      </c>
      <c r="AY58">
        <v>1</v>
      </c>
      <c r="AZ58">
        <v>2</v>
      </c>
      <c r="BD58">
        <v>1</v>
      </c>
      <c r="BF58">
        <v>1</v>
      </c>
      <c r="BH58">
        <v>1</v>
      </c>
      <c r="BI58">
        <v>1</v>
      </c>
      <c r="BJ58">
        <v>2</v>
      </c>
      <c r="BK58">
        <v>1</v>
      </c>
      <c r="BL58">
        <v>2</v>
      </c>
      <c r="BM58">
        <v>2</v>
      </c>
      <c r="BN58">
        <v>2</v>
      </c>
      <c r="BO58">
        <v>1</v>
      </c>
      <c r="BP58">
        <v>1</v>
      </c>
      <c r="BR58">
        <v>1</v>
      </c>
      <c r="BS58">
        <v>2</v>
      </c>
      <c r="BU58">
        <v>2</v>
      </c>
      <c r="BV58">
        <v>1</v>
      </c>
      <c r="BX58">
        <v>1</v>
      </c>
    </row>
    <row r="59" spans="1:76" x14ac:dyDescent="0.35">
      <c r="A59" t="s">
        <v>369</v>
      </c>
      <c r="AN59">
        <v>3</v>
      </c>
    </row>
    <row r="60" spans="1:76" x14ac:dyDescent="0.35">
      <c r="A60" t="s">
        <v>387</v>
      </c>
      <c r="BN60">
        <v>3</v>
      </c>
      <c r="BO60">
        <v>2</v>
      </c>
      <c r="BQ60">
        <v>2</v>
      </c>
    </row>
    <row r="61" spans="1:76" x14ac:dyDescent="0.35">
      <c r="A61" t="s">
        <v>60</v>
      </c>
      <c r="B61">
        <v>2</v>
      </c>
      <c r="BF61">
        <v>1</v>
      </c>
      <c r="BT61">
        <v>2</v>
      </c>
    </row>
    <row r="62" spans="1:76" x14ac:dyDescent="0.35">
      <c r="A62" t="s">
        <v>340</v>
      </c>
      <c r="Q62">
        <v>1</v>
      </c>
      <c r="U62">
        <v>1</v>
      </c>
      <c r="W62">
        <v>1</v>
      </c>
      <c r="X62">
        <v>3</v>
      </c>
      <c r="Y62">
        <v>1</v>
      </c>
      <c r="Z62">
        <v>1</v>
      </c>
    </row>
    <row r="63" spans="1:76" x14ac:dyDescent="0.35">
      <c r="A63" t="s">
        <v>339</v>
      </c>
    </row>
    <row r="64" spans="1:76" x14ac:dyDescent="0.35">
      <c r="A64" t="s">
        <v>11</v>
      </c>
    </row>
    <row r="65" spans="1:76" x14ac:dyDescent="0.35">
      <c r="A65" t="s">
        <v>55</v>
      </c>
      <c r="B65">
        <v>2</v>
      </c>
      <c r="C65">
        <v>1</v>
      </c>
      <c r="D65">
        <v>1</v>
      </c>
      <c r="E65">
        <v>1</v>
      </c>
      <c r="F65">
        <v>3</v>
      </c>
      <c r="G65">
        <v>2</v>
      </c>
      <c r="H65">
        <v>3</v>
      </c>
      <c r="J65">
        <v>1</v>
      </c>
      <c r="K65">
        <v>1</v>
      </c>
      <c r="M65">
        <v>3</v>
      </c>
      <c r="N65">
        <v>4</v>
      </c>
      <c r="X65">
        <v>6</v>
      </c>
      <c r="Y65">
        <v>5</v>
      </c>
      <c r="Z65">
        <v>1</v>
      </c>
      <c r="AD65">
        <v>2</v>
      </c>
      <c r="AG65">
        <v>3</v>
      </c>
      <c r="AJ65">
        <v>2</v>
      </c>
      <c r="AM65">
        <v>2</v>
      </c>
      <c r="AO65">
        <v>3</v>
      </c>
      <c r="AQ65">
        <v>2</v>
      </c>
      <c r="AT65">
        <v>1</v>
      </c>
      <c r="AU65">
        <v>4</v>
      </c>
      <c r="AV65">
        <v>2</v>
      </c>
      <c r="AX65">
        <v>1</v>
      </c>
      <c r="AY65">
        <v>2</v>
      </c>
      <c r="AZ65">
        <v>1</v>
      </c>
      <c r="BA65">
        <v>4</v>
      </c>
      <c r="BB65">
        <v>2</v>
      </c>
      <c r="BH65">
        <v>1</v>
      </c>
      <c r="BR65">
        <v>2</v>
      </c>
    </row>
    <row r="66" spans="1:76" x14ac:dyDescent="0.35">
      <c r="A66" t="s">
        <v>21</v>
      </c>
    </row>
    <row r="67" spans="1:76" x14ac:dyDescent="0.35">
      <c r="A67" t="s">
        <v>81</v>
      </c>
      <c r="G67">
        <v>3</v>
      </c>
      <c r="K67">
        <v>1</v>
      </c>
      <c r="BG67">
        <v>2</v>
      </c>
      <c r="BN67">
        <v>4</v>
      </c>
      <c r="BP67">
        <v>1</v>
      </c>
      <c r="BR67">
        <v>2</v>
      </c>
      <c r="BS67">
        <v>3</v>
      </c>
      <c r="BU67">
        <v>3</v>
      </c>
      <c r="BV67">
        <v>2</v>
      </c>
      <c r="BW67">
        <v>2</v>
      </c>
      <c r="BX67">
        <v>2</v>
      </c>
    </row>
    <row r="68" spans="1:76" x14ac:dyDescent="0.35">
      <c r="A68" t="s">
        <v>63</v>
      </c>
      <c r="B68">
        <v>2</v>
      </c>
      <c r="D68">
        <v>1</v>
      </c>
      <c r="AF68">
        <v>2</v>
      </c>
      <c r="AQ68">
        <v>3</v>
      </c>
      <c r="BF68">
        <v>1</v>
      </c>
      <c r="BM68">
        <v>1</v>
      </c>
      <c r="BW68">
        <v>1</v>
      </c>
    </row>
    <row r="69" spans="1:76" hidden="1" x14ac:dyDescent="0.35">
      <c r="A69" t="s">
        <v>83</v>
      </c>
    </row>
    <row r="70" spans="1:76" x14ac:dyDescent="0.35">
      <c r="A70" t="s">
        <v>22</v>
      </c>
      <c r="Y70">
        <v>1</v>
      </c>
      <c r="AB70">
        <v>2</v>
      </c>
      <c r="AD70">
        <v>3</v>
      </c>
      <c r="AI70">
        <v>1</v>
      </c>
      <c r="AR70">
        <v>4</v>
      </c>
      <c r="AV70">
        <v>3</v>
      </c>
      <c r="BA70">
        <v>2</v>
      </c>
      <c r="BB70">
        <v>5</v>
      </c>
      <c r="BE70">
        <v>6</v>
      </c>
      <c r="BS70">
        <v>1</v>
      </c>
      <c r="BT70">
        <v>1</v>
      </c>
      <c r="BU70">
        <v>2</v>
      </c>
      <c r="BV70">
        <v>3</v>
      </c>
      <c r="BX70">
        <v>2</v>
      </c>
    </row>
    <row r="71" spans="1:76" x14ac:dyDescent="0.35">
      <c r="A71" t="s">
        <v>376</v>
      </c>
      <c r="AU71">
        <v>1</v>
      </c>
      <c r="AV71">
        <v>1</v>
      </c>
      <c r="AW71">
        <v>3</v>
      </c>
      <c r="AX71">
        <v>1</v>
      </c>
      <c r="AZ71">
        <v>1</v>
      </c>
      <c r="BC71">
        <v>2</v>
      </c>
      <c r="BX71">
        <v>1</v>
      </c>
    </row>
    <row r="72" spans="1:76" x14ac:dyDescent="0.35">
      <c r="A72" t="s">
        <v>44</v>
      </c>
      <c r="N72">
        <v>3</v>
      </c>
      <c r="S72">
        <v>2</v>
      </c>
      <c r="AG72">
        <v>2</v>
      </c>
      <c r="AI72">
        <v>1</v>
      </c>
      <c r="AP72">
        <v>2</v>
      </c>
      <c r="AQ72">
        <v>1</v>
      </c>
      <c r="AR72">
        <v>3</v>
      </c>
      <c r="AW72">
        <v>1</v>
      </c>
      <c r="BA72">
        <v>1</v>
      </c>
      <c r="BE72">
        <v>1</v>
      </c>
      <c r="BI72">
        <v>2</v>
      </c>
      <c r="BL72">
        <v>2</v>
      </c>
      <c r="BN72">
        <v>2</v>
      </c>
      <c r="BO72">
        <v>1</v>
      </c>
      <c r="BP72">
        <v>1</v>
      </c>
      <c r="BR72">
        <v>1</v>
      </c>
    </row>
    <row r="73" spans="1:76" x14ac:dyDescent="0.35">
      <c r="A73" t="s">
        <v>379</v>
      </c>
      <c r="BF73">
        <v>1</v>
      </c>
      <c r="BG73">
        <v>1</v>
      </c>
    </row>
    <row r="74" spans="1:76" x14ac:dyDescent="0.35">
      <c r="A74" t="s">
        <v>8</v>
      </c>
      <c r="B74">
        <v>1</v>
      </c>
      <c r="H74">
        <v>1</v>
      </c>
      <c r="J74">
        <v>2</v>
      </c>
      <c r="Q74">
        <v>2</v>
      </c>
    </row>
    <row r="75" spans="1:76" hidden="1" x14ac:dyDescent="0.35">
      <c r="A75" t="s">
        <v>354</v>
      </c>
    </row>
    <row r="76" spans="1:76" x14ac:dyDescent="0.35">
      <c r="A76" t="s">
        <v>82</v>
      </c>
      <c r="B76">
        <v>2</v>
      </c>
      <c r="C76">
        <v>2</v>
      </c>
      <c r="D76">
        <v>1</v>
      </c>
      <c r="E76">
        <v>2</v>
      </c>
      <c r="F76">
        <v>1</v>
      </c>
      <c r="G76">
        <v>2</v>
      </c>
      <c r="H76">
        <v>2</v>
      </c>
      <c r="I76">
        <v>3</v>
      </c>
      <c r="J76">
        <v>4</v>
      </c>
      <c r="L76">
        <v>4</v>
      </c>
      <c r="M76">
        <v>1</v>
      </c>
      <c r="N76">
        <v>2</v>
      </c>
      <c r="O76">
        <v>1</v>
      </c>
      <c r="P76">
        <v>1</v>
      </c>
      <c r="Q76">
        <v>1</v>
      </c>
      <c r="R76">
        <v>3</v>
      </c>
      <c r="S76">
        <v>3</v>
      </c>
      <c r="U76">
        <v>3</v>
      </c>
      <c r="V76">
        <v>1</v>
      </c>
      <c r="W76">
        <v>3</v>
      </c>
      <c r="AC76">
        <v>1</v>
      </c>
      <c r="AF76">
        <v>1</v>
      </c>
      <c r="AH76">
        <v>2</v>
      </c>
      <c r="AI76">
        <v>3</v>
      </c>
      <c r="AJ76">
        <v>1</v>
      </c>
      <c r="AK76">
        <v>4</v>
      </c>
      <c r="AL76">
        <v>3</v>
      </c>
      <c r="AN76">
        <v>1</v>
      </c>
      <c r="AP76">
        <v>2</v>
      </c>
      <c r="AT76">
        <v>2</v>
      </c>
      <c r="AU76">
        <v>3</v>
      </c>
      <c r="AV76">
        <v>1</v>
      </c>
      <c r="AW76">
        <v>1</v>
      </c>
      <c r="AX76">
        <v>1</v>
      </c>
      <c r="AY76">
        <v>1</v>
      </c>
      <c r="AZ76">
        <v>2</v>
      </c>
      <c r="BC76">
        <v>2</v>
      </c>
      <c r="BD76">
        <v>1</v>
      </c>
      <c r="BF76">
        <v>2</v>
      </c>
      <c r="BH76">
        <v>3</v>
      </c>
      <c r="BI76">
        <v>1</v>
      </c>
      <c r="BJ76">
        <v>2</v>
      </c>
      <c r="BK76">
        <v>3</v>
      </c>
      <c r="BM76">
        <v>2</v>
      </c>
      <c r="BN76">
        <v>3</v>
      </c>
      <c r="BU76">
        <v>1</v>
      </c>
      <c r="BV76">
        <v>3</v>
      </c>
      <c r="BX76">
        <v>2</v>
      </c>
    </row>
    <row r="77" spans="1:76" x14ac:dyDescent="0.35">
      <c r="A77" t="s">
        <v>49</v>
      </c>
      <c r="G77">
        <v>2</v>
      </c>
    </row>
    <row r="78" spans="1:76" x14ac:dyDescent="0.35">
      <c r="A78" t="s">
        <v>385</v>
      </c>
    </row>
    <row r="79" spans="1:76" x14ac:dyDescent="0.35">
      <c r="A79" t="s">
        <v>85</v>
      </c>
      <c r="K79">
        <v>4</v>
      </c>
      <c r="L79">
        <v>2</v>
      </c>
      <c r="M79">
        <v>5</v>
      </c>
    </row>
    <row r="80" spans="1:76" x14ac:dyDescent="0.35">
      <c r="A80" t="s">
        <v>5</v>
      </c>
      <c r="B80">
        <v>1</v>
      </c>
      <c r="C80">
        <v>2</v>
      </c>
      <c r="D80">
        <v>2</v>
      </c>
      <c r="E80">
        <v>3</v>
      </c>
      <c r="F80">
        <v>2</v>
      </c>
      <c r="G80">
        <v>3</v>
      </c>
      <c r="H80">
        <v>1</v>
      </c>
      <c r="M80">
        <v>4</v>
      </c>
      <c r="N80">
        <v>6</v>
      </c>
      <c r="P80">
        <v>2</v>
      </c>
      <c r="Q80">
        <v>1</v>
      </c>
      <c r="R80">
        <v>2</v>
      </c>
      <c r="S80">
        <v>3</v>
      </c>
      <c r="V80">
        <v>2</v>
      </c>
      <c r="W80">
        <v>1</v>
      </c>
      <c r="X80">
        <v>1</v>
      </c>
      <c r="Y80">
        <v>4</v>
      </c>
      <c r="Z80">
        <v>5</v>
      </c>
      <c r="AA80">
        <v>1</v>
      </c>
      <c r="AB80">
        <v>3</v>
      </c>
      <c r="AC80">
        <v>4</v>
      </c>
      <c r="AD80">
        <v>3</v>
      </c>
      <c r="AE80">
        <v>3</v>
      </c>
      <c r="AF80">
        <v>2</v>
      </c>
      <c r="AG80">
        <v>5</v>
      </c>
      <c r="AH80">
        <v>7</v>
      </c>
      <c r="AI80">
        <v>3</v>
      </c>
      <c r="AJ80">
        <v>1</v>
      </c>
      <c r="AK80">
        <v>1</v>
      </c>
      <c r="AL80">
        <v>6</v>
      </c>
      <c r="AR80">
        <v>3</v>
      </c>
      <c r="AS80">
        <v>2</v>
      </c>
      <c r="AV80">
        <v>2</v>
      </c>
      <c r="AW80">
        <v>1</v>
      </c>
      <c r="AX80">
        <v>4</v>
      </c>
      <c r="AY80">
        <v>3</v>
      </c>
      <c r="AZ80">
        <v>4</v>
      </c>
      <c r="BA80">
        <v>5</v>
      </c>
      <c r="BB80">
        <v>6</v>
      </c>
      <c r="BC80">
        <v>2</v>
      </c>
      <c r="BD80">
        <v>2</v>
      </c>
      <c r="BE80">
        <v>7</v>
      </c>
      <c r="BG80">
        <v>4</v>
      </c>
      <c r="BH80">
        <v>3</v>
      </c>
      <c r="BI80">
        <v>4</v>
      </c>
      <c r="BK80">
        <v>1</v>
      </c>
      <c r="BL80">
        <v>8</v>
      </c>
      <c r="BM80">
        <v>4</v>
      </c>
      <c r="BN80">
        <v>5</v>
      </c>
      <c r="BO80">
        <v>3</v>
      </c>
      <c r="BP80">
        <v>1</v>
      </c>
      <c r="BQ80">
        <v>1</v>
      </c>
      <c r="BR80">
        <v>3</v>
      </c>
      <c r="BS80">
        <v>1</v>
      </c>
    </row>
    <row r="81" spans="1:76" x14ac:dyDescent="0.35">
      <c r="A81" t="s">
        <v>45</v>
      </c>
      <c r="K81">
        <v>1</v>
      </c>
      <c r="BJ81">
        <v>1</v>
      </c>
    </row>
    <row r="82" spans="1:76" x14ac:dyDescent="0.35">
      <c r="A82" t="s">
        <v>367</v>
      </c>
      <c r="B82">
        <v>1</v>
      </c>
      <c r="D82">
        <v>1</v>
      </c>
      <c r="E82">
        <v>3</v>
      </c>
      <c r="O82">
        <v>2</v>
      </c>
      <c r="P82">
        <v>2</v>
      </c>
      <c r="Q82">
        <v>1</v>
      </c>
      <c r="R82">
        <v>1</v>
      </c>
      <c r="AD82">
        <v>1</v>
      </c>
      <c r="AE82">
        <v>1</v>
      </c>
      <c r="AG82">
        <v>1</v>
      </c>
      <c r="AH82">
        <v>2</v>
      </c>
      <c r="AL82">
        <v>3</v>
      </c>
      <c r="AM82">
        <v>2</v>
      </c>
      <c r="AN82">
        <v>1</v>
      </c>
      <c r="AO82">
        <v>1</v>
      </c>
      <c r="AR82">
        <v>1</v>
      </c>
      <c r="AS82">
        <v>1</v>
      </c>
      <c r="AT82">
        <v>1</v>
      </c>
      <c r="AV82">
        <v>1</v>
      </c>
      <c r="AW82">
        <v>2</v>
      </c>
      <c r="BD82">
        <v>1</v>
      </c>
      <c r="BF82">
        <v>1</v>
      </c>
      <c r="BI82">
        <v>1</v>
      </c>
      <c r="BU82">
        <v>2</v>
      </c>
      <c r="BW82">
        <v>2</v>
      </c>
    </row>
    <row r="83" spans="1:76" hidden="1" x14ac:dyDescent="0.35">
      <c r="A83" t="s">
        <v>352</v>
      </c>
      <c r="Z83">
        <v>1</v>
      </c>
    </row>
    <row r="84" spans="1:76" hidden="1" x14ac:dyDescent="0.35">
      <c r="A84" t="s">
        <v>366</v>
      </c>
    </row>
    <row r="85" spans="1:76" x14ac:dyDescent="0.35">
      <c r="A85" t="s">
        <v>17</v>
      </c>
      <c r="F85">
        <v>2</v>
      </c>
      <c r="J85">
        <v>1</v>
      </c>
      <c r="K85">
        <v>1</v>
      </c>
    </row>
    <row r="86" spans="1:76" hidden="1" x14ac:dyDescent="0.35">
      <c r="A86" t="s">
        <v>86</v>
      </c>
      <c r="K86">
        <v>5</v>
      </c>
    </row>
    <row r="87" spans="1:76" x14ac:dyDescent="0.35">
      <c r="A87" t="s">
        <v>16</v>
      </c>
      <c r="C87">
        <v>4</v>
      </c>
      <c r="D87">
        <v>3</v>
      </c>
      <c r="F87">
        <v>2</v>
      </c>
      <c r="G87">
        <v>5</v>
      </c>
      <c r="H87">
        <v>3</v>
      </c>
      <c r="I87">
        <v>2</v>
      </c>
      <c r="J87">
        <v>5</v>
      </c>
      <c r="K87">
        <v>3</v>
      </c>
      <c r="L87">
        <v>2</v>
      </c>
      <c r="M87">
        <v>3</v>
      </c>
      <c r="O87">
        <v>5</v>
      </c>
      <c r="P87">
        <v>5</v>
      </c>
      <c r="Q87">
        <v>3</v>
      </c>
      <c r="R87">
        <v>2</v>
      </c>
      <c r="S87">
        <v>3</v>
      </c>
      <c r="T87">
        <v>1</v>
      </c>
      <c r="U87">
        <v>1</v>
      </c>
      <c r="V87">
        <v>3</v>
      </c>
      <c r="W87">
        <v>3</v>
      </c>
      <c r="X87">
        <v>5</v>
      </c>
      <c r="Y87">
        <v>4</v>
      </c>
      <c r="Z87">
        <v>1</v>
      </c>
      <c r="AA87">
        <v>3</v>
      </c>
      <c r="AC87">
        <v>1</v>
      </c>
      <c r="AE87">
        <v>4</v>
      </c>
      <c r="AF87">
        <v>2</v>
      </c>
      <c r="AG87">
        <v>3</v>
      </c>
      <c r="AH87">
        <v>2</v>
      </c>
      <c r="AI87">
        <v>2</v>
      </c>
      <c r="AJ87">
        <v>7</v>
      </c>
      <c r="AK87">
        <v>3</v>
      </c>
      <c r="AL87">
        <v>5</v>
      </c>
      <c r="AM87">
        <v>1</v>
      </c>
      <c r="AN87">
        <v>4</v>
      </c>
      <c r="AO87">
        <v>3</v>
      </c>
      <c r="AP87">
        <v>6</v>
      </c>
      <c r="AQ87">
        <v>4</v>
      </c>
      <c r="AR87">
        <v>5</v>
      </c>
      <c r="AS87">
        <v>3</v>
      </c>
      <c r="AT87">
        <v>2</v>
      </c>
      <c r="AU87">
        <v>2</v>
      </c>
      <c r="AW87">
        <v>3</v>
      </c>
      <c r="AY87">
        <v>1</v>
      </c>
      <c r="AZ87">
        <v>3</v>
      </c>
      <c r="BB87">
        <v>4</v>
      </c>
      <c r="BC87">
        <v>4</v>
      </c>
      <c r="BD87">
        <v>3</v>
      </c>
      <c r="BF87">
        <v>2</v>
      </c>
      <c r="BG87">
        <v>4</v>
      </c>
      <c r="BH87">
        <v>5</v>
      </c>
      <c r="BJ87">
        <v>4</v>
      </c>
      <c r="BK87">
        <v>2</v>
      </c>
      <c r="BL87">
        <v>4</v>
      </c>
      <c r="BM87">
        <v>1</v>
      </c>
      <c r="BN87">
        <v>2</v>
      </c>
      <c r="BO87">
        <v>3</v>
      </c>
      <c r="BS87">
        <v>3</v>
      </c>
      <c r="BT87">
        <v>4</v>
      </c>
      <c r="BU87">
        <v>4</v>
      </c>
      <c r="BV87">
        <v>3</v>
      </c>
      <c r="BX87">
        <v>5</v>
      </c>
    </row>
    <row r="88" spans="1:76" hidden="1" x14ac:dyDescent="0.35">
      <c r="A88" t="s">
        <v>47</v>
      </c>
    </row>
  </sheetData>
  <autoFilter ref="A1:AB88" xr:uid="{130C2564-D265-4C41-A3E0-02A62EDAC91D}">
    <sortState ref="A2:AB88">
      <sortCondition ref="A1:A88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2026-04-16T13:22:28Z</dcterms:modified>
</cp:coreProperties>
</file>